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1\"/>
    </mc:Choice>
  </mc:AlternateContent>
  <xr:revisionPtr revIDLastSave="0" documentId="13_ncr:1_{1E81D296-1735-47E5-8481-8E201C265725}" xr6:coauthVersionLast="47" xr6:coauthVersionMax="47" xr10:uidLastSave="{00000000-0000-0000-0000-000000000000}"/>
  <bookViews>
    <workbookView xWindow="-120" yWindow="-120" windowWidth="29040" windowHeight="17520" activeTab="8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portfolioHistory" sheetId="3" r:id="rId6"/>
    <sheet name="assetStat" sheetId="5" r:id="rId7"/>
    <sheet name="dailyHoldings" sheetId="7" r:id="rId8"/>
    <sheet name="Answer" sheetId="9" r:id="rId9"/>
    <sheet name="Calculations" sheetId="10" r:id="rId10"/>
    <sheet name="Assets" sheetId="11" r:id="rId11"/>
    <sheet name="DailyHolding 2" sheetId="12" r:id="rId12"/>
  </sheets>
  <functionGroups builtInGroupCount="19"/>
  <definedNames>
    <definedName name="_xleta.N" hidden="1" xlm="1">#NAME?</definedName>
    <definedName name="covarMatrix">assetStat!$M$3:$R$8</definedName>
    <definedName name="equityPortfolioData">portfolio!$A$10:$L$18</definedName>
    <definedName name="interestRate">portfolio!$F$2</definedName>
    <definedName name="muVector">assetStat!$B$3:$B$8</definedName>
    <definedName name="optimalEquityWeights">portfolio!$G$9:$G$14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B5" i="2"/>
  <c r="C5" i="2"/>
  <c r="A6" i="2"/>
  <c r="B6" i="2"/>
  <c r="C6" i="2"/>
  <c r="D6" i="2"/>
  <c r="E6" i="2"/>
  <c r="K8" i="2"/>
  <c r="L8" i="2"/>
  <c r="A9" i="2"/>
  <c r="B9" i="2"/>
  <c r="C9" i="2"/>
  <c r="D9" i="2"/>
  <c r="E9" i="2"/>
  <c r="H9" i="2"/>
  <c r="I9" i="2"/>
  <c r="J9" i="2"/>
  <c r="K9" i="2"/>
  <c r="L9" i="2"/>
  <c r="A10" i="2"/>
  <c r="B10" i="2"/>
  <c r="K10" i="2"/>
  <c r="L10" i="2"/>
  <c r="A11" i="2"/>
  <c r="B11" i="2"/>
  <c r="K11" i="2"/>
  <c r="L11" i="2"/>
  <c r="A12" i="2"/>
  <c r="B12" i="2"/>
  <c r="K12" i="2"/>
  <c r="L12" i="2"/>
  <c r="A13" i="2"/>
  <c r="B13" i="2"/>
  <c r="K13" i="2"/>
  <c r="L13" i="2"/>
  <c r="A14" i="2"/>
  <c r="B14" i="2"/>
  <c r="K14" i="2"/>
  <c r="L14" i="2"/>
  <c r="A17" i="2"/>
  <c r="B17" i="2"/>
  <c r="G17" i="2"/>
  <c r="G5" i="8"/>
  <c r="E6" i="8"/>
  <c r="G6" i="8"/>
  <c r="M8" i="8"/>
  <c r="D10" i="8"/>
  <c r="J29" i="1"/>
  <c r="J26" i="1"/>
  <c r="J22" i="1"/>
  <c r="J20" i="1"/>
  <c r="U96" i="10"/>
  <c r="U97" i="10"/>
  <c r="U98" i="10"/>
  <c r="U95" i="10"/>
  <c r="T94" i="10"/>
  <c r="O97" i="10"/>
  <c r="O98" i="10"/>
  <c r="O96" i="10"/>
  <c r="O95" i="10"/>
  <c r="N98" i="10"/>
  <c r="N97" i="10"/>
  <c r="N96" i="10"/>
  <c r="N95" i="10"/>
  <c r="N94" i="10"/>
  <c r="K94" i="10"/>
  <c r="J94" i="10"/>
  <c r="J10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102" i="10"/>
  <c r="L94" i="10"/>
  <c r="M94" i="10"/>
  <c r="L95" i="10"/>
  <c r="R95" i="10" s="1"/>
  <c r="T95" i="10" s="1"/>
  <c r="V95" i="10" s="1"/>
  <c r="X16" i="9" s="1"/>
  <c r="M95" i="10"/>
  <c r="L96" i="10"/>
  <c r="R96" i="10" s="1"/>
  <c r="M96" i="10"/>
  <c r="S96" i="10" s="1"/>
  <c r="L97" i="10"/>
  <c r="R97" i="10" s="1"/>
  <c r="M97" i="10"/>
  <c r="S97" i="10" s="1"/>
  <c r="L98" i="10"/>
  <c r="R98" i="10" s="1"/>
  <c r="M98" i="10"/>
  <c r="S98" i="10" s="1"/>
  <c r="I10" i="1"/>
  <c r="L15" i="9" s="1"/>
  <c r="S67" i="10"/>
  <c r="D16" i="9" s="1"/>
  <c r="S68" i="10"/>
  <c r="D17" i="9" s="1"/>
  <c r="S69" i="10"/>
  <c r="D18" i="9" s="1"/>
  <c r="S70" i="10"/>
  <c r="D19" i="9" s="1"/>
  <c r="S66" i="10"/>
  <c r="D15" i="9" s="1"/>
  <c r="Q4" i="9"/>
  <c r="Q5" i="9"/>
  <c r="Q6" i="9"/>
  <c r="Q7" i="9"/>
  <c r="Q8" i="9"/>
  <c r="P5" i="9"/>
  <c r="P6" i="9"/>
  <c r="P7" i="9"/>
  <c r="P8" i="9"/>
  <c r="P4" i="9"/>
  <c r="C15" i="9"/>
  <c r="C16" i="9"/>
  <c r="G19" i="1"/>
  <c r="H19" i="1" s="1"/>
  <c r="J19" i="1" s="1"/>
  <c r="G18" i="1"/>
  <c r="H18" i="1" s="1"/>
  <c r="G17" i="1"/>
  <c r="H17" i="1" s="1"/>
  <c r="J17" i="1" s="1"/>
  <c r="G16" i="1"/>
  <c r="H16" i="1" s="1"/>
  <c r="G15" i="1"/>
  <c r="G9" i="1"/>
  <c r="H9" i="1" s="1"/>
  <c r="J9" i="1" s="1"/>
  <c r="G8" i="1"/>
  <c r="H8" i="1" s="1"/>
  <c r="J8" i="1" s="1"/>
  <c r="G7" i="1"/>
  <c r="H7" i="1" s="1"/>
  <c r="J7" i="1" s="1"/>
  <c r="G6" i="1"/>
  <c r="G13" i="1"/>
  <c r="H13" i="1" s="1"/>
  <c r="J13" i="1" s="1"/>
  <c r="G5" i="1"/>
  <c r="G3" i="1"/>
  <c r="H3" i="1" s="1"/>
  <c r="J3" i="1" s="1"/>
  <c r="T5" i="9"/>
  <c r="T6" i="9"/>
  <c r="M91" i="10" s="1"/>
  <c r="T7" i="9"/>
  <c r="T8" i="9"/>
  <c r="T4" i="9"/>
  <c r="A2" i="4"/>
  <c r="A3" i="4"/>
  <c r="A4" i="4"/>
  <c r="F2" i="2"/>
  <c r="G12" i="8"/>
  <c r="J12" i="8"/>
  <c r="G10" i="8"/>
  <c r="J10" i="8"/>
  <c r="J5" i="8"/>
  <c r="J13" i="8"/>
  <c r="H11" i="8"/>
  <c r="J19" i="8"/>
  <c r="H6" i="8"/>
  <c r="K19" i="8"/>
  <c r="J6" i="8"/>
  <c r="J14" i="8"/>
  <c r="G2" i="8"/>
  <c r="H12" i="8"/>
  <c r="F10" i="8"/>
  <c r="H10" i="8"/>
  <c r="H15" i="8"/>
  <c r="F13" i="8"/>
  <c r="J15" i="8"/>
  <c r="I5" i="8"/>
  <c r="I13" i="8"/>
  <c r="G19" i="8"/>
  <c r="G11" i="8"/>
  <c r="I11" i="8"/>
  <c r="J11" i="8"/>
  <c r="I6" i="8"/>
  <c r="H14" i="8"/>
  <c r="I14" i="8"/>
  <c r="I12" i="8"/>
  <c r="F15" i="8"/>
  <c r="G15" i="8"/>
  <c r="I10" i="8"/>
  <c r="I15" i="8"/>
  <c r="H5" i="8"/>
  <c r="G13" i="8"/>
  <c r="H13" i="8"/>
  <c r="K5" i="8"/>
  <c r="F11" i="8"/>
  <c r="H19" i="8"/>
  <c r="I19" i="8"/>
  <c r="F14" i="8"/>
  <c r="G14" i="8"/>
  <c r="K6" i="8"/>
  <c r="F12" i="8"/>
  <c r="F2" i="11"/>
  <c r="A2" i="11"/>
  <c r="G42" i="10"/>
  <c r="M81" i="10"/>
  <c r="C80" i="10"/>
  <c r="I5" i="10"/>
  <c r="J13" i="2" l="1"/>
  <c r="J12" i="2"/>
  <c r="J11" i="2"/>
  <c r="H11" i="2"/>
  <c r="I11" i="2"/>
  <c r="J14" i="2"/>
  <c r="I12" i="2"/>
  <c r="H12" i="2"/>
  <c r="I13" i="2"/>
  <c r="H13" i="2"/>
  <c r="H10" i="2"/>
  <c r="I14" i="2"/>
  <c r="H14" i="2"/>
  <c r="J10" i="2"/>
  <c r="I10" i="2"/>
  <c r="C12" i="8"/>
  <c r="C11" i="2" s="1"/>
  <c r="C14" i="8"/>
  <c r="C13" i="2" s="1"/>
  <c r="C19" i="8"/>
  <c r="C17" i="2" s="1"/>
  <c r="C11" i="8"/>
  <c r="C10" i="2" s="1"/>
  <c r="F5" i="8"/>
  <c r="C5" i="8"/>
  <c r="C15" i="8"/>
  <c r="C14" i="2" s="1"/>
  <c r="C13" i="8"/>
  <c r="C12" i="2" s="1"/>
  <c r="C10" i="8"/>
  <c r="F6" i="8"/>
  <c r="C6" i="8"/>
  <c r="T98" i="10"/>
  <c r="V98" i="10" s="1"/>
  <c r="X19" i="9" s="1"/>
  <c r="T97" i="10"/>
  <c r="V97" i="10" s="1"/>
  <c r="X18" i="9" s="1"/>
  <c r="T96" i="10"/>
  <c r="V96" i="10" s="1"/>
  <c r="X17" i="9" s="1"/>
  <c r="S103" i="10"/>
  <c r="P6" i="10" s="1"/>
  <c r="U103" i="10"/>
  <c r="P7" i="10" s="1"/>
  <c r="W103" i="10"/>
  <c r="P8" i="10" s="1"/>
  <c r="Y103" i="10"/>
  <c r="P9" i="10" s="1"/>
  <c r="AA103" i="10"/>
  <c r="P10" i="10" s="1"/>
  <c r="E19" i="9"/>
  <c r="E18" i="9"/>
  <c r="E17" i="9"/>
  <c r="E16" i="9"/>
  <c r="E10" i="8" l="1"/>
  <c r="D5" i="8"/>
  <c r="D5" i="2" s="1"/>
  <c r="V5" i="9"/>
  <c r="V4" i="9"/>
  <c r="V8" i="9"/>
  <c r="V7" i="9"/>
  <c r="V6" i="9"/>
  <c r="K91" i="10" s="1"/>
  <c r="L4" i="9"/>
  <c r="C17" i="9"/>
  <c r="C18" i="9"/>
  <c r="C19" i="9"/>
  <c r="C72" i="10" a="1"/>
  <c r="C72" i="10" s="1"/>
  <c r="M4" i="9"/>
  <c r="L5" i="9"/>
  <c r="M5" i="9"/>
  <c r="L6" i="9"/>
  <c r="M6" i="9"/>
  <c r="L7" i="9"/>
  <c r="M7" i="9"/>
  <c r="L8" i="9"/>
  <c r="M8" i="9"/>
  <c r="R5" i="9"/>
  <c r="S5" i="9"/>
  <c r="R6" i="9"/>
  <c r="S6" i="9"/>
  <c r="R7" i="9"/>
  <c r="S7" i="9"/>
  <c r="R8" i="9"/>
  <c r="S8" i="9"/>
  <c r="S4" i="9"/>
  <c r="R4" i="9"/>
  <c r="N5" i="9"/>
  <c r="Q95" i="10" s="1"/>
  <c r="N6" i="9"/>
  <c r="Q96" i="10" s="1"/>
  <c r="N7" i="9"/>
  <c r="Q97" i="10" s="1"/>
  <c r="N8" i="9"/>
  <c r="Q98" i="10" s="1"/>
  <c r="N4" i="9"/>
  <c r="Q94" i="10" s="1"/>
  <c r="O5" i="9"/>
  <c r="P95" i="10" s="1"/>
  <c r="O6" i="9"/>
  <c r="P96" i="10" s="1"/>
  <c r="O7" i="9"/>
  <c r="P97" i="10" s="1"/>
  <c r="O8" i="9"/>
  <c r="P98" i="10" s="1"/>
  <c r="O4" i="9"/>
  <c r="P94" i="10" s="1"/>
  <c r="K4" i="9"/>
  <c r="K5" i="9"/>
  <c r="K6" i="9"/>
  <c r="K7" i="9"/>
  <c r="K8" i="9"/>
  <c r="J18" i="1"/>
  <c r="J16" i="1"/>
  <c r="H15" i="1"/>
  <c r="H6" i="1"/>
  <c r="J6" i="1" s="1"/>
  <c r="H5" i="1"/>
  <c r="Y34" i="1"/>
  <c r="Y33" i="1"/>
  <c r="Y28" i="1"/>
  <c r="Z28" i="1" s="1"/>
  <c r="Y27" i="1"/>
  <c r="X27" i="1"/>
  <c r="X25" i="1"/>
  <c r="Z25" i="1" s="1"/>
  <c r="X24" i="1"/>
  <c r="Z24" i="1" s="1"/>
  <c r="Z23" i="1"/>
  <c r="X21" i="1"/>
  <c r="Z21" i="1" s="1"/>
  <c r="X18" i="1"/>
  <c r="Z18" i="1" s="1"/>
  <c r="X16" i="1"/>
  <c r="Z16" i="1" s="1"/>
  <c r="X15" i="1"/>
  <c r="Z15" i="1" s="1"/>
  <c r="X13" i="1"/>
  <c r="Z13" i="1" s="1"/>
  <c r="X12" i="1"/>
  <c r="Z12" i="1" s="1"/>
  <c r="X6" i="1"/>
  <c r="Z6" i="1" s="1"/>
  <c r="X5" i="1"/>
  <c r="Z5" i="1" s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B2" i="6"/>
  <c r="B3" i="10"/>
  <c r="C30" i="10"/>
  <c r="G30" i="10"/>
  <c r="D5" i="10"/>
  <c r="C15" i="10"/>
  <c r="D19" i="8" l="1"/>
  <c r="D17" i="2" s="1"/>
  <c r="D15" i="8"/>
  <c r="D11" i="8"/>
  <c r="D10" i="2" s="1"/>
  <c r="E5" i="8"/>
  <c r="D13" i="8"/>
  <c r="D12" i="2" s="1"/>
  <c r="D14" i="8"/>
  <c r="D13" i="2" s="1"/>
  <c r="D12" i="8"/>
  <c r="D11" i="2" s="1"/>
  <c r="K96" i="10"/>
  <c r="J96" i="10"/>
  <c r="K97" i="10"/>
  <c r="J97" i="10"/>
  <c r="J98" i="10"/>
  <c r="K98" i="10"/>
  <c r="K95" i="10"/>
  <c r="J95" i="10"/>
  <c r="J15" i="1"/>
  <c r="X5" i="9"/>
  <c r="J5" i="1"/>
  <c r="G15" i="9" s="1"/>
  <c r="I15" i="9" s="1"/>
  <c r="G16" i="9" s="1"/>
  <c r="I16" i="9" s="1"/>
  <c r="X4" i="9"/>
  <c r="Z27" i="1"/>
  <c r="B26" i="6"/>
  <c r="E15" i="8" l="1"/>
  <c r="D14" i="2"/>
  <c r="E5" i="2"/>
  <c r="E14" i="8"/>
  <c r="E12" i="8"/>
  <c r="E13" i="8"/>
  <c r="E11" i="8"/>
  <c r="E19" i="8"/>
  <c r="G17" i="9"/>
  <c r="J10" i="1"/>
  <c r="F15" i="9" s="1"/>
  <c r="B25" i="6"/>
  <c r="B24" i="6" s="1"/>
  <c r="B23" i="6" s="1"/>
  <c r="C26" i="6"/>
  <c r="E17" i="2" l="1"/>
  <c r="E12" i="2"/>
  <c r="E11" i="2"/>
  <c r="E10" i="2"/>
  <c r="E13" i="2"/>
  <c r="E14" i="2"/>
  <c r="F2" i="8"/>
  <c r="F13" i="2" s="1"/>
  <c r="I17" i="9"/>
  <c r="H15" i="9"/>
  <c r="B22" i="6"/>
  <c r="C24" i="6"/>
  <c r="C25" i="6"/>
  <c r="C23" i="6"/>
  <c r="E2" i="2" l="1"/>
  <c r="F9" i="2"/>
  <c r="F6" i="2"/>
  <c r="F5" i="2"/>
  <c r="F14" i="2"/>
  <c r="F10" i="2"/>
  <c r="F11" i="2"/>
  <c r="F12" i="2"/>
  <c r="F17" i="2"/>
  <c r="J15" i="9"/>
  <c r="J11" i="1"/>
  <c r="D72" i="10"/>
  <c r="E72" i="10" s="1"/>
  <c r="I21" i="1"/>
  <c r="F16" i="9"/>
  <c r="H16" i="9" s="1"/>
  <c r="B21" i="6"/>
  <c r="C22" i="6"/>
  <c r="L16" i="9" l="1"/>
  <c r="J21" i="1"/>
  <c r="J16" i="9"/>
  <c r="F17" i="9"/>
  <c r="D73" i="10" l="1"/>
  <c r="E73" i="10" s="1"/>
  <c r="K16" i="9" s="1"/>
  <c r="I23" i="1"/>
  <c r="H17" i="9"/>
  <c r="J17" i="9" s="1"/>
  <c r="E15" i="9"/>
  <c r="L17" i="9" l="1"/>
  <c r="J23" i="1"/>
  <c r="D74" i="10"/>
  <c r="E74" i="10" s="1"/>
  <c r="K17" i="9" s="1"/>
  <c r="I24" i="1"/>
  <c r="L91" i="10"/>
  <c r="I91" i="10" s="1"/>
  <c r="F18" i="9"/>
  <c r="L18" i="9" l="1"/>
  <c r="J24" i="1"/>
  <c r="T18" i="9"/>
  <c r="W19" i="9" s="1"/>
  <c r="J28" i="1" s="1"/>
  <c r="T19" i="9"/>
  <c r="T17" i="9"/>
  <c r="W18" i="9" s="1"/>
  <c r="J25" i="1" s="1"/>
  <c r="G18" i="9" s="1"/>
  <c r="I18" i="9" s="1"/>
  <c r="G19" i="9" s="1"/>
  <c r="I19" i="9" s="1"/>
  <c r="H18" i="9"/>
  <c r="J18" i="9" l="1"/>
  <c r="F19" i="9"/>
  <c r="H13" i="10" s="1"/>
  <c r="D75" i="10"/>
  <c r="E75" i="10" s="1"/>
  <c r="K18" i="9" s="1"/>
  <c r="I27" i="1"/>
  <c r="H19" i="9"/>
  <c r="J19" i="9" s="1"/>
  <c r="D76" i="10" s="1"/>
  <c r="L19" i="9" l="1"/>
  <c r="J27" i="1"/>
  <c r="E76" i="10"/>
  <c r="K19" i="9" s="1"/>
  <c r="C2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  <author>tc={E5A14386-1041-48B6-89A3-FBE974347582}</author>
    <author>tc={78B35C2F-C2D9-427C-8258-649659CBA07C}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F4" authorId="1" shapeId="0" xr:uid="{E5A14386-1041-48B6-89A3-FBE974347582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140 M CAD</t>
      </text>
    </comment>
    <comment ref="F14" authorId="2" shapeId="0" xr:uid="{78B35C2F-C2D9-427C-8258-649659CBA0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70 M CAD</t>
      </text>
    </comment>
    <comment ref="I25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7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28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8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3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4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<sst xmlns="http://schemas.openxmlformats.org/spreadsheetml/2006/main" count="681" uniqueCount="191">
  <si>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</si>
  <si>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</si>
  <si>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</si>
  <si>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</si>
  <si>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</si>
  <si>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</si>
  <si>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</si>
  <si>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</si>
  <si>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</si>
  <si>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</si>
  <si>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</si>
  <si>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</si>
  <si>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</si>
  <si>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</si>
  <si>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</si>
  <si>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</si>
  <si>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</si>
  <si>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</si>
  <si>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</si>
  <si>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</si>
  <si>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</si>
  <si>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</si>
  <si>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</si>
  <si>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</si>
  <si>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</si>
  <si>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</si>
  <si>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</si>
  <si>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</si>
  <si>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</si>
  <si>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</si>
  <si>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</si>
  <si>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</si>
  <si>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</si>
  <si>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</si>
  <si>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</si>
  <si>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</si>
  <si>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</si>
  <si>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</si>
  <si>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</si>
  <si>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</si>
  <si>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</si>
  <si>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</si>
  <si>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</si>
  <si>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</si>
  <si>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</si>
  <si>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</si>
  <si>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</si>
  <si>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</si>
  <si>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</si>
  <si>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</si>
  <si>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</si>
  <si>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</si>
  <si>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</si>
  <si>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</si>
  <si>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</si>
  <si>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</si>
  <si>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</si>
  <si>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</si>
  <si>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</si>
  <si>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</si>
  <si>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</si>
  <si>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</si>
  <si>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</si>
  <si>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</si>
  <si>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</si>
  <si>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</si>
  <si>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</si>
  <si>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</si>
  <si>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</si>
  <si>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</si>
  <si>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</si>
  <si>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</si>
  <si>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</si>
  <si>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</si>
  <si>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</si>
  <si>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</si>
  <si>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</si>
  <si>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</si>
  <si>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</si>
  <si>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</si>
  <si>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</si>
  <si>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</si>
  <si>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</si>
  <si>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</si>
  <si>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</si>
  <si>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</si>
  <si>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</si>
  <si>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</si>
  <si>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</si>
  <si>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</si>
  <si>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</si>
  <si>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</si>
  <si>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</si>
  <si>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</si>
  <si>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</si>
  <si>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</si>
  <si>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</si>
  <si>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</si>
  <si>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</si>
  <si>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</si>
  <si>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</si>
  <si>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</si>
  <si>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</si>
  <si>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</si>
  <si>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</si>
  <si>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</si>
  <si>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</si>
  <si>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</si>
  <si>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</si>
  <si>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</si>
  <si>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</si>
  <si>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</si>
  <si>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</si>
  <si>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</si>
  <si>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</si>
  <si>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</si>
  <si>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</si>
  <si>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</si>
  <si>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</si>
  <si>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</si>
  <si>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</si>
  <si>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</si>
  <si>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</si>
  <si>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</si>
  <si>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</si>
  <si>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</si>
  <si>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</si>
  <si>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</si>
  <si>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</si>
  <si>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</si>
  <si>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</si>
  <si>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</si>
  <si>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</si>
  <si>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Canada</t>
  </si>
  <si>
    <t>1.</t>
  </si>
  <si>
    <t>2.</t>
  </si>
  <si>
    <t>3.</t>
  </si>
  <si>
    <t>ZERO_YLD1</t>
  </si>
  <si>
    <t>Forward pip</t>
  </si>
  <si>
    <t>Calculations of value</t>
  </si>
  <si>
    <t>12.</t>
  </si>
  <si>
    <t>Deposits</t>
  </si>
  <si>
    <t>Simple returns</t>
  </si>
  <si>
    <t>Settlement &amp; Market Index</t>
  </si>
  <si>
    <t>Futures</t>
  </si>
  <si>
    <t>22,490.00</t>
  </si>
  <si>
    <t>FCSM5Q</t>
  </si>
  <si>
    <t>S&amp;P/TSX 60</t>
  </si>
  <si>
    <t>Celestica Inc</t>
  </si>
  <si>
    <t>Kinaxis Inc</t>
  </si>
  <si>
    <t>Converge Technology Solutions Corp.</t>
  </si>
  <si>
    <t>Lumine Group Inc.</t>
  </si>
  <si>
    <t>OpenText Corporation</t>
  </si>
  <si>
    <t>.GPSTE</t>
  </si>
  <si>
    <t>CLS.TO</t>
  </si>
  <si>
    <t>KXS.TO</t>
  </si>
  <si>
    <t>CTS.TO</t>
  </si>
  <si>
    <t>LMN.V</t>
  </si>
  <si>
    <t>OTEX.TO</t>
  </si>
  <si>
    <t>Deposits CAD</t>
  </si>
  <si>
    <t>MID_PRICE</t>
  </si>
  <si>
    <t>CAD=</t>
  </si>
  <si>
    <t>Beta</t>
  </si>
  <si>
    <t>Total commitment</t>
  </si>
  <si>
    <t>LOT_SIZE_A</t>
  </si>
  <si>
    <t>Holdings</t>
  </si>
  <si>
    <t>h</t>
  </si>
  <si>
    <t>Vp</t>
  </si>
  <si>
    <t>Index</t>
  </si>
  <si>
    <t>Lot size</t>
  </si>
  <si>
    <t>Future Calc</t>
  </si>
  <si>
    <t>N</t>
  </si>
  <si>
    <t>Currency hedging</t>
  </si>
  <si>
    <t>Hedged value 1</t>
  </si>
  <si>
    <t>Hedged value 2</t>
  </si>
  <si>
    <t>Tid nr 1</t>
  </si>
  <si>
    <t>Tid nr 2</t>
  </si>
  <si>
    <t>CAD 1M</t>
  </si>
  <si>
    <t>SEK 1M</t>
  </si>
  <si>
    <t>Forward rate 1</t>
  </si>
  <si>
    <t>Forward rate 2</t>
  </si>
  <si>
    <t>Value Contract 1</t>
  </si>
  <si>
    <t>Value Contract 2</t>
  </si>
  <si>
    <t>MID_PRICE CLOSE</t>
  </si>
  <si>
    <t>TRDPRC_1 CLOSE</t>
  </si>
  <si>
    <t>Return</t>
  </si>
  <si>
    <t>Total Value</t>
  </si>
  <si>
    <t>FX rate</t>
  </si>
  <si>
    <t>SEK Value</t>
  </si>
  <si>
    <t>Deposits FCSM5Q</t>
  </si>
  <si>
    <t>Invalid field(s).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</si>
</sst>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##,###,###.00"/>
    <numFmt numFmtId="165" formatCode="0.000%"/>
    <numFmt numFmtId="166" formatCode="yyyy\-mm\-dd"/>
    <numFmt numFmtId="167" formatCode="0.000"/>
    <numFmt numFmtId="168" formatCode="0.0000"/>
    <numFmt numFmtId="170" formatCode="0.0000000000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5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5" fillId="2" borderId="0" xfId="1" applyFont="1" applyFill="1"/>
    <xf numFmtId="0" fontId="6" fillId="0" borderId="0" xfId="1" applyFont="1" applyAlignment="1">
      <alignment horizontal="center"/>
    </xf>
    <xf numFmtId="14" fontId="5" fillId="2" borderId="0" xfId="1" applyNumberFormat="1" applyFont="1" applyFill="1" applyAlignment="1">
      <alignment horizontal="center"/>
    </xf>
    <xf numFmtId="14" fontId="0" fillId="0" borderId="0" xfId="0" quotePrefix="1" applyNumberFormat="1"/>
    <xf numFmtId="0" fontId="6" fillId="0" borderId="0" xfId="0" applyFont="1"/>
    <xf numFmtId="0" fontId="2" fillId="0" borderId="0" xfId="0" applyFont="1" applyAlignment="1">
      <alignment vertical="center" wrapText="1"/>
    </xf>
    <xf numFmtId="2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  <xf numFmtId="167" fontId="2" fillId="0" borderId="0" xfId="0" applyNumberFormat="1" applyFont="1"/>
    <xf numFmtId="168" fontId="2" fillId="0" borderId="0" xfId="0" applyNumberFormat="1" applyFont="1"/>
    <xf numFmtId="0" fontId="2" fillId="0" borderId="0" xfId="0" quotePrefix="1" applyFont="1"/>
    <xf numFmtId="170" fontId="0" fillId="0" borderId="0" xfId="0" applyNumberFormat="1"/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tget">
      <tp>
        <v>162.49</v>
        <stp/>
        <stp>7</stp>
        <stp>9281906</stp>
        <tr r="F13" s="8"/>
      </tp>
      <tp>
        <v>2.23</v>
        <stp/>
        <stp>6</stp>
        <stp>9281906</stp>
        <tr r="I6" s="8"/>
      </tp>
      <tp>
        <v>34.270000000000003</v>
        <stp/>
        <stp>5</stp>
        <stp>9281906</stp>
        <tr r="G15" s="8"/>
      </tp>
      <tp>
        <v>2.1</v>
        <stp/>
        <stp>3</stp>
        <stp>9281906</stp>
        <tr r="H6" s="8"/>
      </tp>
      <tp>
        <v>41.17</v>
        <stp/>
        <stp>2</stp>
        <stp>9281906</stp>
        <tr r="I14" s="8"/>
      </tp>
      <tp>
        <v>5.95</v>
        <stp/>
        <stp>1</stp>
        <stp>9281906</stp>
        <tr r="I12" s="8"/>
      </tp>
      <tp>
        <v>107.16</v>
        <stp/>
        <stp>9</stp>
        <stp>9281906</stp>
        <tr r="G11" s="8"/>
      </tp>
      <tp>
        <v>38.9</v>
        <stp/>
        <stp>8</stp>
        <stp>9281906</stp>
        <tr r="F14" s="8"/>
      </tp>
    </main>
    <main first="refinitivshim.rtdserver.rdp.historicalpricing">
      <tp t="s">
        <v>Updated at 19:38:22</v>
        <stp/>
        <stp>4</stp>
        <stp>9281906</stp>
        <tr r="A2" s="11"/>
      </tp>
    </main>
    <main first="refinitivshim.rtdserver.rhistory">
      <tp t="s">
        <v>Updated at 19:38:25</v>
        <stp/>
        <stp>67</stp>
        <stp>9281906</stp>
        <tr r="A3" s="4"/>
      </tp>
      <tp t="s">
        <v>Updated at 19:38:27</v>
        <stp/>
        <stp>66</stp>
        <stp>9281906</stp>
        <tr r="A2" s="4"/>
      </tp>
      <tp t="s">
        <v>Updated at 19:29:47</v>
        <stp/>
        <stp>68</stp>
        <stp>9281906</stp>
        <tr r="A4" s="4"/>
      </tp>
    </main>
    <main first="refinitivshim.rtdserver.rdp.historicalpricing">
      <tp t="s">
        <v>Updated at 19:38:07</v>
        <stp/>
        <stp>31</stp>
        <stp>9281906</stp>
        <tr r="G42" s="10"/>
      </tp>
      <tp t="s">
        <v>Updated at 18:04:43</v>
        <stp/>
        <stp>34</stp>
        <stp>9281906</stp>
        <tr r="M81" s="10"/>
      </tp>
      <tp t="s">
        <v>Updated at 18:04:43</v>
        <stp/>
        <stp>51</stp>
        <stp>9281906</stp>
        <tr r="I5" s="10"/>
      </tp>
      <tp t="s">
        <v>Updated at 18:04:43</v>
        <stp/>
        <stp>55</stp>
        <stp>9281906</stp>
        <tr r="C30" s="10"/>
      </tp>
      <tp t="s">
        <v>Updated at 18:04:43</v>
        <stp/>
        <stp>54</stp>
        <stp>9281906</stp>
        <tr r="B3" s="10"/>
      </tp>
      <tp t="s">
        <v>Updated at 18:04:43</v>
        <stp/>
        <stp>57</stp>
        <stp>9281906</stp>
        <tr r="D5" s="10"/>
      </tp>
      <tp t="s">
        <v>Updated at 18:04:43</v>
        <stp/>
        <stp>56</stp>
        <stp>9281906</stp>
        <tr r="G30" s="10"/>
      </tp>
      <tp t="s">
        <v>Updated at 19:38:25</v>
        <stp/>
        <stp>59</stp>
        <stp>9281906</stp>
        <tr r="F2" s="11"/>
      </tp>
      <tp t="s">
        <v>Updated at 18:04:43</v>
        <stp/>
        <stp>58</stp>
        <stp>9281906</stp>
        <tr r="C15" s="10"/>
      </tp>
      <tp t="s">
        <v>Updated at 18:04:43</v>
        <stp/>
        <stp>49</stp>
        <stp>9281906</stp>
        <tr r="C80" s="10"/>
      </tp>
    </main>
    <main first="refinitivshim.rtdserver.rtget">
      <tp>
        <v>163.07</v>
        <stp/>
        <stp>39</stp>
        <stp>9281906</stp>
        <tr r="H13" s="8"/>
      </tp>
      <tp>
        <v>-21.58</v>
        <stp/>
        <stp>38</stp>
        <stp>9281906</stp>
        <tr r="H19" s="8"/>
      </tp>
      <tp>
        <v>39.625</v>
        <stp/>
        <stp>35</stp>
        <stp>9281906</stp>
        <tr r="H14" s="8"/>
      </tp>
      <tp>
        <v>499235</v>
        <stp/>
        <stp>37</stp>
        <stp>9281906</stp>
        <tr r="J11" s="8"/>
      </tp>
      <tp>
        <v>3.26</v>
        <stp/>
        <stp>36</stp>
        <stp>9281906</stp>
        <tr r="I5" s="8"/>
      </tp>
      <tp>
        <v>5.98</v>
        <stp/>
        <stp>30</stp>
        <stp>9281906</stp>
        <tr r="G12" s="8"/>
      </tp>
      <tp>
        <v>160.54</v>
        <stp/>
        <stp>33</stp>
        <stp>9281906</stp>
        <tr r="I13" s="8"/>
      </tp>
      <tp t="s">
        <v>#N/A</v>
        <stp/>
        <stp>32</stp>
        <stp>9281906</stp>
        <tr r="K19" s="8"/>
      </tp>
      <tp>
        <v>-23.51</v>
        <stp/>
        <stp>29</stp>
        <stp>9281906</stp>
        <tr r="G19" s="8"/>
      </tp>
      <tp>
        <v>5.97</v>
        <stp/>
        <stp>28</stp>
        <stp>9281906</stp>
        <tr r="F12" s="8"/>
      </tp>
      <tp>
        <v>33.07</v>
        <stp/>
        <stp>25</stp>
        <stp>9281906</stp>
        <tr r="I15" s="8"/>
      </tp>
      <tp>
        <v>98.05</v>
        <stp/>
        <stp>24</stp>
        <stp>9281906</stp>
        <tr r="I11" s="8"/>
      </tp>
      <tp>
        <v>1.4109</v>
        <stp/>
        <stp>27</stp>
        <stp>9281906</stp>
        <tr r="J5" s="8"/>
      </tp>
      <tp>
        <v>256974</v>
        <stp/>
        <stp>26</stp>
        <stp>9281906</stp>
        <tr r="J15" s="8"/>
      </tp>
      <tp>
        <v>2.3210000000000002</v>
        <stp/>
        <stp>21</stp>
        <stp>9281906</stp>
        <tr r="G2" s="8"/>
      </tp>
      <tp>
        <v>106.5</v>
        <stp/>
        <stp>20</stp>
        <stp>9281906</stp>
        <tr r="F11" s="8"/>
      </tp>
      <tp>
        <v>2.09</v>
        <stp/>
        <stp>23</stp>
        <stp>9281906</stp>
        <tr r="H5" s="8"/>
      </tp>
      <tp>
        <v>107</v>
        <stp/>
        <stp>22</stp>
        <stp>9281906</stp>
        <tr r="H11" s="8"/>
      </tp>
      <tp>
        <v>196282015</v>
        <stp/>
        <stp>19</stp>
        <stp>9281906</stp>
        <tr r="J10" s="8"/>
      </tp>
      <tp>
        <v>2237.2550000000001</v>
        <stp/>
        <stp>18</stp>
        <stp>9281906</stp>
        <tr r="I10" s="8"/>
      </tp>
      <tp>
        <v>0</v>
        <stp/>
        <stp>15</stp>
        <stp>9281906</stp>
        <tr r="F10" s="8"/>
      </tp>
      <tp>
        <v>69397</v>
        <stp/>
        <stp>14</stp>
        <stp>9281906</stp>
        <tr r="J13" s="8"/>
      </tp>
      <tp>
        <v>2175.7649999999999</v>
        <stp/>
        <stp>17</stp>
        <stp>9281906</stp>
        <tr r="H10" s="8"/>
      </tp>
      <tp>
        <v>0</v>
        <stp/>
        <stp>16</stp>
        <stp>9281906</stp>
        <tr r="G10" s="8"/>
      </tp>
      <tp>
        <v>163.63</v>
        <stp/>
        <stp>11</stp>
        <stp>9281906</stp>
        <tr r="G13" s="8"/>
      </tp>
      <tp>
        <v>10.0075</v>
        <stp/>
        <stp>10</stp>
        <stp>9281906</stp>
        <tr r="J6" s="8"/>
      </tp>
      <tp>
        <v>10.0282</v>
        <stp/>
        <stp>13</stp>
        <stp>9281906</stp>
        <tr r="K6" s="8"/>
      </tp>
      <tp>
        <v>684173</v>
        <stp/>
        <stp>50</stp>
        <stp>9281906</stp>
        <tr r="J12" s="8"/>
      </tp>
      <tp>
        <v>52414</v>
        <stp/>
        <stp>53</stp>
        <stp>9281906</stp>
        <tr r="J14" s="8"/>
      </tp>
      <tp t="s">
        <v>#N/A Invalid field.</v>
        <stp/>
        <stp>48</stp>
        <stp>9281906</stp>
        <tr r="J19" s="8"/>
      </tp>
      <tp>
        <v>5.98</v>
        <stp/>
        <stp>45</stp>
        <stp>9281906</stp>
        <tr r="H12" s="8"/>
      </tp>
      <tp>
        <v>1.4116</v>
        <stp/>
        <stp>44</stp>
        <stp>9281906</stp>
        <tr r="K5" s="8"/>
      </tp>
      <tp>
        <v>-23.51</v>
        <stp/>
        <stp>46</stp>
        <stp>9281906</stp>
        <tr r="I19" s="8"/>
      </tp>
      <tp>
        <v>34.14</v>
        <stp/>
        <stp>41</stp>
        <stp>9281906</stp>
        <tr r="F15" s="8"/>
      </tp>
      <tp>
        <v>39.75</v>
        <stp/>
        <stp>40</stp>
        <stp>9281906</stp>
        <tr r="G14" s="8"/>
      </tp>
      <tp>
        <v>2.3210000000000002</v>
        <stp/>
        <stp>43</stp>
        <stp>9281906</stp>
        <tr r="F2" s="2"/>
      </tp>
      <tp>
        <v>34.270000000000003</v>
        <stp/>
        <stp>42</stp>
        <stp>9281906</stp>
        <tr r="H15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AA12D64A-916B-45D6-ABB0-C4FDB4AB327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5-04-09T13:50:34.72" personId="{AA12D64A-916B-45D6-ABB0-C4FDB4AB327F}" id="{E5A14386-1041-48B6-89A3-FBE974347582}">
    <text>1 contract worth 140 M CAD</text>
  </threadedComment>
  <threadedComment ref="F14" dT="2025-04-09T13:50:51.33" personId="{AA12D64A-916B-45D6-ABB0-C4FDB4AB327F}" id="{78B35C2F-C2D9-427C-8258-649659CBA07C}">
    <text>1 contract worth 70 M CAD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2.75" x14ac:dyDescent="0.2"/>
  <cols>
    <col min="1" max="1" width="15.140625" bestFit="1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70</v>
      </c>
      <c r="K1" s="5" t="s">
        <v>74</v>
      </c>
      <c r="L1" s="5" t="s">
        <v>53</v>
      </c>
      <c r="M1" s="5" t="s">
        <v>57</v>
      </c>
      <c r="N1" s="5"/>
    </row>
    <row r="2" spans="1:15" x14ac:dyDescent="0.2">
      <c r="A2" s="5" t="s">
        <v>34</v>
      </c>
      <c r="B2">
        <f>COUNTA(transactions!A:A)-1</f>
        <v>28</v>
      </c>
      <c r="C2" s="5"/>
      <c r="D2" s="5" t="s">
        <v>73</v>
      </c>
      <c r="E2" t="s">
        <v>25</v>
      </c>
      <c r="F2" s="5" t="s">
        <v>33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">
      <c r="A3" s="5" t="str">
        <f>"# " &amp;D1</f>
        <v># Watch list</v>
      </c>
      <c r="B3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">
      <c r="A4" s="5" t="str">
        <f>"# " &amp;H1</f>
        <v># Currency fields</v>
      </c>
      <c r="B4" s="5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">
      <c r="A9" s="5" t="str">
        <f>"# " &amp;M1</f>
        <v># Fixed income fields</v>
      </c>
      <c r="B9" s="5">
        <f>COUNTA(M:M)-3</f>
        <v>12</v>
      </c>
      <c r="I9" t="s">
        <v>28</v>
      </c>
      <c r="J9" t="s">
        <v>67</v>
      </c>
      <c r="K9" t="s">
        <v>67</v>
      </c>
      <c r="L9" t="s">
        <v>67</v>
      </c>
      <c r="M9" t="s">
        <v>42</v>
      </c>
      <c r="O9" t="s">
        <v>28</v>
      </c>
    </row>
    <row r="10" spans="1:15" x14ac:dyDescent="0.2">
      <c r="I10" t="s">
        <v>22</v>
      </c>
      <c r="J10" s="5"/>
      <c r="K10" s="5"/>
      <c r="L10" s="5" t="s">
        <v>68</v>
      </c>
      <c r="M10" t="s">
        <v>43</v>
      </c>
      <c r="O10" t="s">
        <v>22</v>
      </c>
    </row>
    <row r="11" spans="1:15" x14ac:dyDescent="0.2">
      <c r="I11" t="s">
        <v>23</v>
      </c>
      <c r="L11" t="s">
        <v>69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30</v>
      </c>
      <c r="M13" t="s">
        <v>46</v>
      </c>
      <c r="O13" t="s">
        <v>30</v>
      </c>
    </row>
    <row r="14" spans="1:15" x14ac:dyDescent="0.2">
      <c r="I14" t="s">
        <v>31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5"/>
      <c r="K18" s="5"/>
    </row>
    <row r="19" spans="1:11" x14ac:dyDescent="0.2">
      <c r="J19" s="5"/>
      <c r="K19" s="5"/>
    </row>
    <row r="20" spans="1:11" x14ac:dyDescent="0.2">
      <c r="A20" t="s">
        <v>79</v>
      </c>
      <c r="B20" t="s">
        <v>80</v>
      </c>
      <c r="C20" t="s">
        <v>81</v>
      </c>
      <c r="J20" s="5"/>
      <c r="K20" s="5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5</v>
      </c>
      <c r="C22">
        <f ca="1">IF(B23&lt;&gt;B22,COUNTA(OFFSET(assetHistory!$A:$A,0,B22-1))-2,0)</f>
        <v>500</v>
      </c>
    </row>
    <row r="23" spans="1:11" x14ac:dyDescent="0.2">
      <c r="A23" s="5" t="s">
        <v>71</v>
      </c>
      <c r="B23">
        <f>IF(ISERROR(MATCH(A23,assetHistory!$1:$1,0)),B24,MATCH(A23,assetHistory!$1:$1,0))</f>
        <v>12</v>
      </c>
      <c r="C23">
        <f ca="1">IF(B24&lt;&gt;B23,COUNTA(OFFSET(assetHistory!$A:$A,0,B23-1))-2,0)</f>
        <v>1</v>
      </c>
    </row>
    <row r="24" spans="1:11" x14ac:dyDescent="0.2">
      <c r="A24" s="5" t="s">
        <v>75</v>
      </c>
      <c r="B24">
        <f>IF(ISERROR(MATCH(A24,assetHistory!$1:$1,0)),B25,MATCH(A24,assetHistory!$1:$1,0))</f>
        <v>13</v>
      </c>
      <c r="C24">
        <f ca="1">IF(B25&lt;&gt;B24,COUNTA(OFFSET(assetHistory!$A:$A,0,B24-1))-2,0)</f>
        <v>0</v>
      </c>
    </row>
    <row r="25" spans="1:11" x14ac:dyDescent="0.2">
      <c r="A25" t="s">
        <v>84</v>
      </c>
      <c r="B25">
        <f>IF(ISERROR(MATCH(A25,assetHistory!$1:$1,0)),B26,MATCH(A25,assetHistory!$1:$1,0))</f>
        <v>13</v>
      </c>
      <c r="C25">
        <f ca="1">IF(B26&lt;&gt;B25,COUNTA(OFFSET(assetHistory!$A:$A,0,B25-1))-2,0)</f>
        <v>0</v>
      </c>
    </row>
    <row r="26" spans="1:11" x14ac:dyDescent="0.2">
      <c r="A26" t="s">
        <v>85</v>
      </c>
      <c r="B26">
        <f>IF(ISERROR(MATCH(A26,assetHistory!$1:$1,0)),B27,MATCH(A26,assetHistory!$1:$1,0))</f>
        <v>13</v>
      </c>
      <c r="C26">
        <f ca="1">IF(B27&lt;&gt;B26,COUNTA(OFFSET(assetHistory!$A:$A,0,B26-1))-2,0)</f>
        <v>0</v>
      </c>
    </row>
    <row r="27" spans="1:11" x14ac:dyDescent="0.2">
      <c r="A27" t="s">
        <v>82</v>
      </c>
      <c r="B27">
        <f>COUNTA(assetHistory!B2:IV2)+2</f>
        <v>13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67"/>
  <sheetViews>
    <sheetView workbookViewId="0">
      <selection activeCell="A25" sqref="A25:XFD25"/>
    </sheetView>
  </sheetViews>
  <sheetFormatPr defaultRowHeight="12.75" x14ac:dyDescent="0.2"/>
  <cols>
    <col min="1" max="1" width="12" customWidth="1"/>
    <col min="2" max="2" width="20.5703125" bestFit="1" customWidth="1"/>
    <col min="3" max="3" width="22.42578125" customWidth="1"/>
    <col min="4" max="4" width="11.85546875" bestFit="1" customWidth="1"/>
    <col min="5" max="5" width="10.28515625" customWidth="1"/>
    <col min="6" max="6" width="11.140625" style="1" bestFit="1" customWidth="1"/>
    <col min="7" max="7" width="7.5703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2" max="12" width="11.7109375" bestFit="1" customWidth="1"/>
    <col min="17" max="17" width="12" customWidth="1"/>
    <col min="19" max="19" width="14.7109375" bestFit="1" customWidth="1"/>
    <col min="20" max="20" width="11.7109375" bestFit="1" customWidth="1"/>
    <col min="24" max="24" width="11.28515625" bestFit="1" customWidth="1"/>
    <col min="25" max="25" width="11.28515625" customWidth="1"/>
    <col min="26" max="26" width="10.140625" bestFit="1" customWidth="1"/>
  </cols>
  <sheetData>
    <row r="1" spans="1:27" x14ac:dyDescent="0.2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86</v>
      </c>
      <c r="I1" t="s">
        <v>87</v>
      </c>
      <c r="J1" s="1" t="s">
        <v>4</v>
      </c>
      <c r="K1" s="5" t="s">
        <v>72</v>
      </c>
      <c r="P1" s="5" t="s">
        <v>77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86</v>
      </c>
      <c r="Y1" t="s">
        <v>87</v>
      </c>
      <c r="Z1" s="1" t="s">
        <v>4</v>
      </c>
      <c r="AA1" s="5" t="s">
        <v>72</v>
      </c>
    </row>
    <row r="2" spans="1:27" x14ac:dyDescent="0.2">
      <c r="A2" s="3">
        <v>45737</v>
      </c>
      <c r="B2" s="5" t="s">
        <v>0</v>
      </c>
      <c r="C2" s="5" t="s">
        <v>33</v>
      </c>
      <c r="D2" s="5" t="s">
        <v>4</v>
      </c>
      <c r="E2" s="5" t="s">
        <v>33</v>
      </c>
      <c r="J2" s="1">
        <v>1000000000</v>
      </c>
      <c r="O2" s="3"/>
      <c r="P2" s="5" t="s">
        <v>78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">
      <c r="A3" s="3">
        <v>45737</v>
      </c>
      <c r="B3" s="5" t="s">
        <v>1</v>
      </c>
      <c r="C3" s="5" t="s">
        <v>97</v>
      </c>
      <c r="D3" s="5" t="s">
        <v>4</v>
      </c>
      <c r="E3" s="5" t="s">
        <v>33</v>
      </c>
      <c r="F3" s="1">
        <v>140000000</v>
      </c>
      <c r="G3">
        <f>(Assets!C17+Assets!D17)/2</f>
        <v>7.0654500000000002</v>
      </c>
      <c r="H3">
        <f>ROUND(MAX(F3*G3*0.0005,100),0)</f>
        <v>494582</v>
      </c>
      <c r="J3" s="1">
        <f t="shared" ref="J3:J27" si="0">IF(B3="Buy",-F3*G3,F3*G3)-H3-I3</f>
        <v>-989657582</v>
      </c>
      <c r="O3" s="3"/>
      <c r="P3" s="5"/>
      <c r="Q3" s="3"/>
      <c r="U3" s="5"/>
      <c r="V3" s="1"/>
      <c r="Z3" s="1"/>
    </row>
    <row r="4" spans="1:27" x14ac:dyDescent="0.2">
      <c r="A4" s="3">
        <v>45737</v>
      </c>
      <c r="B4" s="5" t="s">
        <v>20</v>
      </c>
      <c r="C4" s="5" t="s">
        <v>96</v>
      </c>
      <c r="D4" s="5" t="s">
        <v>71</v>
      </c>
      <c r="E4" s="5" t="s">
        <v>97</v>
      </c>
      <c r="F4" s="1">
        <v>1</v>
      </c>
      <c r="O4" s="3"/>
      <c r="P4" s="5"/>
      <c r="Q4" s="3"/>
      <c r="U4" s="5"/>
      <c r="V4" s="1"/>
      <c r="Z4" s="1"/>
    </row>
    <row r="5" spans="1:27" x14ac:dyDescent="0.2">
      <c r="A5" s="3">
        <v>45737</v>
      </c>
      <c r="B5" t="s">
        <v>1</v>
      </c>
      <c r="C5" s="5" t="s">
        <v>154</v>
      </c>
      <c r="D5" t="s">
        <v>25</v>
      </c>
      <c r="E5" s="5" t="s">
        <v>97</v>
      </c>
      <c r="F5" s="1">
        <v>200000</v>
      </c>
      <c r="G5">
        <f>Assets!J16</f>
        <v>143.1</v>
      </c>
      <c r="H5">
        <f>ROUND(MAX(F5*G5*0.0005,100),0)</f>
        <v>14310</v>
      </c>
      <c r="J5" s="1">
        <f t="shared" si="0"/>
        <v>-28634310</v>
      </c>
      <c r="O5" s="3"/>
      <c r="Q5" s="3">
        <v>41505</v>
      </c>
      <c r="R5" t="s">
        <v>1</v>
      </c>
      <c r="S5" t="s">
        <v>7</v>
      </c>
      <c r="T5" t="s">
        <v>25</v>
      </c>
      <c r="U5" s="5" t="s">
        <v>33</v>
      </c>
      <c r="V5" s="1">
        <v>4000</v>
      </c>
      <c r="W5">
        <v>145.9</v>
      </c>
      <c r="X5">
        <f t="shared" ref="X5:X16" si="1">ROUND(MAX(V5*W5*0.0005,100),0)</f>
        <v>292</v>
      </c>
      <c r="Z5" s="1">
        <f t="shared" ref="Z5:Z16" si="2">IF(R5="Buy",-V5*W5,V5*W5)-X5-Y5</f>
        <v>-583892</v>
      </c>
    </row>
    <row r="6" spans="1:27" x14ac:dyDescent="0.2">
      <c r="A6" s="3">
        <v>45737</v>
      </c>
      <c r="B6" t="s">
        <v>1</v>
      </c>
      <c r="C6" s="5" t="s">
        <v>155</v>
      </c>
      <c r="D6" t="s">
        <v>25</v>
      </c>
      <c r="E6" s="5" t="s">
        <v>97</v>
      </c>
      <c r="F6" s="1">
        <v>200000</v>
      </c>
      <c r="G6">
        <f>Assets!L16</f>
        <v>158.82</v>
      </c>
      <c r="H6">
        <f t="shared" ref="H6:H19" si="3">ROUND(MAX(F6*G6*0.0005,100),0)</f>
        <v>15882</v>
      </c>
      <c r="J6" s="1">
        <f t="shared" si="0"/>
        <v>-31779882</v>
      </c>
      <c r="O6" s="3"/>
      <c r="Q6" s="3">
        <v>41505</v>
      </c>
      <c r="R6" t="s">
        <v>1</v>
      </c>
      <c r="S6" t="s">
        <v>8</v>
      </c>
      <c r="T6" t="s">
        <v>25</v>
      </c>
      <c r="U6" s="5" t="s">
        <v>33</v>
      </c>
      <c r="V6" s="1">
        <v>500</v>
      </c>
      <c r="W6">
        <v>324.3</v>
      </c>
      <c r="X6">
        <f t="shared" si="1"/>
        <v>100</v>
      </c>
      <c r="Z6" s="1">
        <f t="shared" si="2"/>
        <v>-162250</v>
      </c>
    </row>
    <row r="7" spans="1:27" x14ac:dyDescent="0.2">
      <c r="A7" s="3">
        <v>45737</v>
      </c>
      <c r="B7" t="s">
        <v>1</v>
      </c>
      <c r="C7" s="5" t="s">
        <v>156</v>
      </c>
      <c r="D7" t="s">
        <v>25</v>
      </c>
      <c r="E7" s="5" t="s">
        <v>97</v>
      </c>
      <c r="F7" s="1">
        <v>200000</v>
      </c>
      <c r="G7">
        <f>Assets!N16</f>
        <v>5.47</v>
      </c>
      <c r="H7">
        <f t="shared" si="3"/>
        <v>547</v>
      </c>
      <c r="J7" s="1">
        <f t="shared" si="0"/>
        <v>-1094547</v>
      </c>
      <c r="O7" s="3"/>
      <c r="Q7" s="3"/>
      <c r="U7" s="5"/>
      <c r="V7" s="1"/>
      <c r="Z7" s="1"/>
    </row>
    <row r="8" spans="1:27" x14ac:dyDescent="0.2">
      <c r="A8" s="3">
        <v>45737</v>
      </c>
      <c r="B8" t="s">
        <v>1</v>
      </c>
      <c r="C8" s="5" t="s">
        <v>157</v>
      </c>
      <c r="D8" t="s">
        <v>25</v>
      </c>
      <c r="E8" s="5" t="s">
        <v>97</v>
      </c>
      <c r="F8" s="1">
        <v>200000</v>
      </c>
      <c r="G8">
        <f>Assets!P16</f>
        <v>40.590000000000003</v>
      </c>
      <c r="H8">
        <f t="shared" si="3"/>
        <v>4059</v>
      </c>
      <c r="J8" s="1">
        <f t="shared" si="0"/>
        <v>-8122059.0000000009</v>
      </c>
      <c r="L8" s="1"/>
      <c r="O8" s="3"/>
      <c r="Q8" s="3"/>
      <c r="U8" s="5"/>
      <c r="V8" s="1"/>
      <c r="Z8" s="1"/>
    </row>
    <row r="9" spans="1:27" x14ac:dyDescent="0.2">
      <c r="A9" s="3">
        <v>45737</v>
      </c>
      <c r="B9" t="s">
        <v>1</v>
      </c>
      <c r="C9" s="5" t="s">
        <v>158</v>
      </c>
      <c r="D9" t="s">
        <v>25</v>
      </c>
      <c r="E9" s="5" t="s">
        <v>97</v>
      </c>
      <c r="F9" s="1">
        <v>200000</v>
      </c>
      <c r="G9">
        <f>Assets!R16</f>
        <v>38.56</v>
      </c>
      <c r="H9">
        <f t="shared" si="3"/>
        <v>3856</v>
      </c>
      <c r="J9" s="1">
        <f t="shared" si="0"/>
        <v>-7715856</v>
      </c>
      <c r="O9" s="3"/>
      <c r="Q9" s="3"/>
      <c r="U9" s="5"/>
      <c r="V9" s="1"/>
      <c r="Z9" s="1"/>
    </row>
    <row r="10" spans="1:27" x14ac:dyDescent="0.2">
      <c r="A10" s="3">
        <v>45737</v>
      </c>
      <c r="B10" t="s">
        <v>1</v>
      </c>
      <c r="C10" s="5" t="s">
        <v>33</v>
      </c>
      <c r="D10" t="s">
        <v>4</v>
      </c>
      <c r="E10" s="5" t="s">
        <v>33</v>
      </c>
      <c r="I10">
        <f>(0.02/365)*J2</f>
        <v>54794.520547945205</v>
      </c>
      <c r="J10" s="1">
        <f>-I10</f>
        <v>-54794.520547945205</v>
      </c>
      <c r="O10" s="3"/>
      <c r="Q10" s="3"/>
      <c r="U10" s="5"/>
      <c r="V10" s="1"/>
      <c r="Z10" s="1"/>
    </row>
    <row r="11" spans="1:27" x14ac:dyDescent="0.2">
      <c r="A11" s="3">
        <v>45737</v>
      </c>
      <c r="B11" t="s">
        <v>0</v>
      </c>
      <c r="C11" s="5" t="s">
        <v>33</v>
      </c>
      <c r="D11" t="s">
        <v>4</v>
      </c>
      <c r="E11" s="5" t="s">
        <v>33</v>
      </c>
      <c r="J11" s="1">
        <f>Answer!H15</f>
        <v>652.05860695557215</v>
      </c>
      <c r="O11" s="3"/>
      <c r="Q11" s="3"/>
      <c r="U11" s="5"/>
      <c r="V11" s="1"/>
      <c r="Z11" s="1"/>
    </row>
    <row r="12" spans="1:27" x14ac:dyDescent="0.2">
      <c r="A12" s="3">
        <v>45740</v>
      </c>
      <c r="B12" s="5" t="s">
        <v>0</v>
      </c>
      <c r="C12" s="2" t="s">
        <v>33</v>
      </c>
      <c r="D12" s="5" t="s">
        <v>4</v>
      </c>
      <c r="E12" s="5" t="s">
        <v>33</v>
      </c>
      <c r="J12" s="1">
        <v>500000000</v>
      </c>
      <c r="O12" s="3"/>
      <c r="Q12" s="3">
        <v>41505</v>
      </c>
      <c r="R12" t="s">
        <v>1</v>
      </c>
      <c r="S12" t="s">
        <v>6</v>
      </c>
      <c r="T12" t="s">
        <v>25</v>
      </c>
      <c r="U12" s="5" t="s">
        <v>33</v>
      </c>
      <c r="V12" s="1">
        <v>5000</v>
      </c>
      <c r="W12">
        <v>79.45</v>
      </c>
      <c r="X12">
        <f t="shared" si="1"/>
        <v>199</v>
      </c>
      <c r="Z12" s="1">
        <f t="shared" si="2"/>
        <v>-397449</v>
      </c>
    </row>
    <row r="13" spans="1:27" x14ac:dyDescent="0.2">
      <c r="A13" s="3">
        <v>45740</v>
      </c>
      <c r="B13" s="5" t="s">
        <v>1</v>
      </c>
      <c r="C13" s="5" t="s">
        <v>97</v>
      </c>
      <c r="D13" s="5" t="s">
        <v>4</v>
      </c>
      <c r="E13" s="5" t="s">
        <v>33</v>
      </c>
      <c r="F13" s="1">
        <v>70000000</v>
      </c>
      <c r="G13">
        <f>(Assets!C16+Assets!D16)/2</f>
        <v>7.0563500000000001</v>
      </c>
      <c r="H13">
        <f>ROUND(MAX(F13*G13*0.0005,100),0)</f>
        <v>246972</v>
      </c>
      <c r="J13" s="1">
        <f t="shared" ref="J13" si="4">IF(B13="Buy",-F13*G13,F13*G13)-H13-I13</f>
        <v>-494191472</v>
      </c>
      <c r="O13" s="3"/>
      <c r="Q13" s="3">
        <v>41505</v>
      </c>
      <c r="R13" t="s">
        <v>1</v>
      </c>
      <c r="S13" t="s">
        <v>9</v>
      </c>
      <c r="T13" t="s">
        <v>25</v>
      </c>
      <c r="U13" s="5" t="s">
        <v>33</v>
      </c>
      <c r="V13" s="1">
        <v>1000</v>
      </c>
      <c r="W13">
        <v>302</v>
      </c>
      <c r="X13">
        <f t="shared" si="1"/>
        <v>151</v>
      </c>
      <c r="Z13" s="1">
        <f t="shared" si="2"/>
        <v>-302151</v>
      </c>
    </row>
    <row r="14" spans="1:27" x14ac:dyDescent="0.2">
      <c r="A14" s="3">
        <v>45740</v>
      </c>
      <c r="B14" s="5" t="s">
        <v>20</v>
      </c>
      <c r="C14" s="5" t="s">
        <v>96</v>
      </c>
      <c r="D14" s="5" t="s">
        <v>71</v>
      </c>
      <c r="E14" s="5" t="s">
        <v>97</v>
      </c>
      <c r="F14" s="1">
        <v>1</v>
      </c>
      <c r="O14" s="3"/>
      <c r="Q14" s="3"/>
      <c r="U14" s="5"/>
      <c r="V14" s="1"/>
      <c r="Z14" s="1"/>
    </row>
    <row r="15" spans="1:27" x14ac:dyDescent="0.2">
      <c r="A15" s="3">
        <v>45740</v>
      </c>
      <c r="B15" t="s">
        <v>1</v>
      </c>
      <c r="C15" s="5" t="s">
        <v>154</v>
      </c>
      <c r="D15" t="s">
        <v>25</v>
      </c>
      <c r="E15" s="5" t="s">
        <v>97</v>
      </c>
      <c r="F15" s="1">
        <v>30000</v>
      </c>
      <c r="G15">
        <f>Assets!J15</f>
        <v>139.07</v>
      </c>
      <c r="H15">
        <f t="shared" si="3"/>
        <v>2086</v>
      </c>
      <c r="J15" s="1">
        <f t="shared" si="0"/>
        <v>-4174186</v>
      </c>
      <c r="O15" s="3"/>
      <c r="Q15" s="3">
        <v>41505</v>
      </c>
      <c r="R15" t="s">
        <v>1</v>
      </c>
      <c r="S15" t="s">
        <v>10</v>
      </c>
      <c r="T15" t="s">
        <v>25</v>
      </c>
      <c r="U15" s="5" t="s">
        <v>33</v>
      </c>
      <c r="V15" s="1">
        <v>2000</v>
      </c>
      <c r="W15">
        <v>124.6</v>
      </c>
      <c r="X15">
        <f t="shared" si="1"/>
        <v>125</v>
      </c>
      <c r="Z15" s="1">
        <f t="shared" si="2"/>
        <v>-249325</v>
      </c>
    </row>
    <row r="16" spans="1:27" x14ac:dyDescent="0.2">
      <c r="A16" s="3">
        <v>45740</v>
      </c>
      <c r="B16" t="s">
        <v>1</v>
      </c>
      <c r="C16" s="5" t="s">
        <v>155</v>
      </c>
      <c r="D16" t="s">
        <v>25</v>
      </c>
      <c r="E16" s="5" t="s">
        <v>97</v>
      </c>
      <c r="F16" s="1">
        <v>30000</v>
      </c>
      <c r="G16">
        <f>Assets!L15</f>
        <v>159.87</v>
      </c>
      <c r="H16">
        <f t="shared" si="3"/>
        <v>2398</v>
      </c>
      <c r="J16" s="1">
        <f t="shared" si="0"/>
        <v>-4798498</v>
      </c>
      <c r="O16" s="3"/>
      <c r="Q16" s="3">
        <v>41505</v>
      </c>
      <c r="R16" t="s">
        <v>1</v>
      </c>
      <c r="S16" s="5" t="s">
        <v>11</v>
      </c>
      <c r="T16" t="s">
        <v>25</v>
      </c>
      <c r="U16" s="5" t="s">
        <v>33</v>
      </c>
      <c r="V16" s="1">
        <v>1000</v>
      </c>
      <c r="W16">
        <v>98.55</v>
      </c>
      <c r="X16">
        <f t="shared" si="1"/>
        <v>100</v>
      </c>
      <c r="Z16" s="1">
        <f t="shared" si="2"/>
        <v>-98650</v>
      </c>
    </row>
    <row r="17" spans="1:27" x14ac:dyDescent="0.2">
      <c r="A17" s="3">
        <v>45740</v>
      </c>
      <c r="B17" s="5" t="s">
        <v>1</v>
      </c>
      <c r="C17" s="5" t="s">
        <v>156</v>
      </c>
      <c r="D17" s="5" t="s">
        <v>25</v>
      </c>
      <c r="E17" s="5" t="s">
        <v>97</v>
      </c>
      <c r="F17" s="1">
        <v>1000000</v>
      </c>
      <c r="G17">
        <f>Assets!N15</f>
        <v>5.46</v>
      </c>
      <c r="H17">
        <f t="shared" si="3"/>
        <v>2730</v>
      </c>
      <c r="J17" s="1">
        <f t="shared" si="0"/>
        <v>-5462730</v>
      </c>
      <c r="O17" s="3"/>
      <c r="Q17" s="3">
        <v>41506</v>
      </c>
      <c r="R17" t="s">
        <v>0</v>
      </c>
      <c r="S17" t="s">
        <v>33</v>
      </c>
      <c r="T17" t="s">
        <v>4</v>
      </c>
      <c r="U17" s="5" t="s">
        <v>33</v>
      </c>
      <c r="V17" s="1"/>
      <c r="W17" t="s">
        <v>63</v>
      </c>
      <c r="Z17" s="1">
        <v>-100000</v>
      </c>
    </row>
    <row r="18" spans="1:27" x14ac:dyDescent="0.2">
      <c r="A18" s="3">
        <v>45740</v>
      </c>
      <c r="B18" s="5" t="s">
        <v>1</v>
      </c>
      <c r="C18" s="5" t="s">
        <v>157</v>
      </c>
      <c r="D18" s="5" t="s">
        <v>25</v>
      </c>
      <c r="E18" s="5" t="s">
        <v>97</v>
      </c>
      <c r="F18" s="1">
        <v>400000</v>
      </c>
      <c r="G18">
        <f>Assets!P15</f>
        <v>41.47</v>
      </c>
      <c r="H18">
        <f t="shared" si="3"/>
        <v>8294</v>
      </c>
      <c r="J18" s="1">
        <f t="shared" si="0"/>
        <v>-16596294</v>
      </c>
      <c r="O18" s="3"/>
      <c r="Q18" s="3">
        <v>41506</v>
      </c>
      <c r="R18" t="s">
        <v>20</v>
      </c>
      <c r="S18" t="s">
        <v>11</v>
      </c>
      <c r="T18" s="5" t="s">
        <v>25</v>
      </c>
      <c r="U18" s="5" t="s">
        <v>33</v>
      </c>
      <c r="V18" s="1">
        <v>600</v>
      </c>
      <c r="W18">
        <v>97.55</v>
      </c>
      <c r="X18">
        <f>ROUND(MAX(V18*W18*0.0005,100),0)</f>
        <v>100</v>
      </c>
      <c r="Z18" s="1">
        <f>IF(R18="Buy",-V18*W18,V18*W18)-X18-Y18</f>
        <v>58430</v>
      </c>
    </row>
    <row r="19" spans="1:27" x14ac:dyDescent="0.2">
      <c r="A19" s="3">
        <v>45740</v>
      </c>
      <c r="B19" s="5" t="s">
        <v>1</v>
      </c>
      <c r="C19" s="5" t="s">
        <v>158</v>
      </c>
      <c r="D19" s="5" t="s">
        <v>25</v>
      </c>
      <c r="E19" s="5" t="s">
        <v>97</v>
      </c>
      <c r="F19" s="1">
        <v>200000</v>
      </c>
      <c r="G19">
        <f>Assets!R15</f>
        <v>38.799999999999997</v>
      </c>
      <c r="H19">
        <f t="shared" si="3"/>
        <v>3880</v>
      </c>
      <c r="J19" s="1">
        <f t="shared" si="0"/>
        <v>-7763879.9999999991</v>
      </c>
      <c r="O19" s="3"/>
      <c r="Q19" s="3">
        <v>41507</v>
      </c>
      <c r="R19" t="s">
        <v>0</v>
      </c>
      <c r="S19" t="s">
        <v>33</v>
      </c>
      <c r="T19" s="5" t="s">
        <v>4</v>
      </c>
      <c r="U19" s="5" t="s">
        <v>33</v>
      </c>
      <c r="V19" s="1"/>
      <c r="W19" t="s">
        <v>63</v>
      </c>
      <c r="Z19" s="1">
        <v>500000</v>
      </c>
    </row>
    <row r="20" spans="1:27" x14ac:dyDescent="0.2">
      <c r="A20" s="3">
        <v>45740</v>
      </c>
      <c r="B20" t="s">
        <v>0</v>
      </c>
      <c r="C20" s="5" t="s">
        <v>33</v>
      </c>
      <c r="D20" t="s">
        <v>4</v>
      </c>
      <c r="E20" s="5" t="s">
        <v>33</v>
      </c>
      <c r="J20" s="1">
        <f>Answer!H16</f>
        <v>1017.5812655700478</v>
      </c>
      <c r="O20" s="3"/>
      <c r="Q20" s="3"/>
      <c r="T20" s="5"/>
      <c r="U20" s="5"/>
      <c r="V20" s="1"/>
      <c r="Z20" s="1"/>
    </row>
    <row r="21" spans="1:27" x14ac:dyDescent="0.2">
      <c r="A21" s="3">
        <v>45740</v>
      </c>
      <c r="B21" s="5" t="s">
        <v>1</v>
      </c>
      <c r="C21" s="5" t="s">
        <v>33</v>
      </c>
      <c r="D21" s="5" t="s">
        <v>4</v>
      </c>
      <c r="E21" s="5" t="s">
        <v>33</v>
      </c>
      <c r="I21">
        <f>(0.02/365)*(J12+Answer!J15)</f>
        <v>81192.960145712525</v>
      </c>
      <c r="J21" s="1">
        <f t="shared" si="0"/>
        <v>-81192.960145712525</v>
      </c>
      <c r="O21" s="3"/>
      <c r="Q21" s="3">
        <v>41507</v>
      </c>
      <c r="R21" t="s">
        <v>1</v>
      </c>
      <c r="S21" t="s">
        <v>6</v>
      </c>
      <c r="T21" s="5" t="s">
        <v>25</v>
      </c>
      <c r="U21" s="5" t="s">
        <v>33</v>
      </c>
      <c r="V21" s="1">
        <v>8000</v>
      </c>
      <c r="W21">
        <v>78.05</v>
      </c>
      <c r="X21">
        <f>ROUND(MAX(V21*W21*0.0005,100),0)</f>
        <v>312</v>
      </c>
      <c r="Z21" s="1">
        <f>IF(R21="Buy",-V21*W21,V21*W21)-X21-Y21</f>
        <v>-624712</v>
      </c>
    </row>
    <row r="22" spans="1:27" x14ac:dyDescent="0.2">
      <c r="A22" s="3">
        <v>45741</v>
      </c>
      <c r="B22" t="s">
        <v>0</v>
      </c>
      <c r="C22" s="5" t="s">
        <v>33</v>
      </c>
      <c r="D22" t="s">
        <v>4</v>
      </c>
      <c r="E22" s="5" t="s">
        <v>33</v>
      </c>
      <c r="J22" s="1">
        <f>Answer!H17</f>
        <v>1019.0176569525589</v>
      </c>
      <c r="O22" s="3"/>
      <c r="Q22" s="3"/>
      <c r="T22" s="5"/>
      <c r="U22" s="5"/>
      <c r="V22" s="1"/>
      <c r="Z22" s="1"/>
    </row>
    <row r="23" spans="1:27" x14ac:dyDescent="0.2">
      <c r="A23" s="3">
        <v>45741</v>
      </c>
      <c r="B23" s="5" t="s">
        <v>1</v>
      </c>
      <c r="C23" s="5" t="s">
        <v>33</v>
      </c>
      <c r="D23" s="5" t="s">
        <v>4</v>
      </c>
      <c r="E23" s="5" t="s">
        <v>33</v>
      </c>
      <c r="I23">
        <f>(0.02/365)*(Answer!J16)</f>
        <v>79406.016221797137</v>
      </c>
      <c r="J23" s="1">
        <f t="shared" si="0"/>
        <v>-79406.016221797137</v>
      </c>
      <c r="O23" s="3"/>
      <c r="Q23" s="3">
        <v>41663</v>
      </c>
      <c r="R23" t="s">
        <v>1</v>
      </c>
      <c r="S23" s="2" t="s">
        <v>64</v>
      </c>
      <c r="T23" t="s">
        <v>25</v>
      </c>
      <c r="U23" s="5" t="s">
        <v>65</v>
      </c>
      <c r="V23" s="1">
        <v>100</v>
      </c>
      <c r="W23">
        <v>82</v>
      </c>
      <c r="Z23" s="1">
        <f>IF(R23="Buy",-V23*W23,V23*W23)-X23-Y23</f>
        <v>-8200</v>
      </c>
    </row>
    <row r="24" spans="1:27" x14ac:dyDescent="0.2">
      <c r="A24" s="3">
        <v>45742</v>
      </c>
      <c r="B24" s="5" t="s">
        <v>1</v>
      </c>
      <c r="C24" s="5" t="s">
        <v>33</v>
      </c>
      <c r="D24" s="5" t="s">
        <v>4</v>
      </c>
      <c r="E24" s="5" t="s">
        <v>33</v>
      </c>
      <c r="I24">
        <f>(0.02/365)*(Answer!J17)</f>
        <v>79091.150930627075</v>
      </c>
      <c r="J24" s="1">
        <f t="shared" si="0"/>
        <v>-79091.150930627075</v>
      </c>
      <c r="O24" s="3"/>
      <c r="Q24" s="3">
        <v>44083</v>
      </c>
      <c r="R24" t="s">
        <v>1</v>
      </c>
      <c r="S24" s="2" t="s">
        <v>89</v>
      </c>
      <c r="T24" t="s">
        <v>66</v>
      </c>
      <c r="U24" s="5" t="s">
        <v>33</v>
      </c>
      <c r="V24" s="1">
        <v>100</v>
      </c>
      <c r="W24">
        <v>156</v>
      </c>
      <c r="X24">
        <f>ROUND(MAX(V24*W24*0.0005,100),0)</f>
        <v>100</v>
      </c>
      <c r="Z24" s="1">
        <f>IF(R24="Buy",-V24*W24,V24*W24)-X24-Y24</f>
        <v>-15700</v>
      </c>
    </row>
    <row r="25" spans="1:27" x14ac:dyDescent="0.2">
      <c r="A25" s="3">
        <v>45742</v>
      </c>
      <c r="B25" s="5" t="s">
        <v>76</v>
      </c>
      <c r="C25" s="5" t="s">
        <v>146</v>
      </c>
      <c r="D25" s="5" t="s">
        <v>4</v>
      </c>
      <c r="E25" s="5" t="s">
        <v>97</v>
      </c>
      <c r="J25" s="1">
        <f>Answer!W18</f>
        <v>6320111.3808819996</v>
      </c>
      <c r="O25" s="3"/>
      <c r="Q25" s="3">
        <v>44083</v>
      </c>
      <c r="R25" t="s">
        <v>1</v>
      </c>
      <c r="S25" t="s">
        <v>65</v>
      </c>
      <c r="T25" t="s">
        <v>4</v>
      </c>
      <c r="U25" s="5" t="s">
        <v>33</v>
      </c>
      <c r="V25" s="1">
        <v>10000</v>
      </c>
      <c r="W25">
        <v>8.1999999999999993</v>
      </c>
      <c r="X25">
        <f>ROUND(MAX(V25*W25*0.0005,100),0)</f>
        <v>100</v>
      </c>
      <c r="Z25" s="1">
        <f>IF(R25="Buy",-V25*W25,V25*W25)-X25-Y25</f>
        <v>-82100</v>
      </c>
    </row>
    <row r="26" spans="1:27" x14ac:dyDescent="0.2">
      <c r="A26" s="3">
        <v>45742</v>
      </c>
      <c r="B26" t="s">
        <v>0</v>
      </c>
      <c r="C26" s="5" t="s">
        <v>33</v>
      </c>
      <c r="D26" t="s">
        <v>4</v>
      </c>
      <c r="E26" s="5" t="s">
        <v>33</v>
      </c>
      <c r="J26" s="1">
        <f>Answer!H18</f>
        <v>1017.7100119328981</v>
      </c>
      <c r="O26" s="3"/>
      <c r="Q26" s="3"/>
      <c r="U26" s="5"/>
      <c r="V26" s="1"/>
      <c r="Z26" s="1"/>
    </row>
    <row r="27" spans="1:27" x14ac:dyDescent="0.2">
      <c r="A27" s="3">
        <v>45743</v>
      </c>
      <c r="B27" s="5" t="s">
        <v>1</v>
      </c>
      <c r="C27" s="5" t="s">
        <v>33</v>
      </c>
      <c r="D27" s="5" t="s">
        <v>4</v>
      </c>
      <c r="E27" s="5" t="s">
        <v>33</v>
      </c>
      <c r="I27">
        <f>(0.02/365)*(Answer!J18)</f>
        <v>80234.116621087422</v>
      </c>
      <c r="J27" s="1">
        <f t="shared" si="0"/>
        <v>-80234.116621087422</v>
      </c>
      <c r="O27" s="3"/>
      <c r="Q27" s="3">
        <v>44083</v>
      </c>
      <c r="R27" s="5" t="s">
        <v>1</v>
      </c>
      <c r="S27" t="s">
        <v>90</v>
      </c>
      <c r="T27" s="5" t="s">
        <v>62</v>
      </c>
      <c r="U27" s="5" t="s">
        <v>33</v>
      </c>
      <c r="V27" s="1">
        <v>10</v>
      </c>
      <c r="W27">
        <v>116</v>
      </c>
      <c r="X27">
        <f>ROUND(MAX(V27*W27*100*0.008,100),0)</f>
        <v>928</v>
      </c>
      <c r="Y27">
        <f>V27*3.5</f>
        <v>35</v>
      </c>
      <c r="Z27" s="1">
        <f>IF(R27="Buy",-V27*W27,V27*W27)*100-X27-Y27</f>
        <v>-116963</v>
      </c>
    </row>
    <row r="28" spans="1:27" x14ac:dyDescent="0.2">
      <c r="A28" s="3">
        <v>45743</v>
      </c>
      <c r="B28" s="5" t="s">
        <v>76</v>
      </c>
      <c r="C28" s="5" t="s">
        <v>146</v>
      </c>
      <c r="D28" s="5" t="s">
        <v>4</v>
      </c>
      <c r="E28" s="5" t="s">
        <v>97</v>
      </c>
      <c r="J28" s="1">
        <f>Answer!W19</f>
        <v>0</v>
      </c>
      <c r="K28" s="5"/>
      <c r="Q28" s="3">
        <v>44083</v>
      </c>
      <c r="R28" s="5" t="s">
        <v>1</v>
      </c>
      <c r="S28" s="5" t="s">
        <v>91</v>
      </c>
      <c r="T28" s="5" t="s">
        <v>71</v>
      </c>
      <c r="U28" s="5" t="s">
        <v>33</v>
      </c>
      <c r="V28" s="1">
        <v>10</v>
      </c>
      <c r="W28">
        <v>0</v>
      </c>
      <c r="Y28">
        <f>V28*3.5</f>
        <v>35</v>
      </c>
      <c r="Z28" s="1">
        <f>IF(R28="Buy",-V28*W28,V28*W28)-X28-Y28</f>
        <v>-35</v>
      </c>
      <c r="AA28" s="5">
        <v>1791</v>
      </c>
    </row>
    <row r="29" spans="1:27" x14ac:dyDescent="0.2">
      <c r="A29" s="3">
        <v>45743</v>
      </c>
      <c r="B29" t="s">
        <v>0</v>
      </c>
      <c r="C29" s="5" t="s">
        <v>33</v>
      </c>
      <c r="D29" t="s">
        <v>4</v>
      </c>
      <c r="E29" s="5" t="s">
        <v>33</v>
      </c>
      <c r="J29" s="1">
        <f>Answer!H19</f>
        <v>1017.7743478514844</v>
      </c>
      <c r="Q29" s="3"/>
      <c r="R29" s="5"/>
      <c r="S29" s="5"/>
      <c r="T29" s="5"/>
      <c r="U29" s="5"/>
      <c r="V29" s="1"/>
      <c r="Z29" s="1"/>
    </row>
    <row r="32" spans="1:27" x14ac:dyDescent="0.2">
      <c r="Q32" s="10">
        <v>45387</v>
      </c>
      <c r="R32" t="s">
        <v>0</v>
      </c>
      <c r="S32" t="s">
        <v>33</v>
      </c>
      <c r="T32" t="s">
        <v>4</v>
      </c>
      <c r="U32" s="5" t="s">
        <v>33</v>
      </c>
      <c r="V32" s="1"/>
      <c r="W32" t="s">
        <v>63</v>
      </c>
      <c r="Z32" s="1">
        <v>10000000</v>
      </c>
    </row>
    <row r="33" spans="1:28" x14ac:dyDescent="0.2">
      <c r="P33" t="s">
        <v>83</v>
      </c>
      <c r="Q33" s="10">
        <v>45387</v>
      </c>
      <c r="R33" s="8" t="s">
        <v>20</v>
      </c>
      <c r="S33" s="8" t="s">
        <v>93</v>
      </c>
      <c r="T33" s="8" t="s">
        <v>62</v>
      </c>
      <c r="U33" s="8" t="s">
        <v>65</v>
      </c>
      <c r="V33" s="9">
        <v>5000</v>
      </c>
      <c r="W33" s="8">
        <v>59</v>
      </c>
      <c r="X33" s="8">
        <v>1475</v>
      </c>
      <c r="Y33" s="8">
        <f>0.5*V33</f>
        <v>2500</v>
      </c>
      <c r="Z33" s="9">
        <v>2951475</v>
      </c>
      <c r="AA33" s="8"/>
      <c r="AB33" s="8"/>
    </row>
    <row r="34" spans="1:28" x14ac:dyDescent="0.2">
      <c r="Q34" s="10">
        <v>45387</v>
      </c>
      <c r="R34" s="8" t="s">
        <v>20</v>
      </c>
      <c r="S34" s="8" t="s">
        <v>94</v>
      </c>
      <c r="T34" s="8" t="s">
        <v>62</v>
      </c>
      <c r="U34" s="8" t="s">
        <v>65</v>
      </c>
      <c r="V34" s="9">
        <v>5000</v>
      </c>
      <c r="W34" s="8">
        <v>190</v>
      </c>
      <c r="X34" s="8">
        <v>4750</v>
      </c>
      <c r="Y34" s="8">
        <f>0.5*V34</f>
        <v>2500</v>
      </c>
      <c r="Z34" s="9">
        <v>9504750</v>
      </c>
      <c r="AA34" s="8"/>
      <c r="AB34" s="8"/>
    </row>
    <row r="35" spans="1:28" x14ac:dyDescent="0.2">
      <c r="Q35" s="10">
        <v>45387</v>
      </c>
      <c r="R35" s="8" t="s">
        <v>1</v>
      </c>
      <c r="S35" s="8" t="s">
        <v>95</v>
      </c>
      <c r="T35" s="8" t="s">
        <v>75</v>
      </c>
      <c r="U35" s="8" t="s">
        <v>65</v>
      </c>
      <c r="V35" s="9">
        <v>530</v>
      </c>
      <c r="W35" s="8">
        <v>0</v>
      </c>
      <c r="X35" s="8">
        <v>0</v>
      </c>
      <c r="Y35" s="8"/>
      <c r="Z35" s="9">
        <v>0</v>
      </c>
    </row>
    <row r="36" spans="1:28" x14ac:dyDescent="0.2">
      <c r="Q36" s="10">
        <v>45390</v>
      </c>
      <c r="R36" s="8" t="s">
        <v>0</v>
      </c>
      <c r="S36" s="8" t="s">
        <v>65</v>
      </c>
      <c r="T36" s="8" t="s">
        <v>4</v>
      </c>
      <c r="U36" s="8" t="s">
        <v>65</v>
      </c>
      <c r="V36" s="8"/>
      <c r="W36" s="8" t="s">
        <v>63</v>
      </c>
      <c r="X36" s="8"/>
      <c r="Y36" s="8"/>
      <c r="Z36" s="11">
        <v>3840.6693750000004</v>
      </c>
    </row>
    <row r="37" spans="1:28" x14ac:dyDescent="0.2">
      <c r="P37" s="5" t="s">
        <v>75</v>
      </c>
      <c r="Q37" s="10">
        <v>45390</v>
      </c>
      <c r="R37" s="8" t="s">
        <v>1</v>
      </c>
      <c r="S37" s="8" t="s">
        <v>95</v>
      </c>
      <c r="T37" s="8" t="s">
        <v>75</v>
      </c>
      <c r="U37" s="8" t="s">
        <v>65</v>
      </c>
      <c r="V37" s="9">
        <v>568</v>
      </c>
      <c r="W37" s="8">
        <v>0</v>
      </c>
      <c r="X37" s="8">
        <v>0</v>
      </c>
      <c r="Y37" s="8"/>
      <c r="Z37" s="9">
        <v>0</v>
      </c>
    </row>
    <row r="38" spans="1:28" x14ac:dyDescent="0.2">
      <c r="Q38" s="10">
        <v>45390</v>
      </c>
      <c r="R38" s="8" t="s">
        <v>76</v>
      </c>
      <c r="S38" s="8" t="s">
        <v>95</v>
      </c>
      <c r="T38" s="8" t="s">
        <v>75</v>
      </c>
      <c r="U38" s="8" t="s">
        <v>65</v>
      </c>
      <c r="V38" s="8"/>
      <c r="W38" s="8"/>
      <c r="X38" s="8"/>
      <c r="Y38" s="8"/>
      <c r="Z38" s="9">
        <v>172250</v>
      </c>
    </row>
    <row r="39" spans="1:28" x14ac:dyDescent="0.2">
      <c r="P39" s="5" t="s">
        <v>71</v>
      </c>
      <c r="Q39" s="3">
        <v>45390</v>
      </c>
      <c r="R39" s="5" t="s">
        <v>20</v>
      </c>
      <c r="S39" s="5" t="s">
        <v>96</v>
      </c>
      <c r="T39" s="5" t="s">
        <v>71</v>
      </c>
      <c r="U39" s="5" t="s">
        <v>97</v>
      </c>
      <c r="V39" s="1">
        <v>1</v>
      </c>
      <c r="W39">
        <v>0</v>
      </c>
      <c r="Z39" s="1">
        <v>0</v>
      </c>
    </row>
    <row r="41" spans="1:28" x14ac:dyDescent="0.2">
      <c r="A41" s="3"/>
    </row>
    <row r="42" spans="1:28" x14ac:dyDescent="0.2">
      <c r="A42" s="3"/>
    </row>
    <row r="43" spans="1:28" x14ac:dyDescent="0.2">
      <c r="A43" s="3"/>
    </row>
    <row r="44" spans="1:28" x14ac:dyDescent="0.2">
      <c r="A44" s="3"/>
      <c r="Q44" s="3"/>
      <c r="Z44" s="1"/>
    </row>
    <row r="45" spans="1:28" x14ac:dyDescent="0.2">
      <c r="A45" s="3"/>
      <c r="Q45" s="3"/>
      <c r="V45" s="1"/>
      <c r="Z45" s="1"/>
    </row>
    <row r="46" spans="1:28" x14ac:dyDescent="0.2">
      <c r="A46" s="3"/>
      <c r="Q46" s="3"/>
      <c r="V46" s="1"/>
      <c r="Z46" s="1"/>
    </row>
    <row r="47" spans="1:28" x14ac:dyDescent="0.2">
      <c r="A47" s="3"/>
      <c r="Q47" s="3"/>
      <c r="V47" s="1"/>
      <c r="Z47" s="1"/>
    </row>
    <row r="48" spans="1:28" x14ac:dyDescent="0.2">
      <c r="A48" s="3"/>
      <c r="Q48" s="3"/>
      <c r="V48" s="1"/>
      <c r="Z48" s="1"/>
    </row>
    <row r="49" spans="1:26" x14ac:dyDescent="0.2">
      <c r="A49" s="3"/>
      <c r="Q49" s="3"/>
      <c r="V49" s="1"/>
      <c r="Z49" s="1"/>
    </row>
    <row r="50" spans="1:26" x14ac:dyDescent="0.2">
      <c r="A50" s="3"/>
      <c r="Q50" s="3"/>
      <c r="V50" s="1"/>
      <c r="Z50" s="1"/>
    </row>
    <row r="51" spans="1:26" x14ac:dyDescent="0.2">
      <c r="A51" s="3"/>
      <c r="Q51" s="3"/>
      <c r="V51" s="1"/>
      <c r="Z51" s="1"/>
    </row>
    <row r="52" spans="1:26" x14ac:dyDescent="0.2">
      <c r="A52" s="3"/>
      <c r="Q52" s="3"/>
      <c r="T52" s="5"/>
      <c r="V52" s="1"/>
      <c r="Z52" s="1"/>
    </row>
    <row r="53" spans="1:26" x14ac:dyDescent="0.2">
      <c r="A53" s="3"/>
      <c r="Q53" s="3"/>
      <c r="V53" s="1"/>
      <c r="Z53" s="1"/>
    </row>
    <row r="54" spans="1:26" x14ac:dyDescent="0.2">
      <c r="A54" s="3"/>
      <c r="Q54" s="3"/>
      <c r="T54" s="5"/>
      <c r="V54" s="1"/>
      <c r="Z54" s="1"/>
    </row>
    <row r="55" spans="1:26" x14ac:dyDescent="0.2">
      <c r="A55" s="3"/>
      <c r="Q55" s="3"/>
      <c r="T55" s="5"/>
      <c r="V55" s="1"/>
      <c r="Z55" s="1"/>
    </row>
    <row r="56" spans="1:26" x14ac:dyDescent="0.2">
      <c r="A56" s="3"/>
    </row>
    <row r="57" spans="1:26" x14ac:dyDescent="0.2">
      <c r="A57" s="3"/>
    </row>
    <row r="58" spans="1:26" x14ac:dyDescent="0.2">
      <c r="A58" s="3"/>
    </row>
    <row r="59" spans="1:26" x14ac:dyDescent="0.2">
      <c r="A59" s="3"/>
    </row>
    <row r="60" spans="1:26" x14ac:dyDescent="0.2">
      <c r="A60" s="3"/>
    </row>
    <row r="61" spans="1:26" x14ac:dyDescent="0.2">
      <c r="A61" s="3"/>
    </row>
    <row r="62" spans="1:26" x14ac:dyDescent="0.2">
      <c r="A62" s="3"/>
    </row>
    <row r="63" spans="1:26" x14ac:dyDescent="0.2">
      <c r="A63" s="3"/>
    </row>
    <row r="64" spans="1:26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7"/>
  <sheetViews>
    <sheetView zoomScaleNormal="100" workbookViewId="0">
      <selection activeCell="F10" sqref="F10"/>
    </sheetView>
  </sheetViews>
  <sheetFormatPr defaultRowHeight="12.75" x14ac:dyDescent="0.2"/>
  <cols>
    <col min="1" max="1" width="19.28515625" customWidth="1"/>
    <col min="2" max="2" width="10.140625" bestFit="1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6" t="e">
        <f>data!$F$2</f>
        <v>#VALUE!</v>
      </c>
      <c r="F2">
        <f>_xll.RtGet("IDN","STISEK3MDFI=","TRDPRC_1")/100</f>
        <v>2.3210000000000001E-2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CAD=</v>
      </c>
      <c r="B5">
        <f>data!$B$5</f>
        <v>100151232.32980315</v>
      </c>
      <c r="C5" s="7">
        <f>data!$C$5</f>
        <v>2.0899999999999998E-2</v>
      </c>
      <c r="D5">
        <f>data!$D$5</f>
        <v>7.089472938509493</v>
      </c>
      <c r="E5">
        <f>data!$E$5</f>
        <v>710019451.36051655</v>
      </c>
      <c r="F5" s="4" t="e">
        <f>data!$E$5/data!$F$2</f>
        <v>#VALUE!</v>
      </c>
    </row>
    <row r="6" spans="1:12" x14ac:dyDescent="0.2">
      <c r="A6" t="str">
        <f>data!$A$6</f>
        <v>SEK=</v>
      </c>
      <c r="B6">
        <f>data!$B$6</f>
        <v>15783393.285506506</v>
      </c>
      <c r="C6" s="7">
        <f>data!$C$6</f>
        <v>2.1000000000000001E-2</v>
      </c>
      <c r="D6">
        <f>data!$D$6</f>
        <v>1</v>
      </c>
      <c r="E6">
        <f>data!$E$6</f>
        <v>15783393.285506506</v>
      </c>
      <c r="F6" s="4" t="e">
        <f>data!$E$6/data!$F$2</f>
        <v>#VALUE!</v>
      </c>
    </row>
    <row r="8" spans="1:12" x14ac:dyDescent="0.2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>
        <f>data!$K$9</f>
        <v>0</v>
      </c>
      <c r="L8">
        <f>data!$L$9</f>
        <v>0</v>
      </c>
    </row>
    <row r="9" spans="1:12" x14ac:dyDescent="0.2">
      <c r="A9" t="str">
        <f>data!$A$10</f>
        <v>.OMXS30</v>
      </c>
      <c r="B9">
        <f>data!$B$10</f>
        <v>0</v>
      </c>
      <c r="C9">
        <f>data!$C$10</f>
        <v>2175.7649999999999</v>
      </c>
      <c r="D9">
        <f>data!$D$10</f>
        <v>1</v>
      </c>
      <c r="E9">
        <f>data!$E$10</f>
        <v>0</v>
      </c>
      <c r="F9" s="4" t="e">
        <f>data!$E$10/data!$F$2</f>
        <v>#VALUE!</v>
      </c>
      <c r="H9">
        <f>data!$F$10</f>
        <v>0</v>
      </c>
      <c r="I9">
        <f>data!$G$10</f>
        <v>0</v>
      </c>
      <c r="J9">
        <f>data!$J$10</f>
        <v>196282015</v>
      </c>
      <c r="K9">
        <f>data!$K$10</f>
        <v>0</v>
      </c>
      <c r="L9">
        <f>data!$L$10</f>
        <v>0</v>
      </c>
    </row>
    <row r="10" spans="1:12" x14ac:dyDescent="0.2">
      <c r="A10" t="str">
        <f>data!$A$11</f>
        <v>CLS.TO</v>
      </c>
      <c r="B10">
        <f>data!$B$11</f>
        <v>230000</v>
      </c>
      <c r="C10">
        <f>data!$C$11</f>
        <v>106.83</v>
      </c>
      <c r="D10">
        <f>data!$D$11</f>
        <v>7.089472938509493</v>
      </c>
      <c r="E10">
        <f>data!$E$11</f>
        <v>174194730.62482291</v>
      </c>
      <c r="F10" s="4" t="e">
        <f>data!$E$11/data!$F$2</f>
        <v>#VALUE!</v>
      </c>
      <c r="H10">
        <f>data!$F$11</f>
        <v>106.5</v>
      </c>
      <c r="I10">
        <f>data!$G$11</f>
        <v>107.16</v>
      </c>
      <c r="J10">
        <f>data!$J$11</f>
        <v>499235</v>
      </c>
      <c r="K10">
        <f>data!$K$11</f>
        <v>0</v>
      </c>
      <c r="L10">
        <f>data!$L$11</f>
        <v>0</v>
      </c>
    </row>
    <row r="11" spans="1:12" x14ac:dyDescent="0.2">
      <c r="A11" t="str">
        <f>data!$A$12</f>
        <v>CTS.TO</v>
      </c>
      <c r="B11">
        <f>data!$B$12</f>
        <v>1200000</v>
      </c>
      <c r="C11">
        <f>data!$C$12</f>
        <v>5.9749999999999996</v>
      </c>
      <c r="D11">
        <f>data!$D$12</f>
        <v>7.089472938509493</v>
      </c>
      <c r="E11">
        <f>data!$E$12</f>
        <v>50831520.969113067</v>
      </c>
      <c r="F11" s="4" t="e">
        <f>data!$E$12/data!$F$2</f>
        <v>#VALUE!</v>
      </c>
      <c r="H11">
        <f>data!$F$12</f>
        <v>5.97</v>
      </c>
      <c r="I11">
        <f>data!$G$12</f>
        <v>5.98</v>
      </c>
      <c r="J11">
        <f>data!$J$12</f>
        <v>684173</v>
      </c>
      <c r="K11">
        <f>data!$K$12</f>
        <v>0</v>
      </c>
      <c r="L11">
        <f>data!$L$12</f>
        <v>0</v>
      </c>
    </row>
    <row r="12" spans="1:12" x14ac:dyDescent="0.2">
      <c r="A12" t="str">
        <f>data!$A$13</f>
        <v>KXS.TO</v>
      </c>
      <c r="B12">
        <f>data!$B$13</f>
        <v>230000</v>
      </c>
      <c r="C12">
        <f>data!$C$13</f>
        <v>163.06</v>
      </c>
      <c r="D12">
        <f>data!$D$13</f>
        <v>7.089472938509493</v>
      </c>
      <c r="E12">
        <f>data!$E$13</f>
        <v>265882175.19127232</v>
      </c>
      <c r="F12" s="4" t="e">
        <f>data!$E$13/data!$F$2</f>
        <v>#VALUE!</v>
      </c>
      <c r="H12">
        <f>data!$F$13</f>
        <v>162.49</v>
      </c>
      <c r="I12">
        <f>data!$G$13</f>
        <v>163.63</v>
      </c>
      <c r="J12">
        <f>data!$J$13</f>
        <v>69397</v>
      </c>
      <c r="K12">
        <f>data!$K$13</f>
        <v>0</v>
      </c>
      <c r="L12">
        <f>data!$L$13</f>
        <v>0</v>
      </c>
    </row>
    <row r="13" spans="1:12" x14ac:dyDescent="0.2">
      <c r="A13" t="str">
        <f>data!$A$14</f>
        <v>LMN.V</v>
      </c>
      <c r="B13">
        <f>data!$B$14</f>
        <v>600000</v>
      </c>
      <c r="C13">
        <f>data!$C$14</f>
        <v>39.325000000000003</v>
      </c>
      <c r="D13">
        <f>data!$D$14</f>
        <v>7.089472938509493</v>
      </c>
      <c r="E13">
        <f>data!$E$14</f>
        <v>167276113.98413149</v>
      </c>
      <c r="F13" s="4" t="e">
        <f>data!$E$14/data!$F$2</f>
        <v>#VALUE!</v>
      </c>
      <c r="H13">
        <f>data!$F$14</f>
        <v>38.9</v>
      </c>
      <c r="I13">
        <f>data!$G$14</f>
        <v>39.75</v>
      </c>
      <c r="J13">
        <f>data!$J$14</f>
        <v>52414</v>
      </c>
      <c r="K13">
        <f>data!$K$14</f>
        <v>0</v>
      </c>
      <c r="L13">
        <f>data!$L$14</f>
        <v>0</v>
      </c>
    </row>
    <row r="14" spans="1:12" x14ac:dyDescent="0.2">
      <c r="A14" t="str">
        <f>data!$A$15</f>
        <v>OTEX.TO</v>
      </c>
      <c r="B14">
        <f>data!$B$15</f>
        <v>400000</v>
      </c>
      <c r="C14">
        <f>data!$C$15</f>
        <v>34.204999999999998</v>
      </c>
      <c r="D14">
        <f>data!$D$15</f>
        <v>7.089472938509493</v>
      </c>
      <c r="E14">
        <f>data!$E$15</f>
        <v>96998168.744686887</v>
      </c>
      <c r="F14" s="4" t="e">
        <f>data!$E$15/data!$F$2</f>
        <v>#VALUE!</v>
      </c>
      <c r="H14">
        <f>data!$F$15</f>
        <v>34.14</v>
      </c>
      <c r="I14">
        <f>data!$G$15</f>
        <v>34.270000000000003</v>
      </c>
      <c r="J14">
        <f>data!$J$15</f>
        <v>256974</v>
      </c>
      <c r="K14">
        <f>data!$K$15</f>
        <v>0</v>
      </c>
      <c r="L14">
        <f>data!$L$15</f>
        <v>0</v>
      </c>
    </row>
    <row r="16" spans="1:12" x14ac:dyDescent="0.2">
      <c r="A16" t="s">
        <v>71</v>
      </c>
      <c r="B16" t="s">
        <v>3</v>
      </c>
      <c r="C16" t="s">
        <v>15</v>
      </c>
      <c r="D16" t="s">
        <v>40</v>
      </c>
      <c r="E16" t="s">
        <v>14</v>
      </c>
      <c r="F16" t="s">
        <v>27</v>
      </c>
      <c r="G16" t="s">
        <v>67</v>
      </c>
    </row>
    <row r="17" spans="1:7" x14ac:dyDescent="0.2">
      <c r="A17" t="str">
        <f>data!$A$19</f>
        <v>CADSEK1M=R</v>
      </c>
      <c r="B17">
        <f>data!$B$19</f>
        <v>-2</v>
      </c>
      <c r="C17">
        <f>data!$C$19</f>
        <v>-23.51</v>
      </c>
      <c r="D17">
        <f>data!$D$19</f>
        <v>7.089472938509493</v>
      </c>
      <c r="E17" t="e">
        <f>data!$E$19</f>
        <v>#VALUE!</v>
      </c>
      <c r="F17" s="4" t="e">
        <f>data!$E$19/data!$F$2</f>
        <v>#VALUE!</v>
      </c>
      <c r="G17" s="26" t="str">
        <f>data!$K$19</f>
        <v>#N/A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22"/>
  <sheetViews>
    <sheetView workbookViewId="0">
      <selection activeCell="F2" sqref="F2"/>
    </sheetView>
  </sheetViews>
  <sheetFormatPr defaultRowHeight="12.75" x14ac:dyDescent="0.2"/>
  <cols>
    <col min="1" max="1" width="14.7109375" bestFit="1" customWidth="1"/>
    <col min="2" max="2" width="11.7109375" bestFit="1" customWidth="1"/>
    <col min="4" max="4" width="8.42578125" customWidth="1"/>
    <col min="5" max="5" width="12.28515625" customWidth="1"/>
    <col min="6" max="6" width="10.140625" bestFit="1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 t="e">
        <f>SUM(E:E)</f>
        <v>#VALUE!</v>
      </c>
      <c r="G2">
        <f>_xll.RtGet("IDN","STISEK3MDFI=","TRDPRC_1")/100</f>
        <v>2.3210000000000001E-2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161</v>
      </c>
      <c r="B5">
        <v>100151232.32980315</v>
      </c>
      <c r="C5">
        <f>$H5/100</f>
        <v>2.0899999999999998E-2</v>
      </c>
      <c r="D5">
        <f>1/F5*F6</f>
        <v>7.089472938509493</v>
      </c>
      <c r="E5">
        <f>B5*D5</f>
        <v>710019451.36051655</v>
      </c>
      <c r="F5">
        <f>K5</f>
        <v>1.4116</v>
      </c>
      <c r="G5" t="str">
        <f>LEFT($A5,3)&amp; "OND="</f>
        <v>CADOND=</v>
      </c>
      <c r="H5">
        <f>_xll.RtGet($A$1,G5,"BID")</f>
        <v>2.09</v>
      </c>
      <c r="I5">
        <f>_xll.RtGet($A$1,G5,"ASK")</f>
        <v>3.26</v>
      </c>
      <c r="J5">
        <f>_xll.RtGet($A$1,$A5,J$4)</f>
        <v>1.4109</v>
      </c>
      <c r="K5">
        <f>_xll.RtGet($A$1,$A5,K$4)</f>
        <v>1.4116</v>
      </c>
    </row>
    <row r="6" spans="1:13" x14ac:dyDescent="0.2">
      <c r="A6" t="s">
        <v>38</v>
      </c>
      <c r="B6">
        <v>15783393.285506506</v>
      </c>
      <c r="C6">
        <f>$H6/100</f>
        <v>2.1000000000000001E-2</v>
      </c>
      <c r="D6">
        <v>1</v>
      </c>
      <c r="E6">
        <f>B6*D6</f>
        <v>15783393.285506506</v>
      </c>
      <c r="F6">
        <f>J6</f>
        <v>10.0075</v>
      </c>
      <c r="G6" t="str">
        <f>LEFT($A6,3)&amp; "OND="</f>
        <v>SEKOND=</v>
      </c>
      <c r="H6">
        <f>_xll.RtGet($A$1,G6,"BID")</f>
        <v>2.1</v>
      </c>
      <c r="I6">
        <f>_xll.RtGet($A$1,G6,"ASK")</f>
        <v>2.23</v>
      </c>
      <c r="J6">
        <f>_xll.RtGet($A$1,$A6,J$4)</f>
        <v>10.0075</v>
      </c>
      <c r="K6">
        <f>_xll.RtGet($A$1,$A6,K$4)</f>
        <v>10.0282</v>
      </c>
    </row>
    <row r="8" spans="1:13" x14ac:dyDescent="0.2">
      <c r="K8" t="s">
        <v>30</v>
      </c>
      <c r="L8" t="s">
        <v>31</v>
      </c>
      <c r="M8" t="e">
        <f ca="1">RData($A$10:$A$15,K8:L8,,,"CH:Fd",K9)</f>
        <v>#NAME?</v>
      </c>
    </row>
    <row r="9" spans="1:13" x14ac:dyDescent="0.2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92</v>
      </c>
      <c r="I9" t="s">
        <v>88</v>
      </c>
      <c r="J9" t="s">
        <v>24</v>
      </c>
    </row>
    <row r="10" spans="1:13" x14ac:dyDescent="0.2">
      <c r="A10" t="s">
        <v>73</v>
      </c>
      <c r="B10">
        <v>0</v>
      </c>
      <c r="C10">
        <f>IF(AND($F$10&lt;&gt;0,$G$10&lt;&gt;0),($F$10+$G$10)/2,IF($H$10&lt;&gt; 0,$H$10,$I$10))</f>
        <v>2175.7649999999999</v>
      </c>
      <c r="D10">
        <f>$D$6</f>
        <v>1</v>
      </c>
      <c r="E10">
        <f>B10*C10*D10</f>
        <v>0</v>
      </c>
      <c r="F10">
        <f>_xll.RtGet($A$1,$A10,F$9)</f>
        <v>0</v>
      </c>
      <c r="G10">
        <f>_xll.RtGet($A$1,$A10,G$9)</f>
        <v>0</v>
      </c>
      <c r="H10">
        <f>_xll.RtGet($A$1,$A10,H$9)</f>
        <v>2175.7649999999999</v>
      </c>
      <c r="I10">
        <f>_xll.RtGet($A$1,$A10,I$9)</f>
        <v>2237.2550000000001</v>
      </c>
      <c r="J10">
        <f>_xll.RtGet($A$1,$A10,J$9)</f>
        <v>196282015</v>
      </c>
    </row>
    <row r="11" spans="1:13" x14ac:dyDescent="0.2">
      <c r="A11" t="s">
        <v>154</v>
      </c>
      <c r="B11">
        <v>230000</v>
      </c>
      <c r="C11">
        <f>IF(AND($F$11&lt;&gt;0,$G$11&lt;&gt;0),($F$11+$G$11)/2,IF($H$11&lt;&gt; 0,$H$11,$I$11))</f>
        <v>106.83</v>
      </c>
      <c r="D11">
        <f>$D$5</f>
        <v>7.089472938509493</v>
      </c>
      <c r="E11">
        <f>B11*C11*D11</f>
        <v>174194730.62482291</v>
      </c>
      <c r="F11">
        <f>_xll.RtGet($A$1,$A11,F$9)</f>
        <v>106.5</v>
      </c>
      <c r="G11">
        <f>_xll.RtGet($A$1,$A11,G$9)</f>
        <v>107.16</v>
      </c>
      <c r="H11">
        <f>_xll.RtGet($A$1,$A11,H$9)</f>
        <v>107</v>
      </c>
      <c r="I11">
        <f>_xll.RtGet($A$1,$A11,I$9)</f>
        <v>98.05</v>
      </c>
      <c r="J11">
        <f>_xll.RtGet($A$1,$A11,J$9)</f>
        <v>499235</v>
      </c>
    </row>
    <row r="12" spans="1:13" x14ac:dyDescent="0.2">
      <c r="A12" t="s">
        <v>156</v>
      </c>
      <c r="B12">
        <v>1200000</v>
      </c>
      <c r="C12">
        <f>IF(AND($F$12&lt;&gt;0,$G$12&lt;&gt;0),($F$12+$G$12)/2,IF($H$12&lt;&gt; 0,$H$12,$I$12))</f>
        <v>5.9749999999999996</v>
      </c>
      <c r="D12">
        <f>$D$5</f>
        <v>7.089472938509493</v>
      </c>
      <c r="E12">
        <f>B12*C12*D12</f>
        <v>50831520.969113067</v>
      </c>
      <c r="F12">
        <f>_xll.RtGet($A$1,$A12,F$9)</f>
        <v>5.97</v>
      </c>
      <c r="G12">
        <f>_xll.RtGet($A$1,$A12,G$9)</f>
        <v>5.98</v>
      </c>
      <c r="H12">
        <f>_xll.RtGet($A$1,$A12,H$9)</f>
        <v>5.98</v>
      </c>
      <c r="I12">
        <f>_xll.RtGet($A$1,$A12,I$9)</f>
        <v>5.95</v>
      </c>
      <c r="J12">
        <f>_xll.RtGet($A$1,$A12,J$9)</f>
        <v>684173</v>
      </c>
    </row>
    <row r="13" spans="1:13" x14ac:dyDescent="0.2">
      <c r="A13" t="s">
        <v>155</v>
      </c>
      <c r="B13">
        <v>230000</v>
      </c>
      <c r="C13">
        <f>IF(AND($F$13&lt;&gt;0,$G$13&lt;&gt;0),($F$13+$G$13)/2,IF($H$13&lt;&gt; 0,$H$13,$I$13))</f>
        <v>163.06</v>
      </c>
      <c r="D13">
        <f>$D$5</f>
        <v>7.089472938509493</v>
      </c>
      <c r="E13">
        <f>B13*C13*D13</f>
        <v>265882175.19127232</v>
      </c>
      <c r="F13">
        <f>_xll.RtGet($A$1,$A13,F$9)</f>
        <v>162.49</v>
      </c>
      <c r="G13">
        <f>_xll.RtGet($A$1,$A13,G$9)</f>
        <v>163.63</v>
      </c>
      <c r="H13">
        <f>_xll.RtGet($A$1,$A13,H$9)</f>
        <v>163.07</v>
      </c>
      <c r="I13">
        <f>_xll.RtGet($A$1,$A13,I$9)</f>
        <v>160.54</v>
      </c>
      <c r="J13">
        <f>_xll.RtGet($A$1,$A13,J$9)</f>
        <v>69397</v>
      </c>
    </row>
    <row r="14" spans="1:13" x14ac:dyDescent="0.2">
      <c r="A14" t="s">
        <v>157</v>
      </c>
      <c r="B14">
        <v>600000</v>
      </c>
      <c r="C14">
        <f>IF(AND($F$14&lt;&gt;0,$G$14&lt;&gt;0),($F$14+$G$14)/2,IF($H$14&lt;&gt; 0,$H$14,$I$14))</f>
        <v>39.325000000000003</v>
      </c>
      <c r="D14">
        <f>$D$5</f>
        <v>7.089472938509493</v>
      </c>
      <c r="E14">
        <f>B14*C14*D14</f>
        <v>167276113.98413149</v>
      </c>
      <c r="F14">
        <f>_xll.RtGet($A$1,$A14,F$9)</f>
        <v>38.9</v>
      </c>
      <c r="G14">
        <f>_xll.RtGet($A$1,$A14,G$9)</f>
        <v>39.75</v>
      </c>
      <c r="H14">
        <f>_xll.RtGet($A$1,$A14,H$9)</f>
        <v>39.625</v>
      </c>
      <c r="I14">
        <f>_xll.RtGet($A$1,$A14,I$9)</f>
        <v>41.17</v>
      </c>
      <c r="J14">
        <f>_xll.RtGet($A$1,$A14,J$9)</f>
        <v>52414</v>
      </c>
    </row>
    <row r="15" spans="1:13" x14ac:dyDescent="0.2">
      <c r="A15" t="s">
        <v>158</v>
      </c>
      <c r="B15">
        <v>400000</v>
      </c>
      <c r="C15">
        <f>IF(AND($F$15&lt;&gt;0,$G$15&lt;&gt;0),($F$15+$G$15)/2,IF($H$15&lt;&gt; 0,$H$15,$I$15))</f>
        <v>34.204999999999998</v>
      </c>
      <c r="D15">
        <f>$D$5</f>
        <v>7.089472938509493</v>
      </c>
      <c r="E15">
        <f>B15*C15*D15</f>
        <v>96998168.744686887</v>
      </c>
      <c r="F15">
        <f>_xll.RtGet($A$1,$A15,F$9)</f>
        <v>34.14</v>
      </c>
      <c r="G15">
        <f>_xll.RtGet($A$1,$A15,G$9)</f>
        <v>34.270000000000003</v>
      </c>
      <c r="H15">
        <f>_xll.RtGet($A$1,$A15,H$9)</f>
        <v>34.270000000000003</v>
      </c>
      <c r="I15">
        <f>_xll.RtGet($A$1,$A15,I$9)</f>
        <v>33.07</v>
      </c>
      <c r="J15">
        <f>_xll.RtGet($A$1,$A15,J$9)</f>
        <v>256974</v>
      </c>
    </row>
    <row r="18" spans="1:12" x14ac:dyDescent="0.2">
      <c r="A18" t="s">
        <v>71</v>
      </c>
      <c r="B18" t="s">
        <v>3</v>
      </c>
      <c r="C18" t="s">
        <v>15</v>
      </c>
      <c r="D18" t="s">
        <v>40</v>
      </c>
      <c r="E18" t="s">
        <v>14</v>
      </c>
      <c r="F18" t="s">
        <v>163</v>
      </c>
      <c r="G18" t="s">
        <v>22</v>
      </c>
      <c r="H18" t="s">
        <v>23</v>
      </c>
      <c r="I18" t="s">
        <v>92</v>
      </c>
      <c r="J18" t="s">
        <v>164</v>
      </c>
      <c r="K18" t="s">
        <v>67</v>
      </c>
    </row>
    <row r="19" spans="1:12" x14ac:dyDescent="0.2">
      <c r="A19" t="s">
        <v>96</v>
      </c>
      <c r="B19">
        <v>-2</v>
      </c>
      <c r="C19">
        <f>IF($I$19&lt;&gt; 0,$I$19,($G$19+$H$19)/2)</f>
        <v>-23.51</v>
      </c>
      <c r="D19">
        <f>$D$5</f>
        <v>7.089472938509493</v>
      </c>
      <c r="E19" t="e">
        <f>(B19*C19-F19)*D19*$J$19</f>
        <v>#VALUE!</v>
      </c>
      <c r="F19">
        <v>0</v>
      </c>
      <c r="G19">
        <f>_xll.RtGet($A$1,$A19,G$18)</f>
        <v>-23.51</v>
      </c>
      <c r="H19">
        <f>_xll.RtGet($A$1,$A19,H$18)</f>
        <v>-21.58</v>
      </c>
      <c r="I19">
        <f>_xll.RtGet($A$1,$A19,I$18)</f>
        <v>-23.51</v>
      </c>
      <c r="J19" t="str">
        <f>_xll.RtGet($A$1,$A19,J$18)</f>
        <v>#N/A Invalid field.</v>
      </c>
      <c r="K19" t="str">
        <f>_xll.RtGet($A$1,$A19,K$18)</f>
        <v>#N/A</v>
      </c>
    </row>
    <row r="22" spans="1:12" x14ac:dyDescent="0.2">
      <c r="A22" t="s">
        <v>58</v>
      </c>
      <c r="B22" t="s">
        <v>3</v>
      </c>
      <c r="C22" t="s">
        <v>15</v>
      </c>
      <c r="D22" t="s">
        <v>40</v>
      </c>
      <c r="E22" t="s">
        <v>14</v>
      </c>
      <c r="F22" t="s">
        <v>42</v>
      </c>
      <c r="G22" t="s">
        <v>43</v>
      </c>
      <c r="H22" t="s">
        <v>46</v>
      </c>
      <c r="I22" t="s">
        <v>47</v>
      </c>
      <c r="J22" t="s">
        <v>48</v>
      </c>
      <c r="K22" t="s">
        <v>44</v>
      </c>
      <c r="L22" t="s">
        <v>45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M502"/>
  <sheetViews>
    <sheetView topLeftCell="A429" workbookViewId="0">
      <selection activeCell="B502" sqref="B502"/>
    </sheetView>
  </sheetViews>
  <sheetFormatPr defaultRowHeight="12.75" x14ac:dyDescent="0.2"/>
  <cols>
    <col min="1" max="1" width="20" customWidth="1"/>
    <col min="2" max="2" width="10.140625" bestFit="1" customWidth="1"/>
    <col min="4" max="7" width="10.140625" bestFit="1" customWidth="1"/>
    <col min="9" max="9" width="10.140625" bestFit="1" customWidth="1"/>
    <col min="14" max="15" width="10.140625" bestFit="1" customWidth="1"/>
    <col min="18" max="18" width="10.140625" bestFit="1" customWidth="1"/>
    <col min="19" max="19" width="18" bestFit="1" customWidth="1"/>
    <col min="20" max="20" width="10.140625" bestFit="1" customWidth="1"/>
    <col min="21" max="21" width="10.42578125" bestFit="1" customWidth="1"/>
    <col min="22" max="22" width="10.140625" bestFit="1" customWidth="1"/>
    <col min="23" max="23" width="10.42578125" bestFit="1" customWidth="1"/>
    <col min="24" max="24" width="10.140625" bestFit="1" customWidth="1"/>
    <col min="25" max="25" width="10.42578125" bestFit="1" customWidth="1"/>
    <col min="26" max="26" width="10.140625" bestFit="1" customWidth="1"/>
    <col min="27" max="27" width="10.42578125" bestFit="1" customWidth="1"/>
    <col min="28" max="28" width="10.140625" bestFit="1" customWidth="1"/>
    <col min="29" max="29" width="10.42578125" bestFit="1" customWidth="1"/>
    <col min="30" max="30" width="10.140625" bestFit="1" customWidth="1"/>
    <col min="31" max="31" width="10.42578125" bestFit="1" customWidth="1"/>
    <col min="32" max="32" width="10.140625" bestFit="1" customWidth="1"/>
    <col min="39" max="39" width="10.140625" bestFit="1" customWidth="1"/>
    <col min="46" max="46" width="10.140625" bestFit="1" customWidth="1"/>
    <col min="53" max="53" width="10.140625" bestFit="1" customWidth="1"/>
  </cols>
  <sheetData>
    <row r="1" spans="1:13" x14ac:dyDescent="0.2">
      <c r="B1" t="s">
        <v>32</v>
      </c>
      <c r="C1" t="s">
        <v>161</v>
      </c>
      <c r="D1" t="s">
        <v>38</v>
      </c>
      <c r="E1" t="s">
        <v>25</v>
      </c>
      <c r="F1" t="s">
        <v>73</v>
      </c>
      <c r="G1" t="s">
        <v>154</v>
      </c>
      <c r="H1" t="s">
        <v>156</v>
      </c>
      <c r="I1" t="s">
        <v>155</v>
      </c>
      <c r="J1" t="s">
        <v>157</v>
      </c>
      <c r="K1" t="s">
        <v>158</v>
      </c>
      <c r="L1" t="s">
        <v>71</v>
      </c>
      <c r="M1" t="s">
        <v>96</v>
      </c>
    </row>
    <row r="2" spans="1:13" x14ac:dyDescent="0.2">
      <c r="A2" t="str">
        <f>_xll.RHistory($C$1:$D$1,"MID_PRICE.TIMESTAMP;MID_PRICE.CLOSE","NBROWS:500 INTERVAL:1D",,"CH:Fd TSREPEAT:NO",$B$2)</f>
        <v>Updated at 19:38:27</v>
      </c>
      <c r="B2" s="12" t="s">
        <v>98</v>
      </c>
      <c r="C2" s="12" t="s">
        <v>183</v>
      </c>
      <c r="D2" s="12" t="s">
        <v>183</v>
      </c>
      <c r="E2" s="12" t="s">
        <v>98</v>
      </c>
      <c r="F2" s="12" t="s">
        <v>184</v>
      </c>
      <c r="G2" s="12" t="s">
        <v>184</v>
      </c>
      <c r="H2" s="12" t="s">
        <v>184</v>
      </c>
      <c r="I2" s="12" t="s">
        <v>184</v>
      </c>
      <c r="J2" s="12" t="s">
        <v>184</v>
      </c>
      <c r="K2" s="12" t="s">
        <v>184</v>
      </c>
      <c r="L2" s="12" t="s">
        <v>92</v>
      </c>
    </row>
    <row r="3" spans="1:13" x14ac:dyDescent="0.2">
      <c r="A3" t="str">
        <f>_xll.RHistory($F$1:$K$1,"TRDPRC_1.TIMESTAMP;TRDPRC_1.CLOSE","NBROWS:500 INTERVAL:1D",,"CH:Fd TSREPEAT:NO",$E$2)</f>
        <v>Updated at 19:38:25</v>
      </c>
      <c r="B3" s="3">
        <v>45756</v>
      </c>
      <c r="C3">
        <v>1.4112499999999999</v>
      </c>
      <c r="D3">
        <v>10.017849999999999</v>
      </c>
      <c r="E3" s="3">
        <v>45756</v>
      </c>
      <c r="F3">
        <v>2175.7649999999999</v>
      </c>
      <c r="G3">
        <v>107</v>
      </c>
      <c r="H3">
        <v>5.98</v>
      </c>
      <c r="I3">
        <v>163.07</v>
      </c>
      <c r="J3">
        <v>39.625</v>
      </c>
      <c r="K3">
        <v>34.270000000000003</v>
      </c>
      <c r="L3" s="12" t="s">
        <v>190</v>
      </c>
    </row>
    <row r="4" spans="1:13" x14ac:dyDescent="0.2">
      <c r="A4" t="str">
        <f>_xll.RHistory($M$1:$M$1,"TRDPRC_1.TIMESTAMP;TRDPRC_1.CLOSE","NBROWS:500 INTERVAL:1D",,"CH:Fd TSREPEAT:NO",$L$2)</f>
        <v>Updated at 19:29:47</v>
      </c>
      <c r="B4" s="3">
        <v>45755</v>
      </c>
      <c r="C4">
        <v>1.42645</v>
      </c>
      <c r="D4">
        <v>10.022650000000001</v>
      </c>
      <c r="E4" s="3">
        <v>45755</v>
      </c>
      <c r="F4">
        <v>2237.2550000000001</v>
      </c>
      <c r="G4">
        <v>98.05</v>
      </c>
      <c r="H4">
        <v>5.95</v>
      </c>
      <c r="I4">
        <v>160.54</v>
      </c>
      <c r="J4">
        <v>41.17</v>
      </c>
      <c r="K4">
        <v>33.07</v>
      </c>
    </row>
    <row r="5" spans="1:13" x14ac:dyDescent="0.2">
      <c r="B5" s="3">
        <v>45754</v>
      </c>
      <c r="C5">
        <v>1.4249000000000001</v>
      </c>
      <c r="D5">
        <v>10.067399999999999</v>
      </c>
      <c r="E5" s="3">
        <v>45754</v>
      </c>
      <c r="F5">
        <v>2179.3910000000001</v>
      </c>
      <c r="G5">
        <v>100.18</v>
      </c>
      <c r="H5">
        <v>5.95</v>
      </c>
      <c r="I5">
        <v>155.75</v>
      </c>
      <c r="J5">
        <v>40.68</v>
      </c>
      <c r="K5">
        <v>32.82</v>
      </c>
    </row>
    <row r="6" spans="1:13" x14ac:dyDescent="0.2">
      <c r="B6" s="3">
        <v>45751</v>
      </c>
      <c r="C6">
        <v>1.42205</v>
      </c>
      <c r="D6">
        <v>9.9922500000000003</v>
      </c>
      <c r="E6" s="3">
        <v>45751</v>
      </c>
      <c r="F6">
        <v>2287.2359999999999</v>
      </c>
      <c r="G6">
        <v>94.08</v>
      </c>
      <c r="H6">
        <v>5.96</v>
      </c>
      <c r="I6">
        <v>158.26</v>
      </c>
      <c r="J6">
        <v>40.9</v>
      </c>
      <c r="K6">
        <v>34.340000000000003</v>
      </c>
    </row>
    <row r="7" spans="1:13" x14ac:dyDescent="0.2">
      <c r="B7" s="3">
        <v>45750</v>
      </c>
      <c r="C7">
        <v>1.4097500000000001</v>
      </c>
      <c r="D7">
        <v>9.7751000000000001</v>
      </c>
      <c r="E7" s="3">
        <v>45750</v>
      </c>
      <c r="F7">
        <v>2385.16</v>
      </c>
      <c r="G7">
        <v>97.27</v>
      </c>
      <c r="H7">
        <v>6.03</v>
      </c>
      <c r="I7">
        <v>163.21</v>
      </c>
      <c r="J7">
        <v>42.7</v>
      </c>
      <c r="K7">
        <v>35.01</v>
      </c>
    </row>
    <row r="8" spans="1:13" x14ac:dyDescent="0.2">
      <c r="B8" s="3">
        <v>45749</v>
      </c>
      <c r="C8">
        <v>1.4231499999999999</v>
      </c>
      <c r="D8">
        <v>9.9102999999999994</v>
      </c>
      <c r="E8" s="3">
        <v>45749</v>
      </c>
      <c r="F8">
        <v>2478.692</v>
      </c>
      <c r="G8">
        <v>117.93</v>
      </c>
      <c r="H8">
        <v>6.05</v>
      </c>
      <c r="I8">
        <v>160.88999999999999</v>
      </c>
      <c r="J8">
        <v>43.4</v>
      </c>
      <c r="K8">
        <v>37.159999999999997</v>
      </c>
    </row>
    <row r="9" spans="1:13" x14ac:dyDescent="0.2">
      <c r="B9" s="3">
        <v>45748</v>
      </c>
      <c r="C9">
        <v>1.43035</v>
      </c>
      <c r="D9">
        <v>10.01885</v>
      </c>
      <c r="E9" s="3">
        <v>45748</v>
      </c>
      <c r="F9">
        <v>2509.7750000000001</v>
      </c>
      <c r="G9">
        <v>113.08</v>
      </c>
      <c r="H9">
        <v>5.47</v>
      </c>
      <c r="I9">
        <v>156.55000000000001</v>
      </c>
      <c r="J9">
        <v>42.11</v>
      </c>
      <c r="K9">
        <v>36.29</v>
      </c>
    </row>
    <row r="10" spans="1:13" x14ac:dyDescent="0.2">
      <c r="B10" s="3">
        <v>45747</v>
      </c>
      <c r="C10">
        <v>1.43875</v>
      </c>
      <c r="D10">
        <v>10.041550000000001</v>
      </c>
      <c r="E10" s="3">
        <v>45747</v>
      </c>
      <c r="F10">
        <v>2494.058</v>
      </c>
      <c r="G10">
        <v>113.52</v>
      </c>
      <c r="H10">
        <v>5.46</v>
      </c>
      <c r="I10">
        <v>158.66</v>
      </c>
      <c r="J10">
        <v>40.5</v>
      </c>
      <c r="K10">
        <v>36.32</v>
      </c>
    </row>
    <row r="11" spans="1:13" x14ac:dyDescent="0.2">
      <c r="B11" s="3">
        <v>45744</v>
      </c>
      <c r="C11">
        <v>1.4318500000000001</v>
      </c>
      <c r="D11">
        <v>10.006500000000001</v>
      </c>
      <c r="E11" s="3">
        <v>45744</v>
      </c>
      <c r="F11">
        <v>2542.674</v>
      </c>
      <c r="G11">
        <v>118.36</v>
      </c>
      <c r="H11">
        <v>5.46</v>
      </c>
      <c r="I11">
        <v>155.24</v>
      </c>
      <c r="J11">
        <v>41.77</v>
      </c>
      <c r="K11">
        <v>36.17</v>
      </c>
    </row>
    <row r="12" spans="1:13" x14ac:dyDescent="0.2">
      <c r="B12" s="3">
        <v>45743</v>
      </c>
      <c r="C12">
        <v>1.4305000000000001</v>
      </c>
      <c r="D12">
        <v>10.0014</v>
      </c>
      <c r="E12" s="3">
        <v>45743</v>
      </c>
      <c r="F12">
        <v>2572.806</v>
      </c>
      <c r="G12">
        <v>120.91</v>
      </c>
      <c r="H12">
        <v>5.45</v>
      </c>
      <c r="I12">
        <v>156.63</v>
      </c>
      <c r="J12">
        <v>40.869999999999997</v>
      </c>
      <c r="K12">
        <v>37.9</v>
      </c>
    </row>
    <row r="13" spans="1:13" x14ac:dyDescent="0.2">
      <c r="B13" s="3">
        <v>45742</v>
      </c>
      <c r="C13">
        <v>1.42665</v>
      </c>
      <c r="D13">
        <v>10.0487</v>
      </c>
      <c r="E13" s="3">
        <v>45742</v>
      </c>
      <c r="F13">
        <v>2604.0309999999999</v>
      </c>
      <c r="G13">
        <v>125.3</v>
      </c>
      <c r="H13">
        <v>5.46</v>
      </c>
      <c r="I13">
        <v>158.30000000000001</v>
      </c>
      <c r="J13">
        <v>41.07</v>
      </c>
      <c r="K13">
        <v>38.299999999999997</v>
      </c>
    </row>
    <row r="14" spans="1:13" x14ac:dyDescent="0.2">
      <c r="B14" s="3">
        <v>45741</v>
      </c>
      <c r="C14">
        <v>1.4278999999999999</v>
      </c>
      <c r="D14">
        <v>10.0343</v>
      </c>
      <c r="E14" s="3">
        <v>45741</v>
      </c>
      <c r="F14">
        <v>2641.3760000000002</v>
      </c>
      <c r="G14">
        <v>139.07</v>
      </c>
      <c r="H14">
        <v>5.46</v>
      </c>
      <c r="I14">
        <v>159.87</v>
      </c>
      <c r="J14">
        <v>41.47</v>
      </c>
      <c r="K14">
        <v>38.799999999999997</v>
      </c>
    </row>
    <row r="15" spans="1:13" x14ac:dyDescent="0.2">
      <c r="B15" s="3">
        <v>45740</v>
      </c>
      <c r="C15">
        <v>1.43205</v>
      </c>
      <c r="D15">
        <v>10.100149999999999</v>
      </c>
      <c r="E15" s="3">
        <v>45740</v>
      </c>
      <c r="F15">
        <v>2630.7629999999999</v>
      </c>
      <c r="G15">
        <v>143.1</v>
      </c>
      <c r="H15">
        <v>5.47</v>
      </c>
      <c r="I15">
        <v>158.82</v>
      </c>
      <c r="J15">
        <v>40.590000000000003</v>
      </c>
      <c r="K15">
        <v>38.56</v>
      </c>
    </row>
    <row r="16" spans="1:13" x14ac:dyDescent="0.2">
      <c r="B16" s="3">
        <v>45737</v>
      </c>
      <c r="C16">
        <v>1.4349499999999999</v>
      </c>
      <c r="D16">
        <v>10.146599999999999</v>
      </c>
      <c r="E16" s="3">
        <v>45737</v>
      </c>
      <c r="F16">
        <v>2629.3580000000002</v>
      </c>
      <c r="G16">
        <v>137.66999999999999</v>
      </c>
      <c r="H16">
        <v>5.47</v>
      </c>
      <c r="I16">
        <v>159.84</v>
      </c>
      <c r="J16">
        <v>38.83</v>
      </c>
      <c r="K16">
        <v>37.86</v>
      </c>
    </row>
    <row r="17" spans="2:11" x14ac:dyDescent="0.2">
      <c r="B17" s="3">
        <v>45736</v>
      </c>
      <c r="C17">
        <v>1.4326000000000001</v>
      </c>
      <c r="D17">
        <v>10.128</v>
      </c>
      <c r="E17" s="3">
        <v>45736</v>
      </c>
      <c r="F17">
        <v>2668.7629999999999</v>
      </c>
      <c r="G17">
        <v>136.97999999999999</v>
      </c>
      <c r="H17">
        <v>5.46</v>
      </c>
      <c r="I17">
        <v>157.56</v>
      </c>
      <c r="J17">
        <v>38.33</v>
      </c>
      <c r="K17">
        <v>37.79</v>
      </c>
    </row>
    <row r="18" spans="2:11" x14ac:dyDescent="0.2">
      <c r="B18" s="3">
        <v>45735</v>
      </c>
      <c r="C18">
        <v>1.43265</v>
      </c>
      <c r="D18">
        <v>10.1045</v>
      </c>
      <c r="E18" s="3">
        <v>45735</v>
      </c>
      <c r="F18">
        <v>2677.9369999999999</v>
      </c>
      <c r="G18">
        <v>131.78</v>
      </c>
      <c r="H18">
        <v>5.47</v>
      </c>
      <c r="I18">
        <v>159.38</v>
      </c>
      <c r="J18">
        <v>37.99</v>
      </c>
      <c r="K18">
        <v>37.67</v>
      </c>
    </row>
    <row r="19" spans="2:11" x14ac:dyDescent="0.2">
      <c r="B19" s="3">
        <v>45734</v>
      </c>
      <c r="C19">
        <v>1.43005</v>
      </c>
      <c r="D19">
        <v>10.0419</v>
      </c>
      <c r="E19" s="3">
        <v>45734</v>
      </c>
      <c r="F19">
        <v>2685.5010000000002</v>
      </c>
      <c r="G19">
        <v>125.17</v>
      </c>
      <c r="H19">
        <v>5.46</v>
      </c>
      <c r="I19">
        <v>156.78</v>
      </c>
      <c r="J19">
        <v>37.08</v>
      </c>
      <c r="K19">
        <v>37.31</v>
      </c>
    </row>
    <row r="20" spans="2:11" x14ac:dyDescent="0.2">
      <c r="B20" s="3">
        <v>45733</v>
      </c>
      <c r="C20">
        <v>1.4289499999999999</v>
      </c>
      <c r="D20">
        <v>10.0883</v>
      </c>
      <c r="E20" s="3">
        <v>45733</v>
      </c>
      <c r="F20">
        <v>2685.19</v>
      </c>
      <c r="G20">
        <v>131.08000000000001</v>
      </c>
      <c r="H20">
        <v>5.46</v>
      </c>
      <c r="I20">
        <v>159.59</v>
      </c>
      <c r="J20">
        <v>38.770000000000003</v>
      </c>
      <c r="K20">
        <v>37.15</v>
      </c>
    </row>
    <row r="21" spans="2:11" x14ac:dyDescent="0.2">
      <c r="B21" s="3">
        <v>45730</v>
      </c>
      <c r="C21">
        <v>1.4369499999999999</v>
      </c>
      <c r="D21">
        <v>10.1363</v>
      </c>
      <c r="E21" s="3">
        <v>45730</v>
      </c>
      <c r="F21">
        <v>2682.3760000000002</v>
      </c>
      <c r="G21">
        <v>131.66</v>
      </c>
      <c r="H21">
        <v>5.47</v>
      </c>
      <c r="I21">
        <v>159.52000000000001</v>
      </c>
      <c r="J21">
        <v>38.520000000000003</v>
      </c>
      <c r="K21">
        <v>37.44</v>
      </c>
    </row>
    <row r="22" spans="2:11" x14ac:dyDescent="0.2">
      <c r="B22" s="3">
        <v>45729</v>
      </c>
      <c r="C22">
        <v>1.44415</v>
      </c>
      <c r="D22">
        <v>10.195499999999999</v>
      </c>
      <c r="E22" s="3">
        <v>45729</v>
      </c>
      <c r="F22">
        <v>2647.8409999999999</v>
      </c>
      <c r="G22">
        <v>124.82</v>
      </c>
      <c r="H22">
        <v>5.43</v>
      </c>
      <c r="I22">
        <v>155.66</v>
      </c>
      <c r="J22">
        <v>38.9</v>
      </c>
      <c r="K22">
        <v>36.25</v>
      </c>
    </row>
    <row r="23" spans="2:11" x14ac:dyDescent="0.2">
      <c r="B23" s="3">
        <v>45728</v>
      </c>
      <c r="C23">
        <v>1.4369000000000001</v>
      </c>
      <c r="D23">
        <v>10.09135</v>
      </c>
      <c r="E23" s="3">
        <v>45728</v>
      </c>
      <c r="F23">
        <v>2656.4050000000002</v>
      </c>
      <c r="G23">
        <v>128.78</v>
      </c>
      <c r="H23">
        <v>5.43</v>
      </c>
      <c r="I23">
        <v>158.47999999999999</v>
      </c>
      <c r="J23">
        <v>40.24</v>
      </c>
      <c r="K23">
        <v>36.32</v>
      </c>
    </row>
    <row r="24" spans="2:11" x14ac:dyDescent="0.2">
      <c r="B24" s="3">
        <v>45727</v>
      </c>
      <c r="C24">
        <v>1.4435</v>
      </c>
      <c r="D24">
        <v>10.014099999999999</v>
      </c>
      <c r="E24" s="3">
        <v>45727</v>
      </c>
      <c r="F24">
        <v>2652.672</v>
      </c>
      <c r="G24">
        <v>124.75</v>
      </c>
      <c r="H24">
        <v>5.43</v>
      </c>
      <c r="I24">
        <v>158.99</v>
      </c>
      <c r="J24">
        <v>38.700000000000003</v>
      </c>
      <c r="K24">
        <v>36.880000000000003</v>
      </c>
    </row>
    <row r="25" spans="2:11" x14ac:dyDescent="0.2">
      <c r="B25" s="3">
        <v>45726</v>
      </c>
      <c r="C25">
        <v>1.4438</v>
      </c>
      <c r="D25">
        <v>10.12445</v>
      </c>
      <c r="E25" s="3">
        <v>45726</v>
      </c>
      <c r="F25">
        <v>2710.5219999999999</v>
      </c>
      <c r="G25">
        <v>117.19</v>
      </c>
      <c r="H25">
        <v>5.43</v>
      </c>
      <c r="I25">
        <v>160.84</v>
      </c>
      <c r="J25">
        <v>39.17</v>
      </c>
      <c r="K25">
        <v>37.53</v>
      </c>
    </row>
    <row r="26" spans="2:11" x14ac:dyDescent="0.2">
      <c r="B26" s="3">
        <v>45723</v>
      </c>
      <c r="C26">
        <v>1.4379500000000001</v>
      </c>
      <c r="D26">
        <v>10.0863</v>
      </c>
      <c r="E26" s="3">
        <v>45723</v>
      </c>
      <c r="F26">
        <v>2729.2130000000002</v>
      </c>
      <c r="G26">
        <v>125.78</v>
      </c>
      <c r="H26">
        <v>5.44</v>
      </c>
      <c r="I26">
        <v>162.05000000000001</v>
      </c>
      <c r="J26">
        <v>38.53</v>
      </c>
      <c r="K26">
        <v>37.85</v>
      </c>
    </row>
    <row r="27" spans="2:11" x14ac:dyDescent="0.2">
      <c r="B27" s="3">
        <v>45722</v>
      </c>
      <c r="C27">
        <v>1.4296500000000001</v>
      </c>
      <c r="D27">
        <v>10.17985</v>
      </c>
      <c r="E27" s="3">
        <v>45722</v>
      </c>
      <c r="F27">
        <v>2733.0210000000002</v>
      </c>
      <c r="G27">
        <v>116.84</v>
      </c>
      <c r="H27">
        <v>5.45</v>
      </c>
      <c r="I27">
        <v>157.86000000000001</v>
      </c>
      <c r="J27">
        <v>36.75</v>
      </c>
      <c r="K27">
        <v>37.08</v>
      </c>
    </row>
    <row r="28" spans="2:11" x14ac:dyDescent="0.2">
      <c r="B28" s="3">
        <v>45721</v>
      </c>
      <c r="C28">
        <v>1.43405</v>
      </c>
      <c r="D28">
        <v>10.20345</v>
      </c>
      <c r="E28" s="3">
        <v>45721</v>
      </c>
      <c r="F28">
        <v>2723.991</v>
      </c>
      <c r="G28">
        <v>130.38</v>
      </c>
      <c r="H28">
        <v>5.46</v>
      </c>
      <c r="I28">
        <v>160.16999999999999</v>
      </c>
      <c r="J28">
        <v>36.35</v>
      </c>
      <c r="K28">
        <v>37.31</v>
      </c>
    </row>
    <row r="29" spans="2:11" x14ac:dyDescent="0.2">
      <c r="B29" s="3">
        <v>45720</v>
      </c>
      <c r="C29">
        <v>1.4391499999999999</v>
      </c>
      <c r="D29">
        <v>10.4198</v>
      </c>
      <c r="E29" s="3">
        <v>45720</v>
      </c>
      <c r="F29">
        <v>2656.2449999999999</v>
      </c>
      <c r="G29">
        <v>130.55000000000001</v>
      </c>
      <c r="H29">
        <v>5.43</v>
      </c>
      <c r="I29">
        <v>156.1</v>
      </c>
      <c r="J29">
        <v>36.54</v>
      </c>
      <c r="K29">
        <v>37.020000000000003</v>
      </c>
    </row>
    <row r="30" spans="2:11" x14ac:dyDescent="0.2">
      <c r="B30" s="3">
        <v>45719</v>
      </c>
      <c r="C30">
        <v>1.4480999999999999</v>
      </c>
      <c r="D30">
        <v>10.50515</v>
      </c>
      <c r="E30" s="3">
        <v>45719</v>
      </c>
      <c r="F30">
        <v>2744.7440000000001</v>
      </c>
      <c r="G30">
        <v>134.49</v>
      </c>
      <c r="H30">
        <v>5.44</v>
      </c>
      <c r="I30">
        <v>161.07</v>
      </c>
      <c r="J30">
        <v>36.799999999999997</v>
      </c>
      <c r="K30">
        <v>36.94</v>
      </c>
    </row>
    <row r="31" spans="2:11" x14ac:dyDescent="0.2">
      <c r="B31" s="3">
        <v>45716</v>
      </c>
      <c r="C31">
        <v>1.44655</v>
      </c>
      <c r="D31">
        <v>10.77065</v>
      </c>
      <c r="E31" s="3">
        <v>45716</v>
      </c>
      <c r="F31">
        <v>2724.6959999999999</v>
      </c>
      <c r="G31">
        <v>154.49</v>
      </c>
      <c r="H31">
        <v>5.44</v>
      </c>
      <c r="I31">
        <v>157.69</v>
      </c>
      <c r="J31">
        <v>36.880000000000003</v>
      </c>
      <c r="K31">
        <v>37.36</v>
      </c>
    </row>
    <row r="32" spans="2:11" x14ac:dyDescent="0.2">
      <c r="B32" s="3">
        <v>45715</v>
      </c>
      <c r="C32">
        <v>1.4438500000000001</v>
      </c>
      <c r="D32">
        <v>10.755000000000001</v>
      </c>
      <c r="E32" s="3">
        <v>45715</v>
      </c>
      <c r="F32">
        <v>2741.951</v>
      </c>
      <c r="G32">
        <v>155.94999999999999</v>
      </c>
      <c r="H32">
        <v>5.44</v>
      </c>
      <c r="I32">
        <v>160.59</v>
      </c>
      <c r="J32">
        <v>37.549999999999997</v>
      </c>
      <c r="K32">
        <v>37.43</v>
      </c>
    </row>
    <row r="33" spans="2:11" x14ac:dyDescent="0.2">
      <c r="B33" s="3">
        <v>45714</v>
      </c>
      <c r="C33">
        <v>1.4337500000000001</v>
      </c>
      <c r="D33">
        <v>10.64335</v>
      </c>
      <c r="E33" s="3">
        <v>45714</v>
      </c>
      <c r="F33">
        <v>2762.5039999999999</v>
      </c>
      <c r="G33">
        <v>160.13</v>
      </c>
      <c r="H33">
        <v>5.44</v>
      </c>
      <c r="I33">
        <v>152.66</v>
      </c>
      <c r="J33">
        <v>39.130000000000003</v>
      </c>
      <c r="K33">
        <v>38.07</v>
      </c>
    </row>
    <row r="34" spans="2:11" x14ac:dyDescent="0.2">
      <c r="B34" s="3">
        <v>45713</v>
      </c>
      <c r="C34">
        <v>1.4314499999999999</v>
      </c>
      <c r="D34">
        <v>10.602</v>
      </c>
      <c r="E34" s="3">
        <v>45713</v>
      </c>
      <c r="F34">
        <v>2724.7280000000001</v>
      </c>
      <c r="G34">
        <v>151.82</v>
      </c>
      <c r="H34">
        <v>5.42</v>
      </c>
      <c r="I34">
        <v>153.75</v>
      </c>
      <c r="J34">
        <v>38.42</v>
      </c>
      <c r="K34">
        <v>38.270000000000003</v>
      </c>
    </row>
    <row r="35" spans="2:11" x14ac:dyDescent="0.2">
      <c r="B35" s="3">
        <v>45712</v>
      </c>
      <c r="C35">
        <v>1.4260999999999999</v>
      </c>
      <c r="D35">
        <v>10.66465</v>
      </c>
      <c r="E35" s="3">
        <v>45712</v>
      </c>
      <c r="F35">
        <v>2713.6219999999998</v>
      </c>
      <c r="G35">
        <v>158.11000000000001</v>
      </c>
      <c r="H35">
        <v>5.45</v>
      </c>
      <c r="I35">
        <v>151.4</v>
      </c>
      <c r="J35">
        <v>38.090000000000003</v>
      </c>
      <c r="K35">
        <v>38.39</v>
      </c>
    </row>
    <row r="36" spans="2:11" x14ac:dyDescent="0.2">
      <c r="B36" s="3">
        <v>45709</v>
      </c>
      <c r="C36">
        <v>1.42225</v>
      </c>
      <c r="D36">
        <v>10.652200000000001</v>
      </c>
      <c r="E36" s="3">
        <v>45709</v>
      </c>
      <c r="F36">
        <v>2724.26</v>
      </c>
      <c r="G36">
        <v>169.73</v>
      </c>
      <c r="H36">
        <v>5.43</v>
      </c>
      <c r="I36">
        <v>155.11000000000001</v>
      </c>
      <c r="J36">
        <v>38.799999999999997</v>
      </c>
      <c r="K36">
        <v>38.17</v>
      </c>
    </row>
    <row r="37" spans="2:11" x14ac:dyDescent="0.2">
      <c r="B37" s="3">
        <v>45708</v>
      </c>
      <c r="C37">
        <v>1.4177</v>
      </c>
      <c r="D37">
        <v>10.63015</v>
      </c>
      <c r="E37" s="3">
        <v>45708</v>
      </c>
      <c r="F37">
        <v>2725.0889999999999</v>
      </c>
      <c r="G37">
        <v>177.17</v>
      </c>
      <c r="H37">
        <v>5.45</v>
      </c>
      <c r="I37">
        <v>157.41999999999999</v>
      </c>
      <c r="J37">
        <v>39.1</v>
      </c>
      <c r="K37">
        <v>38.9</v>
      </c>
    </row>
    <row r="38" spans="2:11" x14ac:dyDescent="0.2">
      <c r="B38" s="3">
        <v>45707</v>
      </c>
      <c r="C38">
        <v>1.4235500000000001</v>
      </c>
      <c r="D38">
        <v>10.72555</v>
      </c>
      <c r="E38" s="3">
        <v>45707</v>
      </c>
      <c r="F38">
        <v>2710.2330000000002</v>
      </c>
      <c r="G38">
        <v>187.31</v>
      </c>
      <c r="H38">
        <v>5.44</v>
      </c>
      <c r="I38">
        <v>159.96</v>
      </c>
      <c r="J38">
        <v>38.549999999999997</v>
      </c>
      <c r="K38">
        <v>39.11</v>
      </c>
    </row>
    <row r="39" spans="2:11" x14ac:dyDescent="0.2">
      <c r="B39" s="3">
        <v>45706</v>
      </c>
      <c r="C39">
        <v>1.4198999999999999</v>
      </c>
      <c r="D39">
        <v>10.721500000000001</v>
      </c>
      <c r="E39" s="3">
        <v>45706</v>
      </c>
      <c r="F39">
        <v>2757.2759999999998</v>
      </c>
      <c r="G39">
        <v>187.71</v>
      </c>
      <c r="H39">
        <v>5.42</v>
      </c>
      <c r="I39">
        <v>161.97999999999999</v>
      </c>
      <c r="J39">
        <v>39.049999999999997</v>
      </c>
      <c r="K39">
        <v>39.49</v>
      </c>
    </row>
    <row r="40" spans="2:11" x14ac:dyDescent="0.2">
      <c r="B40" s="3">
        <v>45705</v>
      </c>
      <c r="C40">
        <v>1.41835</v>
      </c>
      <c r="D40">
        <v>10.69595</v>
      </c>
      <c r="E40" s="3">
        <v>45705</v>
      </c>
      <c r="F40">
        <v>2743.261</v>
      </c>
    </row>
    <row r="41" spans="2:11" x14ac:dyDescent="0.2">
      <c r="B41" s="3">
        <v>45702</v>
      </c>
      <c r="C41">
        <v>1.41845</v>
      </c>
      <c r="D41">
        <v>10.693099999999999</v>
      </c>
      <c r="E41" s="3">
        <v>45702</v>
      </c>
      <c r="F41">
        <v>2716.991</v>
      </c>
      <c r="G41">
        <v>187.37</v>
      </c>
      <c r="H41">
        <v>5.43</v>
      </c>
      <c r="I41">
        <v>163.13</v>
      </c>
      <c r="J41">
        <v>39.25</v>
      </c>
      <c r="K41">
        <v>40.25</v>
      </c>
    </row>
    <row r="42" spans="2:11" x14ac:dyDescent="0.2">
      <c r="B42" s="3">
        <v>45701</v>
      </c>
      <c r="C42">
        <v>1.4191499999999999</v>
      </c>
      <c r="D42">
        <v>10.73035</v>
      </c>
      <c r="E42" s="3">
        <v>45701</v>
      </c>
      <c r="F42">
        <v>2724.2489999999998</v>
      </c>
      <c r="G42">
        <v>184.19</v>
      </c>
      <c r="H42">
        <v>5.42</v>
      </c>
      <c r="I42">
        <v>163.82</v>
      </c>
      <c r="J42">
        <v>39.479999999999997</v>
      </c>
      <c r="K42">
        <v>40.729999999999997</v>
      </c>
    </row>
    <row r="43" spans="2:11" x14ac:dyDescent="0.2">
      <c r="B43" s="3">
        <v>45700</v>
      </c>
      <c r="C43">
        <v>1.4307000000000001</v>
      </c>
      <c r="D43">
        <v>10.888199999999999</v>
      </c>
      <c r="E43" s="3">
        <v>45700</v>
      </c>
      <c r="F43">
        <v>2678.9679999999998</v>
      </c>
      <c r="G43">
        <v>184.74</v>
      </c>
      <c r="H43">
        <v>5.4</v>
      </c>
      <c r="I43">
        <v>167.43</v>
      </c>
      <c r="J43">
        <v>38.99</v>
      </c>
      <c r="K43">
        <v>40.44</v>
      </c>
    </row>
    <row r="44" spans="2:11" x14ac:dyDescent="0.2">
      <c r="B44" s="3">
        <v>45699</v>
      </c>
      <c r="C44">
        <v>1.42865</v>
      </c>
      <c r="D44">
        <v>10.8598</v>
      </c>
      <c r="E44" s="3">
        <v>45699</v>
      </c>
      <c r="F44">
        <v>2666.87</v>
      </c>
      <c r="G44">
        <v>180.96</v>
      </c>
      <c r="H44">
        <v>5.4</v>
      </c>
      <c r="I44">
        <v>167.64</v>
      </c>
      <c r="J44">
        <v>38.5</v>
      </c>
      <c r="K44">
        <v>40.97</v>
      </c>
    </row>
    <row r="45" spans="2:11" x14ac:dyDescent="0.2">
      <c r="B45" s="3">
        <v>45698</v>
      </c>
      <c r="C45">
        <v>1.4316</v>
      </c>
      <c r="D45">
        <v>10.92435</v>
      </c>
      <c r="E45" s="3">
        <v>45698</v>
      </c>
      <c r="F45">
        <v>2658.2869999999998</v>
      </c>
      <c r="G45">
        <v>186.33</v>
      </c>
      <c r="H45">
        <v>5.4</v>
      </c>
      <c r="I45">
        <v>170.07</v>
      </c>
      <c r="J45">
        <v>38.729999999999997</v>
      </c>
      <c r="K45">
        <v>41.36</v>
      </c>
    </row>
    <row r="46" spans="2:11" x14ac:dyDescent="0.2">
      <c r="B46" s="3">
        <v>45695</v>
      </c>
      <c r="C46">
        <v>1.4294500000000001</v>
      </c>
      <c r="D46">
        <v>10.9411</v>
      </c>
      <c r="E46" s="3">
        <v>45695</v>
      </c>
      <c r="F46">
        <v>2639.7550000000001</v>
      </c>
      <c r="G46">
        <v>185.26</v>
      </c>
      <c r="H46">
        <v>5.41</v>
      </c>
      <c r="I46">
        <v>165.4</v>
      </c>
      <c r="J46">
        <v>39.39</v>
      </c>
      <c r="K46">
        <v>39.770000000000003</v>
      </c>
    </row>
    <row r="47" spans="2:11" x14ac:dyDescent="0.2">
      <c r="B47" s="3">
        <v>45694</v>
      </c>
      <c r="C47">
        <v>1.43085</v>
      </c>
      <c r="D47">
        <v>10.900650000000001</v>
      </c>
      <c r="E47" s="3">
        <v>45694</v>
      </c>
      <c r="F47">
        <v>2665.7449999999999</v>
      </c>
      <c r="G47">
        <v>190.7</v>
      </c>
      <c r="H47">
        <v>3.53</v>
      </c>
      <c r="I47">
        <v>171.05</v>
      </c>
      <c r="J47">
        <v>39.03</v>
      </c>
      <c r="K47">
        <v>42.26</v>
      </c>
    </row>
    <row r="48" spans="2:11" x14ac:dyDescent="0.2">
      <c r="B48" s="3">
        <v>45693</v>
      </c>
      <c r="C48">
        <v>1.4309499999999999</v>
      </c>
      <c r="D48">
        <v>10.90855</v>
      </c>
      <c r="E48" s="3">
        <v>45693</v>
      </c>
      <c r="F48">
        <v>2629.1089999999999</v>
      </c>
      <c r="G48">
        <v>205.62</v>
      </c>
      <c r="H48">
        <v>3.54</v>
      </c>
      <c r="I48">
        <v>173.72</v>
      </c>
      <c r="J48">
        <v>38.380000000000003</v>
      </c>
      <c r="K48">
        <v>43.52</v>
      </c>
    </row>
    <row r="49" spans="2:11" x14ac:dyDescent="0.2">
      <c r="B49" s="3">
        <v>45692</v>
      </c>
      <c r="C49">
        <v>1.4322999999999999</v>
      </c>
      <c r="D49">
        <v>10.970599999999999</v>
      </c>
      <c r="E49" s="3">
        <v>45692</v>
      </c>
      <c r="F49">
        <v>2638.4639999999999</v>
      </c>
      <c r="G49">
        <v>189.03</v>
      </c>
      <c r="H49">
        <v>3.43</v>
      </c>
      <c r="I49">
        <v>170.65</v>
      </c>
      <c r="J49">
        <v>39.67</v>
      </c>
      <c r="K49">
        <v>42.05</v>
      </c>
    </row>
    <row r="50" spans="2:11" x14ac:dyDescent="0.2">
      <c r="B50" s="3">
        <v>45691</v>
      </c>
      <c r="C50">
        <v>1.4429000000000001</v>
      </c>
      <c r="D50">
        <v>11.066050000000001</v>
      </c>
      <c r="E50" s="3">
        <v>45691</v>
      </c>
      <c r="F50">
        <v>2632.636</v>
      </c>
      <c r="G50">
        <v>176.11</v>
      </c>
      <c r="H50">
        <v>3.41</v>
      </c>
      <c r="I50">
        <v>171.05</v>
      </c>
      <c r="J50">
        <v>37.369999999999997</v>
      </c>
      <c r="K50">
        <v>42.45</v>
      </c>
    </row>
    <row r="51" spans="2:11" x14ac:dyDescent="0.2">
      <c r="B51" s="3">
        <v>45688</v>
      </c>
      <c r="C51">
        <v>1.4527000000000001</v>
      </c>
      <c r="D51">
        <v>11.09675</v>
      </c>
      <c r="E51" s="3">
        <v>45688</v>
      </c>
      <c r="F51">
        <v>2670.5360000000001</v>
      </c>
      <c r="G51">
        <v>179.43</v>
      </c>
      <c r="H51">
        <v>3.39</v>
      </c>
      <c r="I51">
        <v>167.33</v>
      </c>
      <c r="J51">
        <v>38.549999999999997</v>
      </c>
      <c r="K51">
        <v>42.76</v>
      </c>
    </row>
    <row r="52" spans="2:11" x14ac:dyDescent="0.2">
      <c r="B52" s="3">
        <v>45687</v>
      </c>
      <c r="C52">
        <v>1.4490499999999999</v>
      </c>
      <c r="D52">
        <v>11.055999999999999</v>
      </c>
      <c r="E52" s="3">
        <v>45687</v>
      </c>
      <c r="F52">
        <v>2662.3119999999999</v>
      </c>
      <c r="G52">
        <v>165.78</v>
      </c>
      <c r="H52">
        <v>3.58</v>
      </c>
      <c r="I52">
        <v>170</v>
      </c>
      <c r="J52">
        <v>38.200000000000003</v>
      </c>
      <c r="K52">
        <v>43.38</v>
      </c>
    </row>
    <row r="53" spans="2:11" x14ac:dyDescent="0.2">
      <c r="B53" s="3">
        <v>45686</v>
      </c>
      <c r="C53">
        <v>1.4419500000000001</v>
      </c>
      <c r="D53">
        <v>11.0008</v>
      </c>
      <c r="E53" s="3">
        <v>45686</v>
      </c>
      <c r="F53">
        <v>2657.328</v>
      </c>
      <c r="G53">
        <v>144.99</v>
      </c>
      <c r="H53">
        <v>3.52</v>
      </c>
      <c r="I53">
        <v>170.04</v>
      </c>
      <c r="J53">
        <v>38.01</v>
      </c>
      <c r="K53">
        <v>42.17</v>
      </c>
    </row>
    <row r="54" spans="2:11" x14ac:dyDescent="0.2">
      <c r="B54" s="3">
        <v>45685</v>
      </c>
      <c r="C54">
        <v>1.44</v>
      </c>
      <c r="D54">
        <v>10.9985</v>
      </c>
      <c r="E54" s="3">
        <v>45685</v>
      </c>
      <c r="F54">
        <v>2635.63</v>
      </c>
      <c r="G54">
        <v>136.05000000000001</v>
      </c>
      <c r="H54">
        <v>3.52</v>
      </c>
      <c r="I54">
        <v>177.55</v>
      </c>
      <c r="J54">
        <v>37.9</v>
      </c>
      <c r="K54">
        <v>42.43</v>
      </c>
    </row>
    <row r="55" spans="2:11" x14ac:dyDescent="0.2">
      <c r="B55" s="3">
        <v>45684</v>
      </c>
      <c r="C55">
        <v>1.4372</v>
      </c>
      <c r="D55">
        <v>10.9323</v>
      </c>
      <c r="E55" s="3">
        <v>45684</v>
      </c>
      <c r="F55">
        <v>2646.922</v>
      </c>
      <c r="G55">
        <v>125.7</v>
      </c>
      <c r="H55">
        <v>3.51</v>
      </c>
      <c r="I55">
        <v>174.55</v>
      </c>
      <c r="J55">
        <v>38</v>
      </c>
      <c r="K55">
        <v>41.22</v>
      </c>
    </row>
    <row r="56" spans="2:11" x14ac:dyDescent="0.2">
      <c r="B56" s="3">
        <v>45681</v>
      </c>
      <c r="C56">
        <v>1.43445</v>
      </c>
      <c r="D56">
        <v>10.92615</v>
      </c>
      <c r="E56" s="3">
        <v>45681</v>
      </c>
      <c r="F56">
        <v>2669.7339999999999</v>
      </c>
      <c r="G56">
        <v>174.68</v>
      </c>
      <c r="H56">
        <v>3.64</v>
      </c>
      <c r="I56">
        <v>176.33</v>
      </c>
      <c r="J56">
        <v>39.590000000000003</v>
      </c>
      <c r="K56">
        <v>41.37</v>
      </c>
    </row>
    <row r="57" spans="2:11" x14ac:dyDescent="0.2">
      <c r="B57" s="3">
        <v>45680</v>
      </c>
      <c r="C57">
        <v>1.4383999999999999</v>
      </c>
      <c r="D57">
        <v>11.0131</v>
      </c>
      <c r="E57" s="3">
        <v>45680</v>
      </c>
      <c r="F57">
        <v>2672.6529999999998</v>
      </c>
      <c r="G57">
        <v>176.65</v>
      </c>
      <c r="H57">
        <v>3.58</v>
      </c>
      <c r="I57">
        <v>176.78</v>
      </c>
      <c r="J57">
        <v>39</v>
      </c>
      <c r="K57">
        <v>41.16</v>
      </c>
    </row>
    <row r="58" spans="2:11" x14ac:dyDescent="0.2">
      <c r="B58" s="3">
        <v>45679</v>
      </c>
      <c r="C58">
        <v>1.4377</v>
      </c>
      <c r="D58">
        <v>11.006349999999999</v>
      </c>
      <c r="E58" s="3">
        <v>45679</v>
      </c>
      <c r="F58">
        <v>2647.99</v>
      </c>
      <c r="G58">
        <v>177.33</v>
      </c>
      <c r="H58">
        <v>3.45</v>
      </c>
      <c r="I58">
        <v>176.17</v>
      </c>
      <c r="J58">
        <v>39</v>
      </c>
      <c r="K58">
        <v>40.85</v>
      </c>
    </row>
    <row r="59" spans="2:11" x14ac:dyDescent="0.2">
      <c r="B59" s="3">
        <v>45678</v>
      </c>
      <c r="C59">
        <v>1.43225</v>
      </c>
      <c r="D59">
        <v>10.980449999999999</v>
      </c>
      <c r="E59" s="3">
        <v>45678</v>
      </c>
      <c r="F59">
        <v>2638.4180000000001</v>
      </c>
      <c r="G59">
        <v>169.4</v>
      </c>
      <c r="H59">
        <v>3.59</v>
      </c>
      <c r="I59">
        <v>174.41</v>
      </c>
      <c r="J59">
        <v>38.76</v>
      </c>
      <c r="K59">
        <v>40.64</v>
      </c>
    </row>
    <row r="60" spans="2:11" x14ac:dyDescent="0.2">
      <c r="B60" s="3">
        <v>45677</v>
      </c>
      <c r="C60">
        <v>1.4308000000000001</v>
      </c>
      <c r="D60">
        <v>11.0213</v>
      </c>
      <c r="E60" s="3">
        <v>45677</v>
      </c>
      <c r="F60">
        <v>2616.6849999999999</v>
      </c>
      <c r="G60">
        <v>164.41</v>
      </c>
      <c r="H60">
        <v>3.6</v>
      </c>
      <c r="I60">
        <v>172.41</v>
      </c>
      <c r="J60">
        <v>41.07</v>
      </c>
      <c r="K60">
        <v>40.36</v>
      </c>
    </row>
    <row r="61" spans="2:11" x14ac:dyDescent="0.2">
      <c r="B61" s="3">
        <v>45674</v>
      </c>
      <c r="C61">
        <v>1.4480500000000001</v>
      </c>
      <c r="D61">
        <v>11.19575</v>
      </c>
      <c r="E61" s="3">
        <v>45674</v>
      </c>
      <c r="F61">
        <v>2617.4070000000002</v>
      </c>
      <c r="G61">
        <v>163.86</v>
      </c>
      <c r="H61">
        <v>3.49</v>
      </c>
      <c r="I61">
        <v>175.65</v>
      </c>
      <c r="J61">
        <v>39.5</v>
      </c>
      <c r="K61">
        <v>40.17</v>
      </c>
    </row>
    <row r="62" spans="2:11" x14ac:dyDescent="0.2">
      <c r="B62" s="3">
        <v>45673</v>
      </c>
      <c r="C62">
        <v>1.4394499999999999</v>
      </c>
      <c r="D62">
        <v>11.153600000000001</v>
      </c>
      <c r="E62" s="3">
        <v>45673</v>
      </c>
      <c r="F62">
        <v>2585.86</v>
      </c>
      <c r="G62">
        <v>159.37</v>
      </c>
      <c r="H62">
        <v>3.55</v>
      </c>
      <c r="I62">
        <v>174</v>
      </c>
      <c r="J62">
        <v>38.24</v>
      </c>
      <c r="K62">
        <v>40.520000000000003</v>
      </c>
    </row>
    <row r="63" spans="2:11" x14ac:dyDescent="0.2">
      <c r="B63" s="3">
        <v>45672</v>
      </c>
      <c r="C63">
        <v>1.43415</v>
      </c>
      <c r="D63">
        <v>11.1591</v>
      </c>
      <c r="E63" s="3">
        <v>45672</v>
      </c>
      <c r="F63">
        <v>2570.8319999999999</v>
      </c>
      <c r="G63">
        <v>153.86000000000001</v>
      </c>
      <c r="H63">
        <v>3.69</v>
      </c>
      <c r="I63">
        <v>173.23</v>
      </c>
      <c r="J63">
        <v>39.020000000000003</v>
      </c>
      <c r="K63">
        <v>40.39</v>
      </c>
    </row>
    <row r="64" spans="2:11" x14ac:dyDescent="0.2">
      <c r="B64" s="3">
        <v>45671</v>
      </c>
      <c r="C64">
        <v>1.4349499999999999</v>
      </c>
      <c r="D64">
        <v>11.1691</v>
      </c>
      <c r="E64" s="3">
        <v>45671</v>
      </c>
      <c r="F64">
        <v>2521.2199999999998</v>
      </c>
      <c r="G64">
        <v>148</v>
      </c>
      <c r="H64">
        <v>3.55</v>
      </c>
      <c r="I64">
        <v>171</v>
      </c>
      <c r="J64">
        <v>38.5</v>
      </c>
      <c r="K64">
        <v>39.549999999999997</v>
      </c>
    </row>
    <row r="65" spans="2:11" x14ac:dyDescent="0.2">
      <c r="B65" s="3">
        <v>45670</v>
      </c>
      <c r="C65">
        <v>1.4379</v>
      </c>
      <c r="D65">
        <v>11.24775</v>
      </c>
      <c r="E65" s="3">
        <v>45670</v>
      </c>
      <c r="F65">
        <v>2514.8130000000001</v>
      </c>
      <c r="G65">
        <v>144.49</v>
      </c>
      <c r="H65">
        <v>3.65</v>
      </c>
      <c r="I65">
        <v>170.25</v>
      </c>
      <c r="J65">
        <v>39.32</v>
      </c>
      <c r="K65">
        <v>39.130000000000003</v>
      </c>
    </row>
    <row r="66" spans="2:11" x14ac:dyDescent="0.2">
      <c r="B66" s="3">
        <v>45667</v>
      </c>
      <c r="C66">
        <v>1.44225</v>
      </c>
      <c r="D66">
        <v>11.223000000000001</v>
      </c>
      <c r="E66" s="3">
        <v>45667</v>
      </c>
      <c r="F66">
        <v>2523.7260000000001</v>
      </c>
      <c r="G66">
        <v>149.55000000000001</v>
      </c>
      <c r="H66">
        <v>3.51</v>
      </c>
      <c r="I66">
        <v>170.64</v>
      </c>
      <c r="J66">
        <v>39.78</v>
      </c>
      <c r="K66">
        <v>39.659999999999997</v>
      </c>
    </row>
    <row r="67" spans="2:11" x14ac:dyDescent="0.2">
      <c r="B67" s="3">
        <v>45666</v>
      </c>
      <c r="C67">
        <v>1.4394499999999999</v>
      </c>
      <c r="D67">
        <v>11.1553</v>
      </c>
      <c r="E67" s="3">
        <v>45666</v>
      </c>
      <c r="F67">
        <v>2549.5790000000002</v>
      </c>
      <c r="G67">
        <v>148.11000000000001</v>
      </c>
      <c r="H67">
        <v>3.62</v>
      </c>
      <c r="I67">
        <v>170.99</v>
      </c>
      <c r="J67">
        <v>40.25</v>
      </c>
      <c r="K67">
        <v>40.32</v>
      </c>
    </row>
    <row r="68" spans="2:11" x14ac:dyDescent="0.2">
      <c r="B68" s="3">
        <v>45665</v>
      </c>
      <c r="C68">
        <v>1.4375</v>
      </c>
      <c r="D68">
        <v>11.150550000000001</v>
      </c>
      <c r="E68" s="3">
        <v>45665</v>
      </c>
      <c r="F68">
        <v>2541.2869999999998</v>
      </c>
      <c r="G68">
        <v>147.41999999999999</v>
      </c>
      <c r="H68">
        <v>3.53</v>
      </c>
      <c r="I68">
        <v>171.31</v>
      </c>
      <c r="J68">
        <v>40.25</v>
      </c>
      <c r="K68">
        <v>40.1</v>
      </c>
    </row>
    <row r="69" spans="2:11" x14ac:dyDescent="0.2">
      <c r="B69" s="3">
        <v>45664</v>
      </c>
      <c r="C69">
        <v>1.4369499999999999</v>
      </c>
      <c r="D69">
        <v>11.120799999999999</v>
      </c>
      <c r="E69" s="3">
        <v>45664</v>
      </c>
      <c r="F69">
        <v>2543.1509999999998</v>
      </c>
      <c r="G69">
        <v>140.97</v>
      </c>
      <c r="H69">
        <v>3.63</v>
      </c>
      <c r="I69">
        <v>170.4</v>
      </c>
      <c r="J69">
        <v>40.4</v>
      </c>
      <c r="K69">
        <v>40.549999999999997</v>
      </c>
    </row>
    <row r="70" spans="2:11" x14ac:dyDescent="0.2">
      <c r="B70" s="3">
        <v>45663</v>
      </c>
      <c r="C70">
        <v>1.4331499999999999</v>
      </c>
      <c r="D70">
        <v>11.04705</v>
      </c>
      <c r="E70" s="3">
        <v>45663</v>
      </c>
      <c r="G70">
        <v>141.65</v>
      </c>
      <c r="H70">
        <v>3.69</v>
      </c>
      <c r="I70">
        <v>173.22</v>
      </c>
      <c r="J70">
        <v>40.159999999999997</v>
      </c>
      <c r="K70">
        <v>41.39</v>
      </c>
    </row>
    <row r="71" spans="2:11" x14ac:dyDescent="0.2">
      <c r="B71" s="3">
        <v>45660</v>
      </c>
      <c r="C71">
        <v>1.44475</v>
      </c>
      <c r="D71">
        <v>11.1114</v>
      </c>
      <c r="E71" s="3">
        <v>45660</v>
      </c>
      <c r="F71">
        <v>2511.4160000000002</v>
      </c>
      <c r="G71">
        <v>139.94999999999999</v>
      </c>
      <c r="H71">
        <v>3.71</v>
      </c>
      <c r="I71">
        <v>173.65</v>
      </c>
      <c r="J71">
        <v>40.9</v>
      </c>
      <c r="K71">
        <v>41.28</v>
      </c>
    </row>
    <row r="72" spans="2:11" x14ac:dyDescent="0.2">
      <c r="B72" s="3">
        <v>45659</v>
      </c>
      <c r="C72">
        <v>1.44025</v>
      </c>
      <c r="D72">
        <v>11.162850000000001</v>
      </c>
      <c r="E72" s="3">
        <v>45659</v>
      </c>
      <c r="F72">
        <v>2508.8290000000002</v>
      </c>
      <c r="G72">
        <v>134.25</v>
      </c>
      <c r="H72">
        <v>3.4</v>
      </c>
      <c r="I72">
        <v>173.19</v>
      </c>
      <c r="J72">
        <v>41.13</v>
      </c>
      <c r="K72">
        <v>40.700000000000003</v>
      </c>
    </row>
    <row r="73" spans="2:11" x14ac:dyDescent="0.2">
      <c r="B73" s="3">
        <v>45658</v>
      </c>
      <c r="C73">
        <v>1.43855</v>
      </c>
      <c r="D73">
        <v>11.0649</v>
      </c>
      <c r="E73" s="3">
        <v>45657</v>
      </c>
      <c r="G73">
        <v>132.66</v>
      </c>
      <c r="H73">
        <v>3.27</v>
      </c>
      <c r="I73">
        <v>173.14</v>
      </c>
      <c r="J73">
        <v>41.14</v>
      </c>
      <c r="K73">
        <v>40.68</v>
      </c>
    </row>
    <row r="74" spans="2:11" x14ac:dyDescent="0.2">
      <c r="B74" s="3">
        <v>45657</v>
      </c>
      <c r="C74">
        <v>1.43825</v>
      </c>
      <c r="D74">
        <v>11.06915</v>
      </c>
      <c r="E74" s="3">
        <v>45656</v>
      </c>
      <c r="F74">
        <v>2483.123</v>
      </c>
      <c r="G74">
        <v>134.80000000000001</v>
      </c>
      <c r="H74">
        <v>3.23</v>
      </c>
      <c r="I74">
        <v>173.71</v>
      </c>
      <c r="J74">
        <v>41.08</v>
      </c>
      <c r="K74">
        <v>40.78</v>
      </c>
    </row>
    <row r="75" spans="2:11" x14ac:dyDescent="0.2">
      <c r="B75" s="3">
        <v>45656</v>
      </c>
      <c r="C75">
        <v>1.4355</v>
      </c>
      <c r="D75">
        <v>11.022349999999999</v>
      </c>
      <c r="E75" s="3">
        <v>45653</v>
      </c>
      <c r="F75">
        <v>2490.1860000000001</v>
      </c>
      <c r="G75">
        <v>137.1</v>
      </c>
      <c r="H75">
        <v>3.28</v>
      </c>
      <c r="I75">
        <v>175.85</v>
      </c>
      <c r="J75">
        <v>41.16</v>
      </c>
      <c r="K75">
        <v>40.82</v>
      </c>
    </row>
    <row r="76" spans="2:11" x14ac:dyDescent="0.2">
      <c r="B76" s="3">
        <v>45653</v>
      </c>
      <c r="C76">
        <v>1.44095</v>
      </c>
      <c r="D76">
        <v>11.004</v>
      </c>
      <c r="E76" s="3">
        <v>45650</v>
      </c>
      <c r="G76">
        <v>139.91999999999999</v>
      </c>
      <c r="H76">
        <v>3.26</v>
      </c>
      <c r="I76">
        <v>178.61</v>
      </c>
      <c r="J76">
        <v>42.12</v>
      </c>
      <c r="K76">
        <v>40.36</v>
      </c>
    </row>
    <row r="77" spans="2:11" x14ac:dyDescent="0.2">
      <c r="B77" s="3">
        <v>45652</v>
      </c>
      <c r="C77">
        <v>1.44075</v>
      </c>
      <c r="D77">
        <v>11.0473</v>
      </c>
      <c r="E77" s="3">
        <v>45649</v>
      </c>
      <c r="F77">
        <v>2469.87</v>
      </c>
      <c r="G77">
        <v>140.29</v>
      </c>
      <c r="H77">
        <v>3.17</v>
      </c>
      <c r="I77">
        <v>177.33</v>
      </c>
      <c r="J77">
        <v>41.39</v>
      </c>
      <c r="K77">
        <v>40.15</v>
      </c>
    </row>
    <row r="78" spans="2:11" x14ac:dyDescent="0.2">
      <c r="B78" s="3">
        <v>45651</v>
      </c>
      <c r="C78">
        <v>1.4365000000000001</v>
      </c>
      <c r="D78">
        <v>11.082800000000001</v>
      </c>
      <c r="E78" s="3">
        <v>45646</v>
      </c>
      <c r="F78">
        <v>2474.6480000000001</v>
      </c>
      <c r="G78">
        <v>136.94</v>
      </c>
      <c r="H78">
        <v>3.27</v>
      </c>
      <c r="I78">
        <v>177.35</v>
      </c>
      <c r="J78">
        <v>41.21</v>
      </c>
      <c r="K78">
        <v>39.619999999999997</v>
      </c>
    </row>
    <row r="79" spans="2:11" x14ac:dyDescent="0.2">
      <c r="B79" s="3">
        <v>45650</v>
      </c>
      <c r="C79">
        <v>1.43625</v>
      </c>
      <c r="D79">
        <v>11.097300000000001</v>
      </c>
      <c r="E79" s="3">
        <v>45645</v>
      </c>
      <c r="F79">
        <v>2481.096</v>
      </c>
      <c r="G79">
        <v>134.04</v>
      </c>
      <c r="H79">
        <v>3.27</v>
      </c>
      <c r="I79">
        <v>176.5</v>
      </c>
      <c r="J79">
        <v>41.7</v>
      </c>
      <c r="K79">
        <v>39.44</v>
      </c>
    </row>
    <row r="80" spans="2:11" x14ac:dyDescent="0.2">
      <c r="B80" s="3">
        <v>45649</v>
      </c>
      <c r="C80">
        <v>1.4370499999999999</v>
      </c>
      <c r="D80">
        <v>11.04485</v>
      </c>
      <c r="E80" s="3">
        <v>45644</v>
      </c>
      <c r="F80">
        <v>2537.6260000000002</v>
      </c>
      <c r="G80">
        <v>132.86000000000001</v>
      </c>
      <c r="H80">
        <v>3.27</v>
      </c>
      <c r="I80">
        <v>176.19</v>
      </c>
      <c r="J80">
        <v>42.2</v>
      </c>
      <c r="K80">
        <v>39.56</v>
      </c>
    </row>
    <row r="81" spans="2:11" x14ac:dyDescent="0.2">
      <c r="B81" s="3">
        <v>45646</v>
      </c>
      <c r="C81">
        <v>1.4370499999999999</v>
      </c>
      <c r="D81">
        <v>11.034050000000001</v>
      </c>
      <c r="E81" s="3">
        <v>45643</v>
      </c>
      <c r="F81">
        <v>2533.0700000000002</v>
      </c>
      <c r="G81">
        <v>140</v>
      </c>
      <c r="H81">
        <v>3.42</v>
      </c>
      <c r="I81">
        <v>181.25</v>
      </c>
      <c r="J81">
        <v>43.24</v>
      </c>
      <c r="K81">
        <v>40.96</v>
      </c>
    </row>
    <row r="82" spans="2:11" x14ac:dyDescent="0.2">
      <c r="B82" s="3">
        <v>45645</v>
      </c>
      <c r="C82">
        <v>1.4399</v>
      </c>
      <c r="D82">
        <v>11.03035</v>
      </c>
      <c r="E82" s="3">
        <v>45642</v>
      </c>
      <c r="F82">
        <v>2544.6039999999998</v>
      </c>
      <c r="G82">
        <v>141.07</v>
      </c>
      <c r="H82">
        <v>3.39</v>
      </c>
      <c r="I82">
        <v>181.9</v>
      </c>
      <c r="J82">
        <v>42.15</v>
      </c>
      <c r="K82">
        <v>42.12</v>
      </c>
    </row>
    <row r="83" spans="2:11" x14ac:dyDescent="0.2">
      <c r="B83" s="3">
        <v>45644</v>
      </c>
      <c r="C83">
        <v>1.44475</v>
      </c>
      <c r="D83">
        <v>11.12965</v>
      </c>
      <c r="E83" s="3">
        <v>45639</v>
      </c>
      <c r="F83">
        <v>2556.3429999999998</v>
      </c>
      <c r="G83">
        <v>141.22</v>
      </c>
      <c r="H83">
        <v>3.37</v>
      </c>
      <c r="I83">
        <v>181.9</v>
      </c>
      <c r="J83">
        <v>44.19</v>
      </c>
      <c r="K83">
        <v>42</v>
      </c>
    </row>
    <row r="84" spans="2:11" x14ac:dyDescent="0.2">
      <c r="B84" s="3">
        <v>45643</v>
      </c>
      <c r="C84">
        <v>1.4310499999999999</v>
      </c>
      <c r="D84">
        <v>10.96175</v>
      </c>
      <c r="E84" s="3">
        <v>45638</v>
      </c>
      <c r="F84">
        <v>2573.9760000000001</v>
      </c>
      <c r="G84">
        <v>129.41999999999999</v>
      </c>
      <c r="H84">
        <v>3.37</v>
      </c>
      <c r="I84">
        <v>184.67</v>
      </c>
      <c r="J84">
        <v>43.9</v>
      </c>
      <c r="K84">
        <v>42.54</v>
      </c>
    </row>
    <row r="85" spans="2:11" x14ac:dyDescent="0.2">
      <c r="B85" s="3">
        <v>45642</v>
      </c>
      <c r="C85">
        <v>1.42425</v>
      </c>
      <c r="D85">
        <v>10.885400000000001</v>
      </c>
      <c r="E85" s="3">
        <v>45637</v>
      </c>
      <c r="F85">
        <v>2588.4389999999999</v>
      </c>
      <c r="G85">
        <v>127.38</v>
      </c>
      <c r="H85">
        <v>3.41</v>
      </c>
      <c r="I85">
        <v>185.98</v>
      </c>
      <c r="J85">
        <v>44.1</v>
      </c>
      <c r="K85">
        <v>43</v>
      </c>
    </row>
    <row r="86" spans="2:11" x14ac:dyDescent="0.2">
      <c r="B86" s="3">
        <v>45639</v>
      </c>
      <c r="C86">
        <v>1.4231499999999999</v>
      </c>
      <c r="D86">
        <v>10.982799999999999</v>
      </c>
      <c r="E86" s="3">
        <v>45636</v>
      </c>
      <c r="F86">
        <v>2595.4859999999999</v>
      </c>
      <c r="G86">
        <v>124.76</v>
      </c>
      <c r="H86">
        <v>3.5</v>
      </c>
      <c r="I86">
        <v>185.47</v>
      </c>
      <c r="J86">
        <v>44.48</v>
      </c>
      <c r="K86">
        <v>42.89</v>
      </c>
    </row>
    <row r="87" spans="2:11" x14ac:dyDescent="0.2">
      <c r="B87" s="3">
        <v>45638</v>
      </c>
      <c r="C87">
        <v>1.42205</v>
      </c>
      <c r="D87">
        <v>11.0182</v>
      </c>
      <c r="E87" s="3">
        <v>45635</v>
      </c>
      <c r="F87">
        <v>2617.8000000000002</v>
      </c>
      <c r="G87">
        <v>128.28</v>
      </c>
      <c r="H87">
        <v>3.42</v>
      </c>
      <c r="I87">
        <v>184.07</v>
      </c>
      <c r="J87">
        <v>44.13</v>
      </c>
      <c r="K87">
        <v>43.28</v>
      </c>
    </row>
    <row r="88" spans="2:11" x14ac:dyDescent="0.2">
      <c r="B88" s="3">
        <v>45637</v>
      </c>
      <c r="C88">
        <v>1.4158500000000001</v>
      </c>
      <c r="D88">
        <v>10.9756</v>
      </c>
      <c r="E88" s="3">
        <v>45632</v>
      </c>
      <c r="F88">
        <v>2614.268</v>
      </c>
      <c r="G88">
        <v>134.27000000000001</v>
      </c>
      <c r="H88">
        <v>3.31</v>
      </c>
      <c r="I88">
        <v>185.48</v>
      </c>
      <c r="J88">
        <v>42.8</v>
      </c>
      <c r="K88">
        <v>43.4</v>
      </c>
    </row>
    <row r="89" spans="2:11" x14ac:dyDescent="0.2">
      <c r="B89" s="3">
        <v>45636</v>
      </c>
      <c r="C89">
        <v>1.41815</v>
      </c>
      <c r="D89">
        <v>10.969049999999999</v>
      </c>
      <c r="E89" s="3">
        <v>45631</v>
      </c>
      <c r="F89">
        <v>2606.0830000000001</v>
      </c>
      <c r="G89">
        <v>129.25</v>
      </c>
      <c r="H89">
        <v>3.34</v>
      </c>
      <c r="I89">
        <v>183.41</v>
      </c>
      <c r="J89">
        <v>43</v>
      </c>
      <c r="K89">
        <v>44.41</v>
      </c>
    </row>
    <row r="90" spans="2:11" x14ac:dyDescent="0.2">
      <c r="B90" s="3">
        <v>45635</v>
      </c>
      <c r="C90">
        <v>1.4171499999999999</v>
      </c>
      <c r="D90">
        <v>10.91455</v>
      </c>
      <c r="E90" s="3">
        <v>45630</v>
      </c>
      <c r="F90">
        <v>2594.3780000000002</v>
      </c>
      <c r="G90">
        <v>125.87</v>
      </c>
      <c r="H90">
        <v>3.35</v>
      </c>
      <c r="I90">
        <v>184.56</v>
      </c>
      <c r="J90">
        <v>44.04</v>
      </c>
      <c r="K90">
        <v>44.07</v>
      </c>
    </row>
    <row r="91" spans="2:11" x14ac:dyDescent="0.2">
      <c r="B91" s="3">
        <v>45632</v>
      </c>
      <c r="C91">
        <v>1.4158500000000001</v>
      </c>
      <c r="D91">
        <v>10.936500000000001</v>
      </c>
      <c r="E91" s="3">
        <v>45629</v>
      </c>
      <c r="F91">
        <v>2573.6950000000002</v>
      </c>
      <c r="G91">
        <v>125.82</v>
      </c>
      <c r="H91">
        <v>3.29</v>
      </c>
      <c r="I91">
        <v>179.95</v>
      </c>
      <c r="J91">
        <v>45.41</v>
      </c>
      <c r="K91">
        <v>43.18</v>
      </c>
    </row>
    <row r="92" spans="2:11" x14ac:dyDescent="0.2">
      <c r="B92" s="3">
        <v>45631</v>
      </c>
      <c r="C92">
        <v>1.40255</v>
      </c>
      <c r="D92">
        <v>10.852499999999999</v>
      </c>
      <c r="E92" s="3">
        <v>45628</v>
      </c>
      <c r="F92">
        <v>2548.1329999999998</v>
      </c>
      <c r="G92">
        <v>119.4</v>
      </c>
      <c r="H92">
        <v>3.36</v>
      </c>
      <c r="I92">
        <v>182.66</v>
      </c>
      <c r="J92">
        <v>42.63</v>
      </c>
      <c r="K92">
        <v>42.51</v>
      </c>
    </row>
    <row r="93" spans="2:11" x14ac:dyDescent="0.2">
      <c r="B93" s="3">
        <v>45630</v>
      </c>
      <c r="C93">
        <v>1.4073500000000001</v>
      </c>
      <c r="D93">
        <v>10.927300000000001</v>
      </c>
      <c r="E93" s="3">
        <v>45625</v>
      </c>
      <c r="F93">
        <v>2513.846</v>
      </c>
      <c r="G93">
        <v>120.37</v>
      </c>
      <c r="H93">
        <v>3.36</v>
      </c>
      <c r="I93">
        <v>183.47</v>
      </c>
      <c r="J93">
        <v>42.5</v>
      </c>
      <c r="K93">
        <v>42.64</v>
      </c>
    </row>
    <row r="94" spans="2:11" x14ac:dyDescent="0.2">
      <c r="B94" s="3">
        <v>45629</v>
      </c>
      <c r="C94">
        <v>1.4069</v>
      </c>
      <c r="D94">
        <v>11.00915</v>
      </c>
      <c r="E94" s="3">
        <v>45624</v>
      </c>
      <c r="F94">
        <v>2508.9229999999998</v>
      </c>
      <c r="G94">
        <v>118.87</v>
      </c>
      <c r="H94">
        <v>3.3</v>
      </c>
      <c r="I94">
        <v>179.11</v>
      </c>
      <c r="J94">
        <v>41.73</v>
      </c>
      <c r="K94">
        <v>42.98</v>
      </c>
    </row>
    <row r="95" spans="2:11" x14ac:dyDescent="0.2">
      <c r="B95" s="3">
        <v>45628</v>
      </c>
      <c r="C95">
        <v>1.4047499999999999</v>
      </c>
      <c r="D95">
        <v>10.99395</v>
      </c>
      <c r="E95" s="3">
        <v>45623</v>
      </c>
      <c r="F95">
        <v>2497.6750000000002</v>
      </c>
      <c r="G95">
        <v>116.7</v>
      </c>
      <c r="H95">
        <v>3.27</v>
      </c>
      <c r="I95">
        <v>179.43</v>
      </c>
      <c r="J95">
        <v>42.32</v>
      </c>
      <c r="K95">
        <v>42.9</v>
      </c>
    </row>
    <row r="96" spans="2:11" x14ac:dyDescent="0.2">
      <c r="B96" s="3">
        <v>45625</v>
      </c>
      <c r="C96">
        <v>1.40025</v>
      </c>
      <c r="D96">
        <v>10.9046</v>
      </c>
      <c r="E96" s="3">
        <v>45622</v>
      </c>
      <c r="F96">
        <v>2495.7959999999998</v>
      </c>
      <c r="G96">
        <v>121.98</v>
      </c>
      <c r="H96">
        <v>3.28</v>
      </c>
      <c r="I96">
        <v>177.2</v>
      </c>
      <c r="J96">
        <v>42.56</v>
      </c>
      <c r="K96">
        <v>42.23</v>
      </c>
    </row>
    <row r="97" spans="2:11" x14ac:dyDescent="0.2">
      <c r="B97" s="3">
        <v>45624</v>
      </c>
      <c r="C97">
        <v>1.4013</v>
      </c>
      <c r="D97">
        <v>10.922700000000001</v>
      </c>
      <c r="E97" s="3">
        <v>45621</v>
      </c>
      <c r="F97">
        <v>2512.451</v>
      </c>
      <c r="G97">
        <v>119.71</v>
      </c>
      <c r="H97">
        <v>3.37</v>
      </c>
      <c r="I97">
        <v>171.66</v>
      </c>
      <c r="J97">
        <v>43.23</v>
      </c>
      <c r="K97">
        <v>42.33</v>
      </c>
    </row>
    <row r="98" spans="2:11" x14ac:dyDescent="0.2">
      <c r="B98" s="3">
        <v>45623</v>
      </c>
      <c r="C98">
        <v>1.403</v>
      </c>
      <c r="D98">
        <v>10.914849999999999</v>
      </c>
      <c r="E98" s="3">
        <v>45618</v>
      </c>
      <c r="F98">
        <v>2514.1019999999999</v>
      </c>
      <c r="G98">
        <v>124.54</v>
      </c>
      <c r="H98">
        <v>3.42</v>
      </c>
      <c r="I98">
        <v>170.59</v>
      </c>
      <c r="J98">
        <v>42.49</v>
      </c>
      <c r="K98">
        <v>41.17</v>
      </c>
    </row>
    <row r="99" spans="2:11" x14ac:dyDescent="0.2">
      <c r="B99" s="3">
        <v>45622</v>
      </c>
      <c r="C99">
        <v>1.4053500000000001</v>
      </c>
      <c r="D99">
        <v>10.99235</v>
      </c>
      <c r="E99" s="3">
        <v>45617</v>
      </c>
      <c r="F99">
        <v>2496.31</v>
      </c>
      <c r="G99">
        <v>127.85</v>
      </c>
      <c r="H99">
        <v>3.36</v>
      </c>
      <c r="I99">
        <v>168.68</v>
      </c>
      <c r="J99">
        <v>41.1</v>
      </c>
      <c r="K99">
        <v>40.78</v>
      </c>
    </row>
    <row r="100" spans="2:11" x14ac:dyDescent="0.2">
      <c r="B100" s="3">
        <v>45621</v>
      </c>
      <c r="C100">
        <v>1.3987000000000001</v>
      </c>
      <c r="D100">
        <v>10.984999999999999</v>
      </c>
      <c r="E100" s="3">
        <v>45616</v>
      </c>
      <c r="F100">
        <v>2484.4899999999998</v>
      </c>
      <c r="G100">
        <v>121.59</v>
      </c>
      <c r="H100">
        <v>3.3</v>
      </c>
      <c r="I100">
        <v>168.57</v>
      </c>
      <c r="J100">
        <v>42</v>
      </c>
      <c r="K100">
        <v>40.380000000000003</v>
      </c>
    </row>
    <row r="101" spans="2:11" x14ac:dyDescent="0.2">
      <c r="B101" s="3">
        <v>45618</v>
      </c>
      <c r="C101">
        <v>1.39805</v>
      </c>
      <c r="D101">
        <v>11.0375</v>
      </c>
      <c r="E101" s="3">
        <v>45615</v>
      </c>
      <c r="F101">
        <v>2493.4760000000001</v>
      </c>
      <c r="G101">
        <v>121.18</v>
      </c>
      <c r="H101">
        <v>3.36</v>
      </c>
      <c r="I101">
        <v>168</v>
      </c>
      <c r="J101">
        <v>42</v>
      </c>
      <c r="K101">
        <v>39.880000000000003</v>
      </c>
    </row>
    <row r="102" spans="2:11" x14ac:dyDescent="0.2">
      <c r="B102" s="3">
        <v>45617</v>
      </c>
      <c r="C102">
        <v>1.3973500000000001</v>
      </c>
      <c r="D102">
        <v>11.060700000000001</v>
      </c>
      <c r="E102" s="3">
        <v>45614</v>
      </c>
      <c r="F102">
        <v>2506.913</v>
      </c>
      <c r="G102">
        <v>117.69</v>
      </c>
      <c r="H102">
        <v>3.58</v>
      </c>
      <c r="I102">
        <v>166.25</v>
      </c>
      <c r="J102">
        <v>41.65</v>
      </c>
      <c r="K102">
        <v>39.590000000000003</v>
      </c>
    </row>
    <row r="103" spans="2:11" x14ac:dyDescent="0.2">
      <c r="B103" s="3">
        <v>45616</v>
      </c>
      <c r="C103">
        <v>1.3975500000000001</v>
      </c>
      <c r="D103">
        <v>11.02675</v>
      </c>
      <c r="E103" s="3">
        <v>45611</v>
      </c>
      <c r="F103">
        <v>2509.9870000000001</v>
      </c>
      <c r="G103">
        <v>115.75</v>
      </c>
      <c r="H103">
        <v>3.55</v>
      </c>
      <c r="I103">
        <v>165.15</v>
      </c>
      <c r="J103">
        <v>42.1</v>
      </c>
      <c r="K103">
        <v>40.61</v>
      </c>
    </row>
    <row r="104" spans="2:11" x14ac:dyDescent="0.2">
      <c r="B104" s="3">
        <v>45615</v>
      </c>
      <c r="C104">
        <v>1.3956500000000001</v>
      </c>
      <c r="D104">
        <v>10.921150000000001</v>
      </c>
      <c r="E104" s="3">
        <v>45610</v>
      </c>
      <c r="F104">
        <v>2531.3890000000001</v>
      </c>
      <c r="G104">
        <v>113.32</v>
      </c>
      <c r="H104">
        <v>3.6</v>
      </c>
      <c r="I104">
        <v>166.37</v>
      </c>
      <c r="J104">
        <v>42.8</v>
      </c>
      <c r="K104">
        <v>40.67</v>
      </c>
    </row>
    <row r="105" spans="2:11" x14ac:dyDescent="0.2">
      <c r="B105" s="3">
        <v>45614</v>
      </c>
      <c r="C105">
        <v>1.4014500000000001</v>
      </c>
      <c r="D105">
        <v>10.907</v>
      </c>
      <c r="E105" s="3">
        <v>45609</v>
      </c>
      <c r="F105">
        <v>2512.5630000000001</v>
      </c>
      <c r="G105">
        <v>114.98</v>
      </c>
      <c r="H105">
        <v>3.63</v>
      </c>
      <c r="I105">
        <v>173</v>
      </c>
      <c r="J105">
        <v>41.83</v>
      </c>
      <c r="K105">
        <v>42.72</v>
      </c>
    </row>
    <row r="106" spans="2:11" x14ac:dyDescent="0.2">
      <c r="B106" s="3">
        <v>45611</v>
      </c>
      <c r="C106">
        <v>1.4090499999999999</v>
      </c>
      <c r="D106">
        <v>10.98085</v>
      </c>
      <c r="E106" s="3">
        <v>45608</v>
      </c>
      <c r="F106">
        <v>2514.2310000000002</v>
      </c>
      <c r="G106">
        <v>117.22</v>
      </c>
      <c r="H106">
        <v>3.74</v>
      </c>
      <c r="I106">
        <v>170.99</v>
      </c>
      <c r="J106">
        <v>41.7</v>
      </c>
      <c r="K106">
        <v>41.95</v>
      </c>
    </row>
    <row r="107" spans="2:11" x14ac:dyDescent="0.2">
      <c r="B107" s="3">
        <v>45610</v>
      </c>
      <c r="C107">
        <v>1.4058999999999999</v>
      </c>
      <c r="D107">
        <v>11.000400000000001</v>
      </c>
      <c r="E107" s="3">
        <v>45607</v>
      </c>
      <c r="F107">
        <v>2576.4250000000002</v>
      </c>
      <c r="G107">
        <v>117.9</v>
      </c>
      <c r="H107">
        <v>3.53</v>
      </c>
      <c r="I107">
        <v>170.99</v>
      </c>
      <c r="J107">
        <v>39.9</v>
      </c>
      <c r="K107">
        <v>41.4</v>
      </c>
    </row>
    <row r="108" spans="2:11" x14ac:dyDescent="0.2">
      <c r="B108" s="3">
        <v>45609</v>
      </c>
      <c r="C108">
        <v>1.3996999999999999</v>
      </c>
      <c r="D108">
        <v>10.986549999999999</v>
      </c>
      <c r="E108" s="3">
        <v>45604</v>
      </c>
      <c r="F108">
        <v>2558.7440000000001</v>
      </c>
      <c r="G108">
        <v>119.54</v>
      </c>
      <c r="H108">
        <v>3.29</v>
      </c>
      <c r="I108">
        <v>169.28</v>
      </c>
      <c r="J108">
        <v>39.25</v>
      </c>
      <c r="K108">
        <v>40.69</v>
      </c>
    </row>
    <row r="109" spans="2:11" x14ac:dyDescent="0.2">
      <c r="B109" s="3">
        <v>45608</v>
      </c>
      <c r="C109">
        <v>1.3945000000000001</v>
      </c>
      <c r="D109">
        <v>10.8978</v>
      </c>
      <c r="E109" s="3">
        <v>45603</v>
      </c>
      <c r="F109">
        <v>2584.7240000000002</v>
      </c>
      <c r="G109">
        <v>118.31</v>
      </c>
      <c r="H109">
        <v>3.17</v>
      </c>
      <c r="I109">
        <v>167.97</v>
      </c>
      <c r="J109">
        <v>38.5</v>
      </c>
      <c r="K109">
        <v>41.03</v>
      </c>
    </row>
    <row r="110" spans="2:11" x14ac:dyDescent="0.2">
      <c r="B110" s="3">
        <v>45607</v>
      </c>
      <c r="C110">
        <v>1.39245</v>
      </c>
      <c r="D110">
        <v>10.844099999999999</v>
      </c>
      <c r="E110" s="3">
        <v>45602</v>
      </c>
      <c r="F110">
        <v>2553.1320000000001</v>
      </c>
      <c r="G110">
        <v>112.93</v>
      </c>
      <c r="H110">
        <v>3.16</v>
      </c>
      <c r="I110">
        <v>171.25</v>
      </c>
      <c r="J110">
        <v>38.54</v>
      </c>
      <c r="K110">
        <v>40.69</v>
      </c>
    </row>
    <row r="111" spans="2:11" x14ac:dyDescent="0.2">
      <c r="B111" s="3">
        <v>45604</v>
      </c>
      <c r="C111">
        <v>1.3909</v>
      </c>
      <c r="D111">
        <v>10.8185</v>
      </c>
      <c r="E111" s="3">
        <v>45601</v>
      </c>
      <c r="F111">
        <v>2574.127</v>
      </c>
      <c r="G111">
        <v>104.69</v>
      </c>
      <c r="H111">
        <v>3</v>
      </c>
      <c r="I111">
        <v>165.93</v>
      </c>
      <c r="J111">
        <v>39.1</v>
      </c>
      <c r="K111">
        <v>39.97</v>
      </c>
    </row>
    <row r="112" spans="2:11" x14ac:dyDescent="0.2">
      <c r="B112" s="3">
        <v>45603</v>
      </c>
      <c r="C112">
        <v>1.38615</v>
      </c>
      <c r="D112">
        <v>10.68295</v>
      </c>
      <c r="E112" s="3">
        <v>45600</v>
      </c>
      <c r="F112">
        <v>2571.9839999999999</v>
      </c>
      <c r="G112">
        <v>100.58</v>
      </c>
      <c r="H112">
        <v>3.07</v>
      </c>
      <c r="I112">
        <v>162.91</v>
      </c>
      <c r="J112">
        <v>38</v>
      </c>
      <c r="K112">
        <v>39.78</v>
      </c>
    </row>
    <row r="113" spans="2:11" x14ac:dyDescent="0.2">
      <c r="B113" s="3">
        <v>45602</v>
      </c>
      <c r="C113">
        <v>1.3938999999999999</v>
      </c>
      <c r="D113">
        <v>10.860799999999999</v>
      </c>
      <c r="E113" s="3">
        <v>45597</v>
      </c>
      <c r="F113">
        <v>2557.2220000000002</v>
      </c>
      <c r="G113">
        <v>98.01</v>
      </c>
      <c r="H113">
        <v>2.99</v>
      </c>
      <c r="I113">
        <v>166</v>
      </c>
      <c r="J113">
        <v>34.17</v>
      </c>
      <c r="K113">
        <v>40.4</v>
      </c>
    </row>
    <row r="114" spans="2:11" x14ac:dyDescent="0.2">
      <c r="B114" s="3">
        <v>45601</v>
      </c>
      <c r="C114">
        <v>1.3826000000000001</v>
      </c>
      <c r="D114">
        <v>10.702249999999999</v>
      </c>
      <c r="E114" s="3">
        <v>45596</v>
      </c>
      <c r="F114">
        <v>2542.4079999999999</v>
      </c>
      <c r="G114">
        <v>95.28</v>
      </c>
      <c r="H114">
        <v>3</v>
      </c>
      <c r="I114">
        <v>154.63999999999999</v>
      </c>
      <c r="J114">
        <v>32.42</v>
      </c>
      <c r="K114">
        <v>41.76</v>
      </c>
    </row>
    <row r="115" spans="2:11" x14ac:dyDescent="0.2">
      <c r="B115" s="3">
        <v>45600</v>
      </c>
      <c r="C115">
        <v>1.3902000000000001</v>
      </c>
      <c r="D115">
        <v>10.72315</v>
      </c>
      <c r="E115" s="3">
        <v>45595</v>
      </c>
      <c r="F115">
        <v>2578.3829999999998</v>
      </c>
      <c r="G115">
        <v>96.98</v>
      </c>
      <c r="H115">
        <v>3.03</v>
      </c>
      <c r="I115">
        <v>157.35</v>
      </c>
      <c r="J115">
        <v>32.42</v>
      </c>
      <c r="K115">
        <v>46.99</v>
      </c>
    </row>
    <row r="116" spans="2:11" x14ac:dyDescent="0.2">
      <c r="B116" s="3">
        <v>45597</v>
      </c>
      <c r="C116">
        <v>1.3953</v>
      </c>
      <c r="D116">
        <v>10.74775</v>
      </c>
      <c r="E116" s="3">
        <v>45594</v>
      </c>
      <c r="F116">
        <v>2610.7649999999999</v>
      </c>
      <c r="G116">
        <v>97.36</v>
      </c>
      <c r="H116">
        <v>3.07</v>
      </c>
      <c r="I116">
        <v>157</v>
      </c>
      <c r="J116">
        <v>32.42</v>
      </c>
      <c r="K116">
        <v>47.1</v>
      </c>
    </row>
    <row r="117" spans="2:11" x14ac:dyDescent="0.2">
      <c r="B117" s="3">
        <v>45596</v>
      </c>
      <c r="C117">
        <v>1.3933500000000001</v>
      </c>
      <c r="D117">
        <v>10.6464</v>
      </c>
      <c r="E117" s="3">
        <v>45593</v>
      </c>
      <c r="F117">
        <v>2624.085</v>
      </c>
      <c r="G117">
        <v>97.68</v>
      </c>
      <c r="H117">
        <v>3.15</v>
      </c>
      <c r="I117">
        <v>156.08000000000001</v>
      </c>
      <c r="J117">
        <v>32.26</v>
      </c>
      <c r="K117">
        <v>46.88</v>
      </c>
    </row>
    <row r="118" spans="2:11" x14ac:dyDescent="0.2">
      <c r="B118" s="3">
        <v>45595</v>
      </c>
      <c r="C118">
        <v>1.39035</v>
      </c>
      <c r="D118">
        <v>10.676349999999999</v>
      </c>
      <c r="E118" s="3">
        <v>45590</v>
      </c>
      <c r="F118">
        <v>2592.2809999999999</v>
      </c>
      <c r="G118">
        <v>96.43</v>
      </c>
      <c r="H118">
        <v>3.19</v>
      </c>
      <c r="I118">
        <v>157.05000000000001</v>
      </c>
      <c r="J118">
        <v>33.090000000000003</v>
      </c>
      <c r="K118">
        <v>46.23</v>
      </c>
    </row>
    <row r="119" spans="2:11" x14ac:dyDescent="0.2">
      <c r="B119" s="3">
        <v>45594</v>
      </c>
      <c r="C119">
        <v>1.3915</v>
      </c>
      <c r="D119">
        <v>10.638249999999999</v>
      </c>
      <c r="E119" s="3">
        <v>45589</v>
      </c>
      <c r="F119">
        <v>2578.0859999999998</v>
      </c>
      <c r="G119">
        <v>93.99</v>
      </c>
      <c r="H119">
        <v>3.38</v>
      </c>
      <c r="I119">
        <v>159.28</v>
      </c>
      <c r="J119">
        <v>32.4</v>
      </c>
      <c r="K119">
        <v>46.16</v>
      </c>
    </row>
    <row r="120" spans="2:11" x14ac:dyDescent="0.2">
      <c r="B120" s="3">
        <v>45593</v>
      </c>
      <c r="C120">
        <v>1.3889499999999999</v>
      </c>
      <c r="D120">
        <v>10.649900000000001</v>
      </c>
      <c r="E120" s="3">
        <v>45588</v>
      </c>
      <c r="F120">
        <v>2581.328</v>
      </c>
      <c r="G120">
        <v>79.47</v>
      </c>
      <c r="H120">
        <v>4.43</v>
      </c>
      <c r="I120">
        <v>156.07</v>
      </c>
      <c r="J120">
        <v>32.4</v>
      </c>
      <c r="K120">
        <v>45.44</v>
      </c>
    </row>
    <row r="121" spans="2:11" x14ac:dyDescent="0.2">
      <c r="B121" s="3">
        <v>45590</v>
      </c>
      <c r="C121">
        <v>1.3892</v>
      </c>
      <c r="D121">
        <v>10.6228</v>
      </c>
      <c r="E121" s="3">
        <v>45587</v>
      </c>
      <c r="F121">
        <v>2571.5129999999999</v>
      </c>
      <c r="G121">
        <v>77.44</v>
      </c>
      <c r="H121">
        <v>4.5999999999999996</v>
      </c>
      <c r="I121">
        <v>157.05000000000001</v>
      </c>
      <c r="J121">
        <v>33</v>
      </c>
      <c r="K121">
        <v>46.37</v>
      </c>
    </row>
    <row r="122" spans="2:11" x14ac:dyDescent="0.2">
      <c r="B122" s="3">
        <v>45589</v>
      </c>
      <c r="C122">
        <v>1.3855</v>
      </c>
      <c r="D122">
        <v>10.556649999999999</v>
      </c>
      <c r="E122" s="3">
        <v>45586</v>
      </c>
      <c r="F122">
        <v>2576.2040000000002</v>
      </c>
      <c r="G122">
        <v>78.37</v>
      </c>
      <c r="H122">
        <v>4.63</v>
      </c>
      <c r="I122">
        <v>155.22999999999999</v>
      </c>
      <c r="J122">
        <v>33.04</v>
      </c>
      <c r="K122">
        <v>46.31</v>
      </c>
    </row>
    <row r="123" spans="2:11" x14ac:dyDescent="0.2">
      <c r="B123" s="3">
        <v>45588</v>
      </c>
      <c r="C123">
        <v>1.38365</v>
      </c>
      <c r="D123">
        <v>10.594900000000001</v>
      </c>
      <c r="E123" s="3">
        <v>45583</v>
      </c>
      <c r="F123">
        <v>2594.3040000000001</v>
      </c>
      <c r="G123">
        <v>79.819999999999993</v>
      </c>
      <c r="H123">
        <v>4.76</v>
      </c>
      <c r="I123">
        <v>155.44999999999999</v>
      </c>
      <c r="J123">
        <v>33.049999999999997</v>
      </c>
      <c r="K123">
        <v>46.96</v>
      </c>
    </row>
    <row r="124" spans="2:11" x14ac:dyDescent="0.2">
      <c r="B124" s="3">
        <v>45587</v>
      </c>
      <c r="C124">
        <v>1.38175</v>
      </c>
      <c r="D124">
        <v>10.545349999999999</v>
      </c>
      <c r="E124" s="3">
        <v>45582</v>
      </c>
      <c r="F124">
        <v>2585.8130000000001</v>
      </c>
      <c r="G124">
        <v>80.27</v>
      </c>
      <c r="H124">
        <v>4.6399999999999997</v>
      </c>
      <c r="I124">
        <v>156.82</v>
      </c>
      <c r="J124">
        <v>33.090000000000003</v>
      </c>
      <c r="K124">
        <v>46.83</v>
      </c>
    </row>
    <row r="125" spans="2:11" x14ac:dyDescent="0.2">
      <c r="B125" s="3">
        <v>45586</v>
      </c>
      <c r="C125">
        <v>1.3831500000000001</v>
      </c>
      <c r="D125">
        <v>10.56265</v>
      </c>
      <c r="E125" s="3">
        <v>45581</v>
      </c>
      <c r="F125">
        <v>2580.0909999999999</v>
      </c>
      <c r="G125">
        <v>80.31</v>
      </c>
      <c r="H125">
        <v>4.75</v>
      </c>
      <c r="I125">
        <v>156.94999999999999</v>
      </c>
      <c r="J125">
        <v>33.22</v>
      </c>
      <c r="K125">
        <v>46.82</v>
      </c>
    </row>
    <row r="126" spans="2:11" x14ac:dyDescent="0.2">
      <c r="B126" s="3">
        <v>45583</v>
      </c>
      <c r="C126">
        <v>1.3801000000000001</v>
      </c>
      <c r="D126">
        <v>10.5207</v>
      </c>
      <c r="E126" s="3">
        <v>45580</v>
      </c>
      <c r="F126">
        <v>2577.0650000000001</v>
      </c>
      <c r="G126">
        <v>84.25</v>
      </c>
      <c r="H126">
        <v>4.5999999999999996</v>
      </c>
      <c r="I126">
        <v>157.72</v>
      </c>
      <c r="J126">
        <v>32.69</v>
      </c>
      <c r="K126">
        <v>46.32</v>
      </c>
    </row>
    <row r="127" spans="2:11" x14ac:dyDescent="0.2">
      <c r="B127" s="3">
        <v>45582</v>
      </c>
      <c r="C127">
        <v>1.3794999999999999</v>
      </c>
      <c r="D127">
        <v>10.5403</v>
      </c>
      <c r="E127" s="3">
        <v>45579</v>
      </c>
      <c r="F127">
        <v>2598.2449999999999</v>
      </c>
    </row>
    <row r="128" spans="2:11" x14ac:dyDescent="0.2">
      <c r="B128" s="3">
        <v>45581</v>
      </c>
      <c r="C128">
        <v>1.3752</v>
      </c>
      <c r="D128">
        <v>10.50455</v>
      </c>
      <c r="E128" s="3">
        <v>45576</v>
      </c>
      <c r="F128">
        <v>2588.7159999999999</v>
      </c>
      <c r="G128">
        <v>86.76</v>
      </c>
      <c r="H128">
        <v>4.6399999999999997</v>
      </c>
      <c r="I128">
        <v>158.07</v>
      </c>
      <c r="J128">
        <v>32.159999999999997</v>
      </c>
      <c r="K128">
        <v>46.56</v>
      </c>
    </row>
    <row r="129" spans="2:11" x14ac:dyDescent="0.2">
      <c r="B129" s="3">
        <v>45580</v>
      </c>
      <c r="C129">
        <v>1.3774999999999999</v>
      </c>
      <c r="D129">
        <v>10.4133</v>
      </c>
      <c r="E129" s="3">
        <v>45575</v>
      </c>
      <c r="F129">
        <v>2573.9110000000001</v>
      </c>
      <c r="G129">
        <v>84.2</v>
      </c>
      <c r="H129">
        <v>4.53</v>
      </c>
      <c r="I129">
        <v>158.96</v>
      </c>
      <c r="J129">
        <v>32.4</v>
      </c>
      <c r="K129">
        <v>46.36</v>
      </c>
    </row>
    <row r="130" spans="2:11" x14ac:dyDescent="0.2">
      <c r="B130" s="3">
        <v>45579</v>
      </c>
      <c r="C130">
        <v>1.3795500000000001</v>
      </c>
      <c r="D130">
        <v>10.4262</v>
      </c>
      <c r="E130" s="3">
        <v>45574</v>
      </c>
      <c r="F130">
        <v>2594.9070000000002</v>
      </c>
      <c r="G130">
        <v>79.63</v>
      </c>
      <c r="H130">
        <v>4.5599999999999996</v>
      </c>
      <c r="I130">
        <v>165</v>
      </c>
      <c r="J130">
        <v>32.200000000000003</v>
      </c>
      <c r="K130">
        <v>46.32</v>
      </c>
    </row>
    <row r="131" spans="2:11" x14ac:dyDescent="0.2">
      <c r="B131" s="3">
        <v>45576</v>
      </c>
      <c r="C131">
        <v>1.37625</v>
      </c>
      <c r="D131">
        <v>10.37105</v>
      </c>
      <c r="E131" s="3">
        <v>45573</v>
      </c>
      <c r="F131">
        <v>2587.89</v>
      </c>
      <c r="G131">
        <v>76.040000000000006</v>
      </c>
      <c r="H131">
        <v>4.55</v>
      </c>
      <c r="I131">
        <v>161.69999999999999</v>
      </c>
      <c r="J131">
        <v>32.36</v>
      </c>
      <c r="K131">
        <v>45.33</v>
      </c>
    </row>
    <row r="132" spans="2:11" x14ac:dyDescent="0.2">
      <c r="B132" s="3">
        <v>45575</v>
      </c>
      <c r="C132">
        <v>1.37405</v>
      </c>
      <c r="D132">
        <v>10.3902</v>
      </c>
      <c r="E132" s="3">
        <v>45572</v>
      </c>
      <c r="F132">
        <v>2602.6559999999999</v>
      </c>
      <c r="G132">
        <v>74.010000000000005</v>
      </c>
      <c r="H132">
        <v>4.54</v>
      </c>
      <c r="I132">
        <v>160.30000000000001</v>
      </c>
      <c r="J132">
        <v>32.07</v>
      </c>
      <c r="K132">
        <v>44.9</v>
      </c>
    </row>
    <row r="133" spans="2:11" x14ac:dyDescent="0.2">
      <c r="B133" s="3">
        <v>45574</v>
      </c>
      <c r="C133">
        <v>1.3710500000000001</v>
      </c>
      <c r="D133">
        <v>10.4017</v>
      </c>
      <c r="E133" s="3">
        <v>45569</v>
      </c>
      <c r="F133">
        <v>2603.7950000000001</v>
      </c>
      <c r="G133">
        <v>73.09</v>
      </c>
      <c r="H133">
        <v>4.54</v>
      </c>
      <c r="I133">
        <v>160.46</v>
      </c>
      <c r="J133">
        <v>32.4</v>
      </c>
      <c r="K133">
        <v>45.02</v>
      </c>
    </row>
    <row r="134" spans="2:11" x14ac:dyDescent="0.2">
      <c r="B134" s="3">
        <v>45573</v>
      </c>
      <c r="C134">
        <v>1.3648</v>
      </c>
      <c r="D134">
        <v>10.33405</v>
      </c>
      <c r="E134" s="3">
        <v>45568</v>
      </c>
      <c r="F134">
        <v>2594.498</v>
      </c>
      <c r="G134">
        <v>69.790000000000006</v>
      </c>
      <c r="H134">
        <v>4.6100000000000003</v>
      </c>
      <c r="I134">
        <v>158.5</v>
      </c>
      <c r="J134">
        <v>32.35</v>
      </c>
      <c r="K134">
        <v>44.65</v>
      </c>
    </row>
    <row r="135" spans="2:11" x14ac:dyDescent="0.2">
      <c r="B135" s="3">
        <v>45572</v>
      </c>
      <c r="C135">
        <v>1.3617999999999999</v>
      </c>
      <c r="D135">
        <v>10.3543</v>
      </c>
      <c r="E135" s="3">
        <v>45567</v>
      </c>
      <c r="F135">
        <v>2620.6559999999999</v>
      </c>
      <c r="G135">
        <v>67.930000000000007</v>
      </c>
      <c r="H135">
        <v>4.53</v>
      </c>
      <c r="I135">
        <v>160.03</v>
      </c>
      <c r="J135">
        <v>32.1</v>
      </c>
      <c r="K135">
        <v>44.38</v>
      </c>
    </row>
    <row r="136" spans="2:11" x14ac:dyDescent="0.2">
      <c r="B136" s="3">
        <v>45569</v>
      </c>
      <c r="C136">
        <v>1.35745</v>
      </c>
      <c r="D136">
        <v>10.3696</v>
      </c>
      <c r="E136" s="3">
        <v>45566</v>
      </c>
      <c r="F136">
        <v>2611.3440000000001</v>
      </c>
      <c r="G136">
        <v>66.98</v>
      </c>
      <c r="H136">
        <v>4.57</v>
      </c>
      <c r="I136">
        <v>158.77000000000001</v>
      </c>
      <c r="J136">
        <v>32.36</v>
      </c>
      <c r="K136">
        <v>44.3</v>
      </c>
    </row>
    <row r="137" spans="2:11" x14ac:dyDescent="0.2">
      <c r="B137" s="3">
        <v>45568</v>
      </c>
      <c r="C137">
        <v>1.3552999999999999</v>
      </c>
      <c r="D137">
        <v>10.3065</v>
      </c>
      <c r="E137" s="3">
        <v>45565</v>
      </c>
      <c r="F137">
        <v>2626.4380000000001</v>
      </c>
      <c r="G137">
        <v>69.14</v>
      </c>
      <c r="H137">
        <v>4.62</v>
      </c>
      <c r="I137">
        <v>160.66999999999999</v>
      </c>
      <c r="J137">
        <v>31.6</v>
      </c>
      <c r="K137">
        <v>45.02</v>
      </c>
    </row>
    <row r="138" spans="2:11" x14ac:dyDescent="0.2">
      <c r="B138" s="3">
        <v>45567</v>
      </c>
      <c r="C138">
        <v>1.3502000000000001</v>
      </c>
      <c r="D138">
        <v>10.2666</v>
      </c>
      <c r="E138" s="3">
        <v>45562</v>
      </c>
      <c r="F138">
        <v>2639.4459999999999</v>
      </c>
      <c r="G138">
        <v>69.09</v>
      </c>
      <c r="H138">
        <v>4.4000000000000004</v>
      </c>
      <c r="I138">
        <v>156.97</v>
      </c>
      <c r="J138">
        <v>32.159999999999997</v>
      </c>
      <c r="K138">
        <v>44.73</v>
      </c>
    </row>
    <row r="139" spans="2:11" x14ac:dyDescent="0.2">
      <c r="B139" s="3">
        <v>45566</v>
      </c>
      <c r="C139">
        <v>1.3490500000000001</v>
      </c>
      <c r="D139">
        <v>10.26125</v>
      </c>
      <c r="E139" s="3">
        <v>45561</v>
      </c>
      <c r="F139">
        <v>2642.4279999999999</v>
      </c>
      <c r="G139">
        <v>70.16</v>
      </c>
      <c r="H139">
        <v>4.4800000000000004</v>
      </c>
      <c r="I139">
        <v>158.25</v>
      </c>
      <c r="J139">
        <v>32.950000000000003</v>
      </c>
      <c r="K139">
        <v>45.32</v>
      </c>
    </row>
    <row r="140" spans="2:11" x14ac:dyDescent="0.2">
      <c r="B140" s="3">
        <v>45565</v>
      </c>
      <c r="C140">
        <v>1.3525</v>
      </c>
      <c r="D140">
        <v>10.159750000000001</v>
      </c>
      <c r="E140" s="3">
        <v>45560</v>
      </c>
      <c r="F140">
        <v>2610.9070000000002</v>
      </c>
      <c r="G140">
        <v>68.41</v>
      </c>
      <c r="H140">
        <v>4.2</v>
      </c>
      <c r="I140">
        <v>156.29</v>
      </c>
      <c r="J140">
        <v>32.380000000000003</v>
      </c>
      <c r="K140">
        <v>44.5</v>
      </c>
    </row>
    <row r="141" spans="2:11" x14ac:dyDescent="0.2">
      <c r="B141" s="3">
        <v>45562</v>
      </c>
      <c r="C141">
        <v>1.35155</v>
      </c>
      <c r="D141">
        <v>10.089700000000001</v>
      </c>
      <c r="E141" s="3">
        <v>45559</v>
      </c>
      <c r="F141">
        <v>2590.0100000000002</v>
      </c>
      <c r="G141">
        <v>67.17</v>
      </c>
      <c r="H141">
        <v>4.38</v>
      </c>
      <c r="I141">
        <v>154.32</v>
      </c>
      <c r="J141">
        <v>33.17</v>
      </c>
      <c r="K141">
        <v>45.14</v>
      </c>
    </row>
    <row r="142" spans="2:11" x14ac:dyDescent="0.2">
      <c r="B142" s="3">
        <v>45561</v>
      </c>
      <c r="C142">
        <v>1.3464499999999999</v>
      </c>
      <c r="D142">
        <v>10.116</v>
      </c>
      <c r="E142" s="3">
        <v>45558</v>
      </c>
      <c r="F142">
        <v>2583.846</v>
      </c>
      <c r="G142">
        <v>67.02</v>
      </c>
      <c r="H142">
        <v>4.33</v>
      </c>
      <c r="I142">
        <v>159.57</v>
      </c>
      <c r="J142">
        <v>33.04</v>
      </c>
      <c r="K142">
        <v>44.73</v>
      </c>
    </row>
    <row r="143" spans="2:11" x14ac:dyDescent="0.2">
      <c r="B143" s="3">
        <v>45560</v>
      </c>
      <c r="C143">
        <v>1.3485499999999999</v>
      </c>
      <c r="D143">
        <v>10.180300000000001</v>
      </c>
      <c r="E143" s="3">
        <v>45555</v>
      </c>
      <c r="F143">
        <v>2579.1509999999998</v>
      </c>
      <c r="G143">
        <v>66.13</v>
      </c>
      <c r="H143">
        <v>4.37</v>
      </c>
      <c r="I143">
        <v>162.80000000000001</v>
      </c>
      <c r="J143">
        <v>33.229999999999997</v>
      </c>
      <c r="K143">
        <v>44.45</v>
      </c>
    </row>
    <row r="144" spans="2:11" x14ac:dyDescent="0.2">
      <c r="B144" s="3">
        <v>45559</v>
      </c>
      <c r="C144">
        <v>1.3431</v>
      </c>
      <c r="D144">
        <v>10.09825</v>
      </c>
      <c r="E144" s="3">
        <v>45554</v>
      </c>
      <c r="F144">
        <v>2592.913</v>
      </c>
      <c r="G144">
        <v>67.38</v>
      </c>
      <c r="H144">
        <v>4.38</v>
      </c>
      <c r="I144">
        <v>163.91</v>
      </c>
      <c r="J144">
        <v>35.1</v>
      </c>
      <c r="K144">
        <v>44.5</v>
      </c>
    </row>
    <row r="145" spans="2:11" x14ac:dyDescent="0.2">
      <c r="B145" s="3">
        <v>45558</v>
      </c>
      <c r="C145">
        <v>1.3541000000000001</v>
      </c>
      <c r="D145">
        <v>10.194800000000001</v>
      </c>
      <c r="E145" s="3">
        <v>45553</v>
      </c>
      <c r="F145">
        <v>2544.2449999999999</v>
      </c>
      <c r="G145">
        <v>63.8</v>
      </c>
      <c r="H145">
        <v>4.33</v>
      </c>
      <c r="I145">
        <v>156.71</v>
      </c>
      <c r="J145">
        <v>34.520000000000003</v>
      </c>
      <c r="K145">
        <v>43.33</v>
      </c>
    </row>
    <row r="146" spans="2:11" x14ac:dyDescent="0.2">
      <c r="B146" s="3">
        <v>45555</v>
      </c>
      <c r="C146">
        <v>1.357</v>
      </c>
      <c r="D146">
        <v>10.173999999999999</v>
      </c>
      <c r="E146" s="3">
        <v>45552</v>
      </c>
      <c r="F146">
        <v>2555.9</v>
      </c>
      <c r="G146">
        <v>63.9</v>
      </c>
      <c r="H146">
        <v>4.42</v>
      </c>
      <c r="I146">
        <v>153.25</v>
      </c>
      <c r="J146">
        <v>35</v>
      </c>
      <c r="K146">
        <v>43.19</v>
      </c>
    </row>
    <row r="147" spans="2:11" x14ac:dyDescent="0.2">
      <c r="B147" s="3">
        <v>45554</v>
      </c>
      <c r="C147">
        <v>1.3559000000000001</v>
      </c>
      <c r="D147">
        <v>10.161849999999999</v>
      </c>
      <c r="E147" s="3">
        <v>45551</v>
      </c>
      <c r="F147">
        <v>2529.7449999999999</v>
      </c>
      <c r="G147">
        <v>62.69</v>
      </c>
      <c r="H147">
        <v>4.29</v>
      </c>
      <c r="I147">
        <v>154.47</v>
      </c>
      <c r="J147">
        <v>34.700000000000003</v>
      </c>
      <c r="K147">
        <v>43.67</v>
      </c>
    </row>
    <row r="148" spans="2:11" x14ac:dyDescent="0.2">
      <c r="B148" s="3">
        <v>45553</v>
      </c>
      <c r="C148">
        <v>1.3604499999999999</v>
      </c>
      <c r="D148">
        <v>10.2104</v>
      </c>
      <c r="E148" s="3">
        <v>45548</v>
      </c>
      <c r="F148">
        <v>2525.1799999999998</v>
      </c>
      <c r="G148">
        <v>62.34</v>
      </c>
      <c r="H148">
        <v>4.29</v>
      </c>
      <c r="I148">
        <v>155.71</v>
      </c>
      <c r="J148">
        <v>34.520000000000003</v>
      </c>
      <c r="K148">
        <v>43.7</v>
      </c>
    </row>
    <row r="149" spans="2:11" x14ac:dyDescent="0.2">
      <c r="B149" s="3">
        <v>45552</v>
      </c>
      <c r="C149">
        <v>1.35975</v>
      </c>
      <c r="D149">
        <v>10.1905</v>
      </c>
      <c r="E149" s="3">
        <v>45547</v>
      </c>
      <c r="F149">
        <v>2510.5390000000002</v>
      </c>
      <c r="G149">
        <v>61.85</v>
      </c>
      <c r="H149">
        <v>4.3499999999999996</v>
      </c>
      <c r="I149">
        <v>151.07</v>
      </c>
      <c r="J149">
        <v>34.65</v>
      </c>
      <c r="K149">
        <v>43.88</v>
      </c>
    </row>
    <row r="150" spans="2:11" x14ac:dyDescent="0.2">
      <c r="B150" s="3">
        <v>45551</v>
      </c>
      <c r="C150">
        <v>1.3586499999999999</v>
      </c>
      <c r="D150">
        <v>10.17535</v>
      </c>
      <c r="E150" s="3">
        <v>45546</v>
      </c>
      <c r="F150">
        <v>2489.9549999999999</v>
      </c>
      <c r="G150">
        <v>61.47</v>
      </c>
      <c r="H150">
        <v>4.4800000000000004</v>
      </c>
      <c r="I150">
        <v>151.94999999999999</v>
      </c>
      <c r="J150">
        <v>35.75</v>
      </c>
      <c r="K150">
        <v>43.83</v>
      </c>
    </row>
    <row r="151" spans="2:11" x14ac:dyDescent="0.2">
      <c r="B151" s="3">
        <v>45548</v>
      </c>
      <c r="C151">
        <v>1.3585499999999999</v>
      </c>
      <c r="D151">
        <v>10.233000000000001</v>
      </c>
      <c r="E151" s="3">
        <v>45545</v>
      </c>
      <c r="F151">
        <v>2495.7600000000002</v>
      </c>
      <c r="G151">
        <v>59.14</v>
      </c>
      <c r="H151">
        <v>4.38</v>
      </c>
      <c r="I151">
        <v>152.58000000000001</v>
      </c>
      <c r="J151">
        <v>36.21</v>
      </c>
      <c r="K151">
        <v>43.61</v>
      </c>
    </row>
    <row r="152" spans="2:11" x14ac:dyDescent="0.2">
      <c r="B152" s="3">
        <v>45547</v>
      </c>
      <c r="C152">
        <v>1.3581000000000001</v>
      </c>
      <c r="D152">
        <v>10.2844</v>
      </c>
      <c r="E152" s="3">
        <v>45544</v>
      </c>
      <c r="F152">
        <v>2511.4430000000002</v>
      </c>
      <c r="G152">
        <v>57.77</v>
      </c>
      <c r="H152">
        <v>4.29</v>
      </c>
      <c r="I152">
        <v>150.36000000000001</v>
      </c>
      <c r="J152">
        <v>34.25</v>
      </c>
      <c r="K152">
        <v>43.1</v>
      </c>
    </row>
    <row r="153" spans="2:11" x14ac:dyDescent="0.2">
      <c r="B153" s="3">
        <v>45546</v>
      </c>
      <c r="C153">
        <v>1.35745</v>
      </c>
      <c r="D153">
        <v>10.389200000000001</v>
      </c>
      <c r="E153" s="3">
        <v>45541</v>
      </c>
      <c r="F153">
        <v>2480.9920000000002</v>
      </c>
      <c r="G153">
        <v>55.65</v>
      </c>
      <c r="H153">
        <v>4.32</v>
      </c>
      <c r="I153">
        <v>144.65</v>
      </c>
      <c r="J153">
        <v>33.71</v>
      </c>
      <c r="K153">
        <v>42.55</v>
      </c>
    </row>
    <row r="154" spans="2:11" x14ac:dyDescent="0.2">
      <c r="B154" s="3">
        <v>45545</v>
      </c>
      <c r="C154">
        <v>1.3611</v>
      </c>
      <c r="D154">
        <v>10.3749</v>
      </c>
      <c r="E154" s="3">
        <v>45540</v>
      </c>
      <c r="F154">
        <v>2509.3040000000001</v>
      </c>
      <c r="G154">
        <v>62</v>
      </c>
      <c r="H154">
        <v>4.49</v>
      </c>
      <c r="I154">
        <v>145.80000000000001</v>
      </c>
      <c r="J154">
        <v>33.1</v>
      </c>
      <c r="K154">
        <v>42.99</v>
      </c>
    </row>
    <row r="155" spans="2:11" x14ac:dyDescent="0.2">
      <c r="B155" s="3">
        <v>45544</v>
      </c>
      <c r="C155">
        <v>1.35575</v>
      </c>
      <c r="D155">
        <v>10.37965</v>
      </c>
      <c r="E155" s="3">
        <v>45539</v>
      </c>
      <c r="F155">
        <v>2531.7199999999998</v>
      </c>
      <c r="G155">
        <v>63.03</v>
      </c>
      <c r="H155">
        <v>4.34</v>
      </c>
      <c r="I155">
        <v>147.96</v>
      </c>
      <c r="J155">
        <v>33.72</v>
      </c>
      <c r="K155">
        <v>42.97</v>
      </c>
    </row>
    <row r="156" spans="2:11" x14ac:dyDescent="0.2">
      <c r="B156" s="3">
        <v>45541</v>
      </c>
      <c r="C156">
        <v>1.35745</v>
      </c>
      <c r="D156">
        <v>10.30025</v>
      </c>
      <c r="E156" s="3">
        <v>45538</v>
      </c>
      <c r="F156">
        <v>2565.7779999999998</v>
      </c>
      <c r="G156">
        <v>62.96</v>
      </c>
      <c r="H156">
        <v>4.4000000000000004</v>
      </c>
      <c r="I156">
        <v>148.19</v>
      </c>
      <c r="J156">
        <v>32.9</v>
      </c>
      <c r="K156">
        <v>43.08</v>
      </c>
    </row>
    <row r="157" spans="2:11" x14ac:dyDescent="0.2">
      <c r="B157" s="3">
        <v>45540</v>
      </c>
      <c r="C157">
        <v>1.3503499999999999</v>
      </c>
      <c r="D157">
        <v>10.25665</v>
      </c>
      <c r="E157" s="3">
        <v>45537</v>
      </c>
      <c r="F157">
        <v>2589.9810000000002</v>
      </c>
    </row>
    <row r="158" spans="2:11" x14ac:dyDescent="0.2">
      <c r="B158" s="3">
        <v>45539</v>
      </c>
      <c r="C158">
        <v>1.3506499999999999</v>
      </c>
      <c r="D158">
        <v>10.27905</v>
      </c>
      <c r="E158" s="3">
        <v>45534</v>
      </c>
      <c r="F158">
        <v>2595.9580000000001</v>
      </c>
      <c r="G158">
        <v>68.62</v>
      </c>
      <c r="H158">
        <v>4.53</v>
      </c>
      <c r="I158">
        <v>147.32</v>
      </c>
      <c r="J158">
        <v>32.5</v>
      </c>
      <c r="K158">
        <v>42.88</v>
      </c>
    </row>
    <row r="159" spans="2:11" x14ac:dyDescent="0.2">
      <c r="B159" s="3">
        <v>45538</v>
      </c>
      <c r="C159">
        <v>1.3551</v>
      </c>
      <c r="D159">
        <v>10.30705</v>
      </c>
      <c r="E159" s="3">
        <v>45533</v>
      </c>
      <c r="F159">
        <v>2587.9009999999998</v>
      </c>
      <c r="G159">
        <v>68.180000000000007</v>
      </c>
      <c r="H159">
        <v>4.5599999999999996</v>
      </c>
      <c r="I159">
        <v>143.65</v>
      </c>
      <c r="J159">
        <v>33.049999999999997</v>
      </c>
      <c r="K159">
        <v>42.99</v>
      </c>
    </row>
    <row r="160" spans="2:11" x14ac:dyDescent="0.2">
      <c r="B160" s="3">
        <v>45537</v>
      </c>
      <c r="C160">
        <v>1.34935</v>
      </c>
      <c r="D160">
        <v>10.2522</v>
      </c>
      <c r="E160" s="3">
        <v>45532</v>
      </c>
      <c r="F160">
        <v>2562.5360000000001</v>
      </c>
      <c r="G160">
        <v>67.400000000000006</v>
      </c>
      <c r="H160">
        <v>4.6100000000000003</v>
      </c>
      <c r="I160">
        <v>133.94999999999999</v>
      </c>
      <c r="J160">
        <v>33.39</v>
      </c>
      <c r="K160">
        <v>43.12</v>
      </c>
    </row>
    <row r="161" spans="2:11" x14ac:dyDescent="0.2">
      <c r="B161" s="3">
        <v>45534</v>
      </c>
      <c r="C161">
        <v>1.3493999999999999</v>
      </c>
      <c r="D161">
        <v>10.2714</v>
      </c>
      <c r="E161" s="3">
        <v>45531</v>
      </c>
      <c r="F161">
        <v>2556.748</v>
      </c>
      <c r="G161">
        <v>67.709999999999994</v>
      </c>
      <c r="H161">
        <v>4.84</v>
      </c>
      <c r="I161">
        <v>156.74</v>
      </c>
      <c r="J161">
        <v>33.520000000000003</v>
      </c>
      <c r="K161">
        <v>43.87</v>
      </c>
    </row>
    <row r="162" spans="2:11" x14ac:dyDescent="0.2">
      <c r="B162" s="3">
        <v>45533</v>
      </c>
      <c r="C162">
        <v>1.3484</v>
      </c>
      <c r="D162">
        <v>10.23175</v>
      </c>
      <c r="E162" s="3">
        <v>45530</v>
      </c>
      <c r="F162">
        <v>2567.1239999999998</v>
      </c>
      <c r="G162">
        <v>68.83</v>
      </c>
      <c r="H162">
        <v>4.67</v>
      </c>
      <c r="I162">
        <v>154.19999999999999</v>
      </c>
      <c r="J162">
        <v>33.32</v>
      </c>
      <c r="K162">
        <v>44.07</v>
      </c>
    </row>
    <row r="163" spans="2:11" x14ac:dyDescent="0.2">
      <c r="B163" s="3">
        <v>45532</v>
      </c>
      <c r="C163">
        <v>1.34805</v>
      </c>
      <c r="D163">
        <v>10.19985</v>
      </c>
      <c r="E163" s="3">
        <v>45527</v>
      </c>
      <c r="F163">
        <v>2559.2730000000001</v>
      </c>
      <c r="G163">
        <v>71.83</v>
      </c>
      <c r="H163">
        <v>4.78</v>
      </c>
      <c r="I163">
        <v>151.19999999999999</v>
      </c>
      <c r="J163">
        <v>33.54</v>
      </c>
      <c r="K163">
        <v>44.05</v>
      </c>
    </row>
    <row r="164" spans="2:11" x14ac:dyDescent="0.2">
      <c r="B164" s="3">
        <v>45531</v>
      </c>
      <c r="C164">
        <v>1.3443000000000001</v>
      </c>
      <c r="D164">
        <v>10.150700000000001</v>
      </c>
      <c r="E164" s="3">
        <v>45526</v>
      </c>
      <c r="F164">
        <v>2541.098</v>
      </c>
      <c r="G164">
        <v>71.680000000000007</v>
      </c>
      <c r="H164">
        <v>4.5999999999999996</v>
      </c>
      <c r="I164">
        <v>150.58000000000001</v>
      </c>
      <c r="J164">
        <v>33.630000000000003</v>
      </c>
      <c r="K164">
        <v>43.36</v>
      </c>
    </row>
    <row r="165" spans="2:11" x14ac:dyDescent="0.2">
      <c r="B165" s="3">
        <v>45530</v>
      </c>
      <c r="C165">
        <v>1.3487499999999999</v>
      </c>
      <c r="D165">
        <v>10.215350000000001</v>
      </c>
      <c r="E165" s="3">
        <v>45525</v>
      </c>
      <c r="F165">
        <v>2523.94</v>
      </c>
      <c r="G165">
        <v>73</v>
      </c>
      <c r="H165">
        <v>4.66</v>
      </c>
      <c r="I165">
        <v>152.02000000000001</v>
      </c>
      <c r="J165">
        <v>32.950000000000003</v>
      </c>
      <c r="K165">
        <v>43.7</v>
      </c>
    </row>
    <row r="166" spans="2:11" x14ac:dyDescent="0.2">
      <c r="B166" s="3">
        <v>45527</v>
      </c>
      <c r="C166">
        <v>1.3508</v>
      </c>
      <c r="D166">
        <v>10.1792</v>
      </c>
      <c r="E166" s="3">
        <v>45524</v>
      </c>
      <c r="F166">
        <v>2527.2930000000001</v>
      </c>
      <c r="G166">
        <v>73.58</v>
      </c>
      <c r="H166">
        <v>4.4000000000000004</v>
      </c>
      <c r="I166">
        <v>151.77000000000001</v>
      </c>
      <c r="J166">
        <v>32.5</v>
      </c>
      <c r="K166">
        <v>43.27</v>
      </c>
    </row>
    <row r="167" spans="2:11" x14ac:dyDescent="0.2">
      <c r="B167" s="3">
        <v>45526</v>
      </c>
      <c r="C167">
        <v>1.3615999999999999</v>
      </c>
      <c r="D167">
        <v>10.2469</v>
      </c>
      <c r="E167" s="3">
        <v>45523</v>
      </c>
      <c r="F167">
        <v>2540.826</v>
      </c>
      <c r="G167">
        <v>73.760000000000005</v>
      </c>
      <c r="H167">
        <v>4.33</v>
      </c>
      <c r="I167">
        <v>154.44999999999999</v>
      </c>
      <c r="J167">
        <v>32</v>
      </c>
      <c r="K167">
        <v>44.24</v>
      </c>
    </row>
    <row r="168" spans="2:11" x14ac:dyDescent="0.2">
      <c r="B168" s="3">
        <v>45525</v>
      </c>
      <c r="C168">
        <v>1.35955</v>
      </c>
      <c r="D168">
        <v>10.18465</v>
      </c>
      <c r="E168" s="3">
        <v>45520</v>
      </c>
      <c r="F168">
        <v>2533.0929999999998</v>
      </c>
      <c r="G168">
        <v>74.94</v>
      </c>
      <c r="H168">
        <v>4.26</v>
      </c>
      <c r="I168">
        <v>153.9</v>
      </c>
      <c r="J168">
        <v>32.200000000000003</v>
      </c>
      <c r="K168">
        <v>43.78</v>
      </c>
    </row>
    <row r="169" spans="2:11" x14ac:dyDescent="0.2">
      <c r="B169" s="3">
        <v>45524</v>
      </c>
      <c r="C169">
        <v>1.3621000000000001</v>
      </c>
      <c r="D169">
        <v>10.2057</v>
      </c>
      <c r="E169" s="3">
        <v>45519</v>
      </c>
      <c r="F169">
        <v>2522.8119999999999</v>
      </c>
      <c r="G169">
        <v>76.92</v>
      </c>
      <c r="H169">
        <v>4.34</v>
      </c>
      <c r="I169">
        <v>153.83000000000001</v>
      </c>
      <c r="J169">
        <v>32.32</v>
      </c>
      <c r="K169">
        <v>43.66</v>
      </c>
    </row>
    <row r="170" spans="2:11" x14ac:dyDescent="0.2">
      <c r="B170" s="3">
        <v>45523</v>
      </c>
      <c r="C170">
        <v>1.3634500000000001</v>
      </c>
      <c r="D170">
        <v>10.312900000000001</v>
      </c>
      <c r="E170" s="3">
        <v>45518</v>
      </c>
      <c r="F170">
        <v>2494.1849999999999</v>
      </c>
      <c r="G170">
        <v>71.66</v>
      </c>
      <c r="H170">
        <v>4.3</v>
      </c>
      <c r="I170">
        <v>151.58000000000001</v>
      </c>
      <c r="J170">
        <v>32.229999999999997</v>
      </c>
      <c r="K170">
        <v>42.69</v>
      </c>
    </row>
    <row r="171" spans="2:11" x14ac:dyDescent="0.2">
      <c r="B171" s="3">
        <v>45520</v>
      </c>
      <c r="C171">
        <v>1.36795</v>
      </c>
      <c r="D171">
        <v>10.445650000000001</v>
      </c>
      <c r="E171" s="3">
        <v>45517</v>
      </c>
      <c r="F171">
        <v>2472.9560000000001</v>
      </c>
      <c r="G171">
        <v>70.19</v>
      </c>
      <c r="H171">
        <v>4.1100000000000003</v>
      </c>
      <c r="I171">
        <v>152.82</v>
      </c>
      <c r="J171">
        <v>32.799999999999997</v>
      </c>
      <c r="K171">
        <v>42.15</v>
      </c>
    </row>
    <row r="172" spans="2:11" x14ac:dyDescent="0.2">
      <c r="B172" s="3">
        <v>45519</v>
      </c>
      <c r="C172">
        <v>1.3729</v>
      </c>
      <c r="D172">
        <v>10.5404</v>
      </c>
      <c r="E172" s="3">
        <v>45516</v>
      </c>
      <c r="F172">
        <v>2460.9029999999998</v>
      </c>
      <c r="G172">
        <v>67.58</v>
      </c>
      <c r="H172">
        <v>4.01</v>
      </c>
      <c r="I172">
        <v>149.13999999999999</v>
      </c>
      <c r="J172">
        <v>31.7</v>
      </c>
      <c r="K172">
        <v>40.92</v>
      </c>
    </row>
    <row r="173" spans="2:11" x14ac:dyDescent="0.2">
      <c r="B173" s="3">
        <v>45518</v>
      </c>
      <c r="C173">
        <v>1.37165</v>
      </c>
      <c r="D173">
        <v>10.4689</v>
      </c>
      <c r="E173" s="3">
        <v>45513</v>
      </c>
      <c r="F173">
        <v>2458.5929999999998</v>
      </c>
      <c r="G173">
        <v>65.459999999999994</v>
      </c>
      <c r="H173">
        <v>4.17</v>
      </c>
      <c r="I173">
        <v>154.71</v>
      </c>
      <c r="J173">
        <v>33.25</v>
      </c>
      <c r="K173">
        <v>41.54</v>
      </c>
    </row>
    <row r="174" spans="2:11" x14ac:dyDescent="0.2">
      <c r="B174" s="3">
        <v>45517</v>
      </c>
      <c r="C174">
        <v>1.3705000000000001</v>
      </c>
      <c r="D174">
        <v>10.46805</v>
      </c>
      <c r="E174" s="3">
        <v>45512</v>
      </c>
      <c r="F174">
        <v>2450.3939999999998</v>
      </c>
      <c r="G174">
        <v>63.44</v>
      </c>
      <c r="H174">
        <v>4.1100000000000003</v>
      </c>
      <c r="I174">
        <v>151.75</v>
      </c>
      <c r="J174">
        <v>34</v>
      </c>
      <c r="K174">
        <v>41.25</v>
      </c>
    </row>
    <row r="175" spans="2:11" x14ac:dyDescent="0.2">
      <c r="B175" s="3">
        <v>45516</v>
      </c>
      <c r="C175">
        <v>1.37425</v>
      </c>
      <c r="D175">
        <v>10.523949999999999</v>
      </c>
      <c r="E175" s="3">
        <v>45511</v>
      </c>
      <c r="F175">
        <v>2442.1320000000001</v>
      </c>
      <c r="G175">
        <v>61.13</v>
      </c>
      <c r="H175">
        <v>4.08</v>
      </c>
      <c r="I175">
        <v>145.65</v>
      </c>
      <c r="J175">
        <v>35.049999999999997</v>
      </c>
      <c r="K175">
        <v>39.869999999999997</v>
      </c>
    </row>
    <row r="176" spans="2:11" x14ac:dyDescent="0.2">
      <c r="B176" s="3">
        <v>45513</v>
      </c>
      <c r="C176">
        <v>1.3730500000000001</v>
      </c>
      <c r="D176">
        <v>10.51985</v>
      </c>
      <c r="E176" s="3">
        <v>45510</v>
      </c>
      <c r="F176">
        <v>2402.9560000000001</v>
      </c>
      <c r="G176">
        <v>64.819999999999993</v>
      </c>
      <c r="H176">
        <v>4.1500000000000004</v>
      </c>
      <c r="I176">
        <v>143.62</v>
      </c>
      <c r="J176">
        <v>35.590000000000003</v>
      </c>
      <c r="K176">
        <v>39.86</v>
      </c>
    </row>
    <row r="177" spans="2:11" x14ac:dyDescent="0.2">
      <c r="B177" s="3">
        <v>45512</v>
      </c>
      <c r="C177">
        <v>1.3731500000000001</v>
      </c>
      <c r="D177">
        <v>10.5161</v>
      </c>
      <c r="E177" s="3">
        <v>45509</v>
      </c>
      <c r="F177">
        <v>2411.2559999999999</v>
      </c>
    </row>
    <row r="178" spans="2:11" x14ac:dyDescent="0.2">
      <c r="B178" s="3">
        <v>45511</v>
      </c>
      <c r="C178">
        <v>1.37585</v>
      </c>
      <c r="D178">
        <v>10.49385</v>
      </c>
      <c r="E178" s="3">
        <v>45506</v>
      </c>
      <c r="F178">
        <v>2467.0050000000001</v>
      </c>
      <c r="G178">
        <v>64.25</v>
      </c>
      <c r="H178">
        <v>4</v>
      </c>
      <c r="I178">
        <v>146.26</v>
      </c>
      <c r="J178">
        <v>36.33</v>
      </c>
      <c r="K178">
        <v>39.51</v>
      </c>
    </row>
    <row r="179" spans="2:11" x14ac:dyDescent="0.2">
      <c r="B179" s="3">
        <v>45510</v>
      </c>
      <c r="C179">
        <v>1.3785499999999999</v>
      </c>
      <c r="D179">
        <v>10.528600000000001</v>
      </c>
      <c r="E179" s="3">
        <v>45505</v>
      </c>
      <c r="F179">
        <v>2547.1759999999999</v>
      </c>
      <c r="G179">
        <v>69.84</v>
      </c>
      <c r="H179">
        <v>4.16</v>
      </c>
      <c r="I179">
        <v>154.55000000000001</v>
      </c>
      <c r="J179">
        <v>36.5</v>
      </c>
      <c r="K179">
        <v>42.27</v>
      </c>
    </row>
    <row r="180" spans="2:11" x14ac:dyDescent="0.2">
      <c r="B180" s="3">
        <v>45509</v>
      </c>
      <c r="C180">
        <v>1.38245</v>
      </c>
      <c r="D180">
        <v>10.5488</v>
      </c>
      <c r="E180" s="3">
        <v>45504</v>
      </c>
      <c r="F180">
        <v>2609.328</v>
      </c>
      <c r="G180">
        <v>72.41</v>
      </c>
      <c r="H180">
        <v>4.21</v>
      </c>
      <c r="I180">
        <v>169.86</v>
      </c>
      <c r="J180">
        <v>36.950000000000003</v>
      </c>
      <c r="K180">
        <v>43.52</v>
      </c>
    </row>
    <row r="181" spans="2:11" x14ac:dyDescent="0.2">
      <c r="B181" s="3">
        <v>45506</v>
      </c>
      <c r="C181">
        <v>1.3873</v>
      </c>
      <c r="D181">
        <v>10.58085</v>
      </c>
      <c r="E181" s="3">
        <v>45503</v>
      </c>
      <c r="F181">
        <v>2595.248</v>
      </c>
      <c r="G181">
        <v>67.75</v>
      </c>
      <c r="H181">
        <v>4.1399999999999997</v>
      </c>
      <c r="I181">
        <v>167.38</v>
      </c>
      <c r="J181">
        <v>36.5</v>
      </c>
      <c r="K181">
        <v>43.14</v>
      </c>
    </row>
    <row r="182" spans="2:11" x14ac:dyDescent="0.2">
      <c r="B182" s="3">
        <v>45505</v>
      </c>
      <c r="C182">
        <v>1.3875500000000001</v>
      </c>
      <c r="D182">
        <v>10.732849999999999</v>
      </c>
      <c r="E182" s="3">
        <v>45502</v>
      </c>
      <c r="F182">
        <v>2580.0010000000002</v>
      </c>
      <c r="G182">
        <v>69.25</v>
      </c>
      <c r="H182">
        <v>4.24</v>
      </c>
      <c r="I182">
        <v>169.78</v>
      </c>
      <c r="J182">
        <v>38.1</v>
      </c>
      <c r="K182">
        <v>43.13</v>
      </c>
    </row>
    <row r="183" spans="2:11" x14ac:dyDescent="0.2">
      <c r="B183" s="3">
        <v>45504</v>
      </c>
      <c r="C183">
        <v>1.3808499999999999</v>
      </c>
      <c r="D183">
        <v>10.6982</v>
      </c>
      <c r="E183" s="3">
        <v>45499</v>
      </c>
      <c r="F183">
        <v>2578.7489999999998</v>
      </c>
      <c r="G183">
        <v>72.89</v>
      </c>
      <c r="H183">
        <v>4.2699999999999996</v>
      </c>
      <c r="I183">
        <v>169.41</v>
      </c>
      <c r="J183">
        <v>38.15</v>
      </c>
      <c r="K183">
        <v>43.55</v>
      </c>
    </row>
    <row r="184" spans="2:11" x14ac:dyDescent="0.2">
      <c r="B184" s="3">
        <v>45503</v>
      </c>
      <c r="C184">
        <v>1.3849499999999999</v>
      </c>
      <c r="D184">
        <v>10.7605</v>
      </c>
      <c r="E184" s="3">
        <v>45498</v>
      </c>
      <c r="F184">
        <v>2562.3719999999998</v>
      </c>
      <c r="G184">
        <v>70.64</v>
      </c>
      <c r="H184">
        <v>4.17</v>
      </c>
      <c r="I184">
        <v>167.46</v>
      </c>
      <c r="J184">
        <v>37.06</v>
      </c>
      <c r="K184">
        <v>43.06</v>
      </c>
    </row>
    <row r="185" spans="2:11" x14ac:dyDescent="0.2">
      <c r="B185" s="3">
        <v>45502</v>
      </c>
      <c r="C185">
        <v>1.3853</v>
      </c>
      <c r="D185">
        <v>10.828849999999999</v>
      </c>
      <c r="E185" s="3">
        <v>45497</v>
      </c>
      <c r="F185">
        <v>2570.9699999999998</v>
      </c>
      <c r="G185">
        <v>73.75</v>
      </c>
      <c r="H185">
        <v>4.1100000000000003</v>
      </c>
      <c r="I185">
        <v>168.92</v>
      </c>
      <c r="J185">
        <v>36.700000000000003</v>
      </c>
      <c r="K185">
        <v>42.44</v>
      </c>
    </row>
    <row r="186" spans="2:11" x14ac:dyDescent="0.2">
      <c r="B186" s="3">
        <v>45499</v>
      </c>
      <c r="C186">
        <v>1.3835</v>
      </c>
      <c r="D186">
        <v>10.811400000000001</v>
      </c>
      <c r="E186" s="3">
        <v>45496</v>
      </c>
      <c r="F186">
        <v>2596.4250000000002</v>
      </c>
      <c r="G186">
        <v>79.72</v>
      </c>
      <c r="H186">
        <v>4.1900000000000004</v>
      </c>
      <c r="I186">
        <v>170.35</v>
      </c>
      <c r="J186">
        <v>37.229999999999997</v>
      </c>
      <c r="K186">
        <v>43.26</v>
      </c>
    </row>
    <row r="187" spans="2:11" x14ac:dyDescent="0.2">
      <c r="B187" s="3">
        <v>45498</v>
      </c>
      <c r="C187">
        <v>1.38245</v>
      </c>
      <c r="D187">
        <v>10.8337</v>
      </c>
      <c r="E187" s="3">
        <v>45495</v>
      </c>
      <c r="F187">
        <v>2593.4290000000001</v>
      </c>
      <c r="G187">
        <v>78.28</v>
      </c>
      <c r="H187">
        <v>4.13</v>
      </c>
      <c r="I187">
        <v>167.53</v>
      </c>
      <c r="J187">
        <v>35.450000000000003</v>
      </c>
      <c r="K187">
        <v>42.98</v>
      </c>
    </row>
    <row r="188" spans="2:11" x14ac:dyDescent="0.2">
      <c r="B188" s="3">
        <v>45497</v>
      </c>
      <c r="C188">
        <v>1.3807499999999999</v>
      </c>
      <c r="D188">
        <v>10.778700000000001</v>
      </c>
      <c r="E188" s="3">
        <v>45492</v>
      </c>
      <c r="F188">
        <v>2570.63</v>
      </c>
      <c r="G188">
        <v>77.599999999999994</v>
      </c>
      <c r="H188">
        <v>4.13</v>
      </c>
      <c r="I188">
        <v>164.93</v>
      </c>
      <c r="J188">
        <v>35.700000000000003</v>
      </c>
      <c r="K188">
        <v>42.47</v>
      </c>
    </row>
    <row r="189" spans="2:11" x14ac:dyDescent="0.2">
      <c r="B189" s="3">
        <v>45496</v>
      </c>
      <c r="C189">
        <v>1.3783000000000001</v>
      </c>
      <c r="D189">
        <v>10.767849999999999</v>
      </c>
      <c r="E189" s="3">
        <v>45491</v>
      </c>
      <c r="F189">
        <v>2597.7890000000002</v>
      </c>
      <c r="G189">
        <v>77.209999999999994</v>
      </c>
      <c r="H189">
        <v>4.07</v>
      </c>
      <c r="I189">
        <v>164.65</v>
      </c>
      <c r="J189">
        <v>35.94</v>
      </c>
      <c r="K189">
        <v>42.3</v>
      </c>
    </row>
    <row r="190" spans="2:11" x14ac:dyDescent="0.2">
      <c r="B190" s="3">
        <v>45495</v>
      </c>
      <c r="C190">
        <v>1.3753</v>
      </c>
      <c r="D190">
        <v>10.718299999999999</v>
      </c>
      <c r="E190" s="3">
        <v>45490</v>
      </c>
      <c r="F190">
        <v>2597.5549999999998</v>
      </c>
      <c r="G190">
        <v>77.790000000000006</v>
      </c>
      <c r="H190">
        <v>4.18</v>
      </c>
      <c r="I190">
        <v>166.01</v>
      </c>
      <c r="J190">
        <v>36.26</v>
      </c>
      <c r="K190">
        <v>42.86</v>
      </c>
    </row>
    <row r="191" spans="2:11" x14ac:dyDescent="0.2">
      <c r="B191" s="3">
        <v>45492</v>
      </c>
      <c r="C191">
        <v>1.3734</v>
      </c>
      <c r="D191">
        <v>10.680400000000001</v>
      </c>
      <c r="E191" s="3">
        <v>45489</v>
      </c>
      <c r="F191">
        <v>2613.5830000000001</v>
      </c>
      <c r="G191">
        <v>86.5</v>
      </c>
      <c r="H191">
        <v>4.46</v>
      </c>
      <c r="I191">
        <v>167.75</v>
      </c>
      <c r="J191">
        <v>36.799999999999997</v>
      </c>
      <c r="K191">
        <v>43.34</v>
      </c>
    </row>
    <row r="192" spans="2:11" x14ac:dyDescent="0.2">
      <c r="B192" s="3">
        <v>45491</v>
      </c>
      <c r="C192">
        <v>1.3706</v>
      </c>
      <c r="D192">
        <v>10.5783</v>
      </c>
      <c r="E192" s="3">
        <v>45488</v>
      </c>
      <c r="F192">
        <v>2605.2919999999999</v>
      </c>
      <c r="G192">
        <v>83.73</v>
      </c>
      <c r="H192">
        <v>4.3</v>
      </c>
      <c r="I192">
        <v>166.47</v>
      </c>
      <c r="J192">
        <v>36</v>
      </c>
      <c r="K192">
        <v>42.4</v>
      </c>
    </row>
    <row r="193" spans="2:11" x14ac:dyDescent="0.2">
      <c r="B193" s="3">
        <v>45490</v>
      </c>
      <c r="C193">
        <v>1.3684000000000001</v>
      </c>
      <c r="D193">
        <v>10.535</v>
      </c>
      <c r="E193" s="3">
        <v>45485</v>
      </c>
      <c r="F193">
        <v>2630.6089999999999</v>
      </c>
      <c r="G193">
        <v>81.010000000000005</v>
      </c>
      <c r="H193">
        <v>4.28</v>
      </c>
      <c r="I193">
        <v>158.54</v>
      </c>
      <c r="J193">
        <v>36.32</v>
      </c>
      <c r="K193">
        <v>42.99</v>
      </c>
    </row>
    <row r="194" spans="2:11" x14ac:dyDescent="0.2">
      <c r="B194" s="3">
        <v>45489</v>
      </c>
      <c r="C194">
        <v>1.3673</v>
      </c>
      <c r="D194">
        <v>10.5932</v>
      </c>
      <c r="E194" s="3">
        <v>45484</v>
      </c>
      <c r="F194">
        <v>2574.2750000000001</v>
      </c>
      <c r="G194">
        <v>81.08</v>
      </c>
      <c r="H194">
        <v>4.3600000000000003</v>
      </c>
      <c r="I194">
        <v>156.55000000000001</v>
      </c>
      <c r="J194">
        <v>35.6</v>
      </c>
      <c r="K194">
        <v>42.79</v>
      </c>
    </row>
    <row r="195" spans="2:11" x14ac:dyDescent="0.2">
      <c r="B195" s="3">
        <v>45488</v>
      </c>
      <c r="C195">
        <v>1.36825</v>
      </c>
      <c r="D195">
        <v>10.60425</v>
      </c>
      <c r="E195" s="3">
        <v>45483</v>
      </c>
      <c r="F195">
        <v>2548.3989999999999</v>
      </c>
      <c r="G195">
        <v>83.71</v>
      </c>
      <c r="H195">
        <v>4.3899999999999997</v>
      </c>
      <c r="I195">
        <v>160.27000000000001</v>
      </c>
      <c r="J195">
        <v>36.049999999999997</v>
      </c>
      <c r="K195">
        <v>42.45</v>
      </c>
    </row>
    <row r="196" spans="2:11" x14ac:dyDescent="0.2">
      <c r="B196" s="3">
        <v>45485</v>
      </c>
      <c r="C196">
        <v>1.3633</v>
      </c>
      <c r="D196">
        <v>10.493600000000001</v>
      </c>
      <c r="E196" s="3">
        <v>45482</v>
      </c>
      <c r="F196">
        <v>2534.2150000000001</v>
      </c>
      <c r="G196">
        <v>80.77</v>
      </c>
      <c r="H196">
        <v>4.4400000000000004</v>
      </c>
      <c r="I196">
        <v>157.09</v>
      </c>
      <c r="J196">
        <v>36.75</v>
      </c>
      <c r="K196">
        <v>42.12</v>
      </c>
    </row>
    <row r="197" spans="2:11" x14ac:dyDescent="0.2">
      <c r="B197" s="3">
        <v>45484</v>
      </c>
      <c r="C197">
        <v>1.3633999999999999</v>
      </c>
      <c r="D197">
        <v>10.4979</v>
      </c>
      <c r="E197" s="3">
        <v>45481</v>
      </c>
      <c r="F197">
        <v>2564.3029999999999</v>
      </c>
      <c r="G197">
        <v>80.73</v>
      </c>
      <c r="H197">
        <v>4.4800000000000004</v>
      </c>
      <c r="I197">
        <v>159.81</v>
      </c>
      <c r="J197">
        <v>36.75</v>
      </c>
      <c r="K197">
        <v>42.29</v>
      </c>
    </row>
    <row r="198" spans="2:11" x14ac:dyDescent="0.2">
      <c r="B198" s="3">
        <v>45483</v>
      </c>
      <c r="C198">
        <v>1.3620000000000001</v>
      </c>
      <c r="D198">
        <v>10.543850000000001</v>
      </c>
      <c r="E198" s="3">
        <v>45478</v>
      </c>
      <c r="F198">
        <v>2556.5349999999999</v>
      </c>
      <c r="G198">
        <v>78.53</v>
      </c>
      <c r="H198">
        <v>4.37</v>
      </c>
      <c r="I198">
        <v>157.79</v>
      </c>
      <c r="J198">
        <v>36.909999999999997</v>
      </c>
      <c r="K198">
        <v>42.2</v>
      </c>
    </row>
    <row r="199" spans="2:11" x14ac:dyDescent="0.2">
      <c r="B199" s="3">
        <v>45482</v>
      </c>
      <c r="C199">
        <v>1.3635999999999999</v>
      </c>
      <c r="D199">
        <v>10.556900000000001</v>
      </c>
      <c r="E199" s="3">
        <v>45477</v>
      </c>
      <c r="F199">
        <v>2571.8710000000001</v>
      </c>
      <c r="G199">
        <v>80.39</v>
      </c>
      <c r="H199">
        <v>4.45</v>
      </c>
      <c r="I199">
        <v>160.99</v>
      </c>
      <c r="J199">
        <v>37.43</v>
      </c>
      <c r="K199">
        <v>42.23</v>
      </c>
    </row>
    <row r="200" spans="2:11" x14ac:dyDescent="0.2">
      <c r="B200" s="3">
        <v>45481</v>
      </c>
      <c r="C200">
        <v>1.36355</v>
      </c>
      <c r="D200">
        <v>10.5838</v>
      </c>
      <c r="E200" s="3">
        <v>45476</v>
      </c>
      <c r="F200">
        <v>2565.2649999999999</v>
      </c>
      <c r="G200">
        <v>79.39</v>
      </c>
      <c r="H200">
        <v>4.4400000000000004</v>
      </c>
      <c r="I200">
        <v>160.80000000000001</v>
      </c>
      <c r="J200">
        <v>37.1</v>
      </c>
      <c r="K200">
        <v>42.5</v>
      </c>
    </row>
    <row r="201" spans="2:11" x14ac:dyDescent="0.2">
      <c r="B201" s="3">
        <v>45478</v>
      </c>
      <c r="C201">
        <v>1.3641000000000001</v>
      </c>
      <c r="D201">
        <v>10.48095</v>
      </c>
      <c r="E201" s="3">
        <v>45475</v>
      </c>
      <c r="F201">
        <v>2554.1239999999998</v>
      </c>
      <c r="G201">
        <v>80.209999999999994</v>
      </c>
      <c r="H201">
        <v>4.43</v>
      </c>
      <c r="I201">
        <v>161.83000000000001</v>
      </c>
      <c r="J201">
        <v>36.92</v>
      </c>
      <c r="K201">
        <v>41.89</v>
      </c>
    </row>
    <row r="202" spans="2:11" x14ac:dyDescent="0.2">
      <c r="B202" s="3">
        <v>45477</v>
      </c>
      <c r="C202">
        <v>1.3614999999999999</v>
      </c>
      <c r="D202">
        <v>10.5046</v>
      </c>
      <c r="E202" s="3">
        <v>45474</v>
      </c>
      <c r="F202">
        <v>2584.8319999999999</v>
      </c>
    </row>
    <row r="203" spans="2:11" x14ac:dyDescent="0.2">
      <c r="B203" s="3">
        <v>45476</v>
      </c>
      <c r="C203">
        <v>1.3638999999999999</v>
      </c>
      <c r="D203">
        <v>10.4923</v>
      </c>
      <c r="E203" s="3">
        <v>45471</v>
      </c>
      <c r="F203">
        <v>2569.4540000000002</v>
      </c>
      <c r="G203">
        <v>78.34</v>
      </c>
      <c r="H203">
        <v>4.3</v>
      </c>
      <c r="I203">
        <v>157.76</v>
      </c>
      <c r="J203">
        <v>36.93</v>
      </c>
      <c r="K203">
        <v>41.08</v>
      </c>
    </row>
    <row r="204" spans="2:11" x14ac:dyDescent="0.2">
      <c r="B204" s="3">
        <v>45475</v>
      </c>
      <c r="C204">
        <v>1.36785</v>
      </c>
      <c r="D204">
        <v>10.579750000000001</v>
      </c>
      <c r="E204" s="3">
        <v>45470</v>
      </c>
      <c r="F204">
        <v>2557.8649999999998</v>
      </c>
      <c r="G204">
        <v>78.31</v>
      </c>
      <c r="H204">
        <v>4.37</v>
      </c>
      <c r="I204">
        <v>151.1</v>
      </c>
      <c r="J204">
        <v>37.49</v>
      </c>
      <c r="K204">
        <v>40.86</v>
      </c>
    </row>
    <row r="205" spans="2:11" x14ac:dyDescent="0.2">
      <c r="B205" s="3">
        <v>45474</v>
      </c>
      <c r="C205">
        <v>1.37365</v>
      </c>
      <c r="D205">
        <v>10.613</v>
      </c>
      <c r="E205" s="3">
        <v>45469</v>
      </c>
      <c r="F205">
        <v>2572.2429999999999</v>
      </c>
      <c r="G205">
        <v>75.83</v>
      </c>
      <c r="H205">
        <v>4.33</v>
      </c>
      <c r="I205">
        <v>148.84</v>
      </c>
      <c r="J205">
        <v>36.92</v>
      </c>
      <c r="K205">
        <v>40.61</v>
      </c>
    </row>
    <row r="206" spans="2:11" x14ac:dyDescent="0.2">
      <c r="B206" s="3">
        <v>45471</v>
      </c>
      <c r="C206">
        <v>1.36795</v>
      </c>
      <c r="D206">
        <v>10.598800000000001</v>
      </c>
      <c r="E206" s="3">
        <v>45468</v>
      </c>
      <c r="F206">
        <v>2561.5659999999998</v>
      </c>
      <c r="G206">
        <v>76.2</v>
      </c>
      <c r="H206">
        <v>4.37</v>
      </c>
      <c r="I206">
        <v>150.84</v>
      </c>
      <c r="J206">
        <v>36.9</v>
      </c>
      <c r="K206">
        <v>40.65</v>
      </c>
    </row>
    <row r="207" spans="2:11" x14ac:dyDescent="0.2">
      <c r="B207" s="3">
        <v>45470</v>
      </c>
      <c r="C207">
        <v>1.37015</v>
      </c>
      <c r="D207">
        <v>10.6241</v>
      </c>
      <c r="E207" s="3">
        <v>45467</v>
      </c>
      <c r="F207">
        <v>2594.5439999999999</v>
      </c>
      <c r="G207">
        <v>72.86</v>
      </c>
      <c r="H207">
        <v>4.47</v>
      </c>
      <c r="I207">
        <v>150.58000000000001</v>
      </c>
      <c r="J207">
        <v>36.07</v>
      </c>
      <c r="K207">
        <v>40.119999999999997</v>
      </c>
    </row>
    <row r="208" spans="2:11" x14ac:dyDescent="0.2">
      <c r="B208" s="3">
        <v>45469</v>
      </c>
      <c r="C208">
        <v>1.37015</v>
      </c>
      <c r="D208">
        <v>10.575100000000001</v>
      </c>
      <c r="E208" s="3">
        <v>45464</v>
      </c>
      <c r="G208">
        <v>76.63</v>
      </c>
      <c r="H208">
        <v>4.4000000000000004</v>
      </c>
      <c r="I208">
        <v>150.16</v>
      </c>
      <c r="J208">
        <v>36.299999999999997</v>
      </c>
      <c r="K208">
        <v>40.630000000000003</v>
      </c>
    </row>
    <row r="209" spans="2:11" x14ac:dyDescent="0.2">
      <c r="B209" s="3">
        <v>45468</v>
      </c>
      <c r="C209">
        <v>1.3656999999999999</v>
      </c>
      <c r="D209">
        <v>10.507999999999999</v>
      </c>
      <c r="E209" s="3">
        <v>45463</v>
      </c>
      <c r="F209">
        <v>2573.7710000000002</v>
      </c>
      <c r="G209">
        <v>76.400000000000006</v>
      </c>
      <c r="H209">
        <v>4.49</v>
      </c>
      <c r="I209">
        <v>148.71</v>
      </c>
      <c r="J209">
        <v>35.67</v>
      </c>
      <c r="K209">
        <v>39.83</v>
      </c>
    </row>
    <row r="210" spans="2:11" x14ac:dyDescent="0.2">
      <c r="B210" s="3">
        <v>45467</v>
      </c>
      <c r="C210">
        <v>1.36565</v>
      </c>
      <c r="D210">
        <v>10.475849999999999</v>
      </c>
      <c r="E210" s="3">
        <v>45462</v>
      </c>
      <c r="F210">
        <v>2554.2060000000001</v>
      </c>
      <c r="G210">
        <v>81.97</v>
      </c>
      <c r="H210">
        <v>4.5999999999999996</v>
      </c>
      <c r="I210">
        <v>150.62</v>
      </c>
      <c r="J210">
        <v>36.1</v>
      </c>
      <c r="K210">
        <v>39.26</v>
      </c>
    </row>
    <row r="211" spans="2:11" x14ac:dyDescent="0.2">
      <c r="B211" s="3">
        <v>45464</v>
      </c>
      <c r="C211">
        <v>1.3695999999999999</v>
      </c>
      <c r="D211">
        <v>10.507199999999999</v>
      </c>
      <c r="E211" s="3">
        <v>45461</v>
      </c>
      <c r="F211">
        <v>2566.489</v>
      </c>
      <c r="G211">
        <v>81.12</v>
      </c>
      <c r="H211">
        <v>4.6399999999999997</v>
      </c>
      <c r="I211">
        <v>150.5</v>
      </c>
      <c r="J211">
        <v>37.47</v>
      </c>
      <c r="K211">
        <v>39.65</v>
      </c>
    </row>
    <row r="212" spans="2:11" x14ac:dyDescent="0.2">
      <c r="B212" s="3">
        <v>45463</v>
      </c>
      <c r="C212">
        <v>1.3689</v>
      </c>
      <c r="D212">
        <v>10.497199999999999</v>
      </c>
      <c r="E212" s="3">
        <v>45460</v>
      </c>
      <c r="F212">
        <v>2558.5129999999999</v>
      </c>
      <c r="G212">
        <v>78.260000000000005</v>
      </c>
      <c r="H212">
        <v>4.8600000000000003</v>
      </c>
      <c r="I212">
        <v>150.29</v>
      </c>
      <c r="J212">
        <v>38</v>
      </c>
      <c r="K212">
        <v>40.26</v>
      </c>
    </row>
    <row r="213" spans="2:11" x14ac:dyDescent="0.2">
      <c r="B213" s="3">
        <v>45462</v>
      </c>
      <c r="C213">
        <v>1.3707499999999999</v>
      </c>
      <c r="D213">
        <v>10.4413</v>
      </c>
      <c r="E213" s="3">
        <v>45457</v>
      </c>
      <c r="F213">
        <v>2561.6</v>
      </c>
      <c r="G213">
        <v>76.569999999999993</v>
      </c>
      <c r="H213">
        <v>4.91</v>
      </c>
      <c r="I213">
        <v>149.05000000000001</v>
      </c>
      <c r="J213">
        <v>36.35</v>
      </c>
      <c r="K213">
        <v>39.51</v>
      </c>
    </row>
    <row r="214" spans="2:11" x14ac:dyDescent="0.2">
      <c r="B214" s="3">
        <v>45461</v>
      </c>
      <c r="C214">
        <v>1.3717999999999999</v>
      </c>
      <c r="D214">
        <v>10.437099999999999</v>
      </c>
      <c r="E214" s="3">
        <v>45456</v>
      </c>
      <c r="F214">
        <v>2587.1109999999999</v>
      </c>
      <c r="G214">
        <v>77.95</v>
      </c>
      <c r="H214">
        <v>4.8600000000000003</v>
      </c>
      <c r="I214">
        <v>149.24</v>
      </c>
      <c r="J214">
        <v>35.5</v>
      </c>
      <c r="K214">
        <v>39.270000000000003</v>
      </c>
    </row>
    <row r="215" spans="2:11" x14ac:dyDescent="0.2">
      <c r="B215" s="3">
        <v>45460</v>
      </c>
      <c r="C215">
        <v>1.3724000000000001</v>
      </c>
      <c r="D215">
        <v>10.477550000000001</v>
      </c>
      <c r="E215" s="3">
        <v>45455</v>
      </c>
      <c r="F215">
        <v>2627.116</v>
      </c>
      <c r="G215">
        <v>75.33</v>
      </c>
      <c r="H215">
        <v>4.9000000000000004</v>
      </c>
      <c r="I215">
        <v>150.25</v>
      </c>
      <c r="J215">
        <v>35.81</v>
      </c>
      <c r="K215">
        <v>39.590000000000003</v>
      </c>
    </row>
    <row r="216" spans="2:11" x14ac:dyDescent="0.2">
      <c r="B216" s="3">
        <v>45457</v>
      </c>
      <c r="C216">
        <v>1.37355</v>
      </c>
      <c r="D216">
        <v>10.511100000000001</v>
      </c>
      <c r="E216" s="3">
        <v>45454</v>
      </c>
      <c r="F216">
        <v>2586.9630000000002</v>
      </c>
      <c r="G216">
        <v>73.23</v>
      </c>
      <c r="H216">
        <v>4.88</v>
      </c>
      <c r="I216">
        <v>148.72</v>
      </c>
      <c r="J216">
        <v>36.130000000000003</v>
      </c>
      <c r="K216">
        <v>38.950000000000003</v>
      </c>
    </row>
    <row r="217" spans="2:11" x14ac:dyDescent="0.2">
      <c r="B217" s="3">
        <v>45456</v>
      </c>
      <c r="C217">
        <v>1.3743000000000001</v>
      </c>
      <c r="D217">
        <v>10.47875</v>
      </c>
      <c r="E217" s="3">
        <v>45453</v>
      </c>
      <c r="F217">
        <v>2600.7159999999999</v>
      </c>
      <c r="G217">
        <v>75.040000000000006</v>
      </c>
      <c r="H217">
        <v>4.8899999999999997</v>
      </c>
      <c r="I217">
        <v>149.66999999999999</v>
      </c>
      <c r="J217">
        <v>37.33</v>
      </c>
      <c r="K217">
        <v>38.880000000000003</v>
      </c>
    </row>
    <row r="218" spans="2:11" x14ac:dyDescent="0.2">
      <c r="B218" s="3">
        <v>45455</v>
      </c>
      <c r="C218">
        <v>1.3724000000000001</v>
      </c>
      <c r="D218">
        <v>10.363200000000001</v>
      </c>
      <c r="E218" s="3">
        <v>45450</v>
      </c>
      <c r="F218">
        <v>2623.5889999999999</v>
      </c>
      <c r="G218">
        <v>71.88</v>
      </c>
      <c r="H218">
        <v>4.82</v>
      </c>
      <c r="I218">
        <v>147.44999999999999</v>
      </c>
      <c r="J218">
        <v>37.950000000000003</v>
      </c>
      <c r="K218">
        <v>38.11</v>
      </c>
    </row>
    <row r="219" spans="2:11" x14ac:dyDescent="0.2">
      <c r="B219" s="3">
        <v>45454</v>
      </c>
      <c r="C219">
        <v>1.3758999999999999</v>
      </c>
      <c r="D219">
        <v>10.478400000000001</v>
      </c>
      <c r="E219" s="3">
        <v>45449</v>
      </c>
      <c r="G219">
        <v>71.8</v>
      </c>
      <c r="H219">
        <v>4.91</v>
      </c>
      <c r="I219">
        <v>151.24</v>
      </c>
      <c r="J219">
        <v>38.9</v>
      </c>
      <c r="K219">
        <v>38.5</v>
      </c>
    </row>
    <row r="220" spans="2:11" x14ac:dyDescent="0.2">
      <c r="B220" s="3">
        <v>45453</v>
      </c>
      <c r="C220">
        <v>1.3759999999999999</v>
      </c>
      <c r="D220">
        <v>10.49085</v>
      </c>
      <c r="E220" s="3">
        <v>45448</v>
      </c>
      <c r="F220">
        <v>2609.7220000000002</v>
      </c>
      <c r="G220">
        <v>77.16</v>
      </c>
      <c r="H220">
        <v>4.99</v>
      </c>
      <c r="I220">
        <v>150.75</v>
      </c>
      <c r="J220">
        <v>39.1</v>
      </c>
      <c r="K220">
        <v>38.46</v>
      </c>
    </row>
    <row r="221" spans="2:11" x14ac:dyDescent="0.2">
      <c r="B221" s="3">
        <v>45450</v>
      </c>
      <c r="C221">
        <v>1.3765000000000001</v>
      </c>
      <c r="D221">
        <v>10.5413</v>
      </c>
      <c r="E221" s="3">
        <v>45447</v>
      </c>
      <c r="F221">
        <v>2587.7020000000002</v>
      </c>
      <c r="G221">
        <v>72.08</v>
      </c>
      <c r="H221">
        <v>4.8</v>
      </c>
      <c r="I221">
        <v>145.28</v>
      </c>
      <c r="J221">
        <v>37.85</v>
      </c>
      <c r="K221">
        <v>38.049999999999997</v>
      </c>
    </row>
    <row r="222" spans="2:11" x14ac:dyDescent="0.2">
      <c r="B222" s="3">
        <v>45449</v>
      </c>
      <c r="C222">
        <v>1.367</v>
      </c>
      <c r="D222">
        <v>10.3926</v>
      </c>
      <c r="E222" s="3">
        <v>45446</v>
      </c>
      <c r="F222">
        <v>2612.0160000000001</v>
      </c>
      <c r="G222">
        <v>75.790000000000006</v>
      </c>
      <c r="H222">
        <v>4.6900000000000004</v>
      </c>
      <c r="I222">
        <v>145.22999999999999</v>
      </c>
      <c r="J222">
        <v>38.03</v>
      </c>
      <c r="K222">
        <v>39.42</v>
      </c>
    </row>
    <row r="223" spans="2:11" x14ac:dyDescent="0.2">
      <c r="B223" s="3">
        <v>45448</v>
      </c>
      <c r="C223">
        <v>1.3694500000000001</v>
      </c>
      <c r="D223">
        <v>10.392799999999999</v>
      </c>
      <c r="E223" s="3">
        <v>45443</v>
      </c>
      <c r="F223">
        <v>2604.1039999999998</v>
      </c>
      <c r="G223">
        <v>76.19</v>
      </c>
      <c r="H223">
        <v>4.71</v>
      </c>
      <c r="I223">
        <v>146.44999999999999</v>
      </c>
      <c r="J223">
        <v>38.299999999999997</v>
      </c>
      <c r="K223">
        <v>39.880000000000003</v>
      </c>
    </row>
    <row r="224" spans="2:11" x14ac:dyDescent="0.2">
      <c r="B224" s="3">
        <v>45447</v>
      </c>
      <c r="C224">
        <v>1.3680000000000001</v>
      </c>
      <c r="D224">
        <v>10.4421</v>
      </c>
      <c r="E224" s="3">
        <v>45442</v>
      </c>
      <c r="F224">
        <v>2593.0749999999998</v>
      </c>
      <c r="G224">
        <v>78.510000000000005</v>
      </c>
      <c r="H224">
        <v>4.7699999999999996</v>
      </c>
      <c r="I224">
        <v>144.13999999999999</v>
      </c>
      <c r="J224">
        <v>39.64</v>
      </c>
      <c r="K224">
        <v>39.479999999999997</v>
      </c>
    </row>
    <row r="225" spans="2:11" x14ac:dyDescent="0.2">
      <c r="B225" s="3">
        <v>45446</v>
      </c>
      <c r="C225">
        <v>1.3629</v>
      </c>
      <c r="D225">
        <v>10.4129</v>
      </c>
      <c r="E225" s="3">
        <v>45441</v>
      </c>
      <c r="F225">
        <v>2583.5</v>
      </c>
      <c r="G225">
        <v>81.239999999999995</v>
      </c>
      <c r="H225">
        <v>4.76</v>
      </c>
      <c r="I225">
        <v>150.77000000000001</v>
      </c>
      <c r="J225">
        <v>38.229999999999997</v>
      </c>
      <c r="K225">
        <v>40.5</v>
      </c>
    </row>
    <row r="226" spans="2:11" x14ac:dyDescent="0.2">
      <c r="B226" s="3">
        <v>45443</v>
      </c>
      <c r="C226">
        <v>1.3628</v>
      </c>
      <c r="D226">
        <v>10.52755</v>
      </c>
      <c r="E226" s="3">
        <v>45440</v>
      </c>
      <c r="F226">
        <v>2616.2860000000001</v>
      </c>
      <c r="G226">
        <v>81.069999999999993</v>
      </c>
      <c r="H226">
        <v>4.95</v>
      </c>
      <c r="I226">
        <v>148.85</v>
      </c>
      <c r="J226">
        <v>37.75</v>
      </c>
      <c r="K226">
        <v>40.75</v>
      </c>
    </row>
    <row r="227" spans="2:11" x14ac:dyDescent="0.2">
      <c r="B227" s="3">
        <v>45442</v>
      </c>
      <c r="C227">
        <v>1.36805</v>
      </c>
      <c r="D227">
        <v>10.59895</v>
      </c>
      <c r="E227" s="3">
        <v>45439</v>
      </c>
      <c r="F227">
        <v>2630.2959999999998</v>
      </c>
      <c r="G227">
        <v>80.599999999999994</v>
      </c>
      <c r="H227">
        <v>5.0999999999999996</v>
      </c>
      <c r="I227">
        <v>149.05000000000001</v>
      </c>
      <c r="J227">
        <v>37.75</v>
      </c>
      <c r="K227">
        <v>40.94</v>
      </c>
    </row>
    <row r="228" spans="2:11" x14ac:dyDescent="0.2">
      <c r="B228" s="3">
        <v>45441</v>
      </c>
      <c r="C228">
        <v>1.3715999999999999</v>
      </c>
      <c r="D228">
        <v>10.670999999999999</v>
      </c>
      <c r="E228" s="3">
        <v>45436</v>
      </c>
      <c r="F228">
        <v>2624.5</v>
      </c>
      <c r="G228">
        <v>80.34</v>
      </c>
      <c r="H228">
        <v>5.08</v>
      </c>
      <c r="I228">
        <v>149.71</v>
      </c>
      <c r="J228">
        <v>38.770000000000003</v>
      </c>
      <c r="K228">
        <v>41.09</v>
      </c>
    </row>
    <row r="229" spans="2:11" x14ac:dyDescent="0.2">
      <c r="B229" s="3">
        <v>45440</v>
      </c>
      <c r="C229">
        <v>1.3645499999999999</v>
      </c>
      <c r="D229">
        <v>10.574299999999999</v>
      </c>
      <c r="E229" s="3">
        <v>45435</v>
      </c>
      <c r="F229">
        <v>2641.4670000000001</v>
      </c>
      <c r="G229">
        <v>76.069999999999993</v>
      </c>
      <c r="H229">
        <v>4.97</v>
      </c>
      <c r="I229">
        <v>150.83000000000001</v>
      </c>
      <c r="J229">
        <v>38.479999999999997</v>
      </c>
      <c r="K229">
        <v>41.71</v>
      </c>
    </row>
    <row r="230" spans="2:11" x14ac:dyDescent="0.2">
      <c r="B230" s="3">
        <v>45439</v>
      </c>
      <c r="C230">
        <v>1.3633</v>
      </c>
      <c r="D230">
        <v>10.61495</v>
      </c>
      <c r="E230" s="3">
        <v>45434</v>
      </c>
      <c r="F230">
        <v>2634.5059999999999</v>
      </c>
      <c r="G230">
        <v>73.739999999999995</v>
      </c>
      <c r="H230">
        <v>5.0999999999999996</v>
      </c>
      <c r="I230">
        <v>155.12</v>
      </c>
      <c r="J230">
        <v>39.28</v>
      </c>
      <c r="K230">
        <v>42.33</v>
      </c>
    </row>
    <row r="231" spans="2:11" x14ac:dyDescent="0.2">
      <c r="B231" s="3">
        <v>45436</v>
      </c>
      <c r="C231">
        <v>1.3663000000000001</v>
      </c>
      <c r="D231">
        <v>10.6684</v>
      </c>
      <c r="E231" s="3">
        <v>45433</v>
      </c>
      <c r="F231">
        <v>2631.4920000000002</v>
      </c>
      <c r="G231">
        <v>71.849999999999994</v>
      </c>
      <c r="H231">
        <v>5.12</v>
      </c>
      <c r="I231">
        <v>154.69999999999999</v>
      </c>
      <c r="J231">
        <v>38.92</v>
      </c>
      <c r="K231">
        <v>42.21</v>
      </c>
    </row>
    <row r="232" spans="2:11" x14ac:dyDescent="0.2">
      <c r="B232" s="3">
        <v>45435</v>
      </c>
      <c r="C232">
        <v>1.3729499999999999</v>
      </c>
      <c r="D232">
        <v>10.7399</v>
      </c>
      <c r="E232" s="3">
        <v>45432</v>
      </c>
      <c r="F232">
        <v>2632.17</v>
      </c>
    </row>
    <row r="233" spans="2:11" x14ac:dyDescent="0.2">
      <c r="B233" s="3">
        <v>45434</v>
      </c>
      <c r="C233">
        <v>1.3694999999999999</v>
      </c>
      <c r="D233">
        <v>10.7372</v>
      </c>
      <c r="E233" s="3">
        <v>45429</v>
      </c>
      <c r="F233">
        <v>2602.1990000000001</v>
      </c>
      <c r="G233">
        <v>70.23</v>
      </c>
      <c r="H233">
        <v>5.25</v>
      </c>
      <c r="I233">
        <v>156.22</v>
      </c>
      <c r="J233">
        <v>38.5</v>
      </c>
      <c r="K233">
        <v>41.46</v>
      </c>
    </row>
    <row r="234" spans="2:11" x14ac:dyDescent="0.2">
      <c r="B234" s="3">
        <v>45433</v>
      </c>
      <c r="C234">
        <v>1.3653999999999999</v>
      </c>
      <c r="D234">
        <v>10.6937</v>
      </c>
      <c r="E234" s="3">
        <v>45428</v>
      </c>
      <c r="F234">
        <v>2608.817</v>
      </c>
      <c r="G234">
        <v>71.39</v>
      </c>
      <c r="H234">
        <v>5.39</v>
      </c>
      <c r="I234">
        <v>157.81</v>
      </c>
      <c r="J234">
        <v>38.75</v>
      </c>
      <c r="K234">
        <v>41.76</v>
      </c>
    </row>
    <row r="235" spans="2:11" x14ac:dyDescent="0.2">
      <c r="B235" s="3">
        <v>45432</v>
      </c>
      <c r="C235">
        <v>1.3625</v>
      </c>
      <c r="D235">
        <v>10.6899</v>
      </c>
      <c r="E235" s="3">
        <v>45427</v>
      </c>
      <c r="F235">
        <v>2627.5189999999998</v>
      </c>
      <c r="G235">
        <v>70.8</v>
      </c>
      <c r="H235">
        <v>5.45</v>
      </c>
      <c r="I235">
        <v>152</v>
      </c>
      <c r="J235">
        <v>38.75</v>
      </c>
      <c r="K235">
        <v>42</v>
      </c>
    </row>
    <row r="236" spans="2:11" x14ac:dyDescent="0.2">
      <c r="B236" s="3">
        <v>45429</v>
      </c>
      <c r="C236">
        <v>1.3611</v>
      </c>
      <c r="D236">
        <v>10.713749999999999</v>
      </c>
      <c r="E236" s="3">
        <v>45426</v>
      </c>
      <c r="F236">
        <v>2632.8530000000001</v>
      </c>
      <c r="G236">
        <v>65.55</v>
      </c>
      <c r="H236">
        <v>5.18</v>
      </c>
      <c r="I236">
        <v>151.09</v>
      </c>
      <c r="J236">
        <v>38.299999999999997</v>
      </c>
      <c r="K236">
        <v>41.7</v>
      </c>
    </row>
    <row r="237" spans="2:11" x14ac:dyDescent="0.2">
      <c r="B237" s="3">
        <v>45428</v>
      </c>
      <c r="C237">
        <v>1.36185</v>
      </c>
      <c r="D237">
        <v>10.715249999999999</v>
      </c>
      <c r="E237" s="3">
        <v>45425</v>
      </c>
      <c r="F237">
        <v>2624.7579999999998</v>
      </c>
      <c r="G237">
        <v>63.97</v>
      </c>
      <c r="H237">
        <v>5.1100000000000003</v>
      </c>
      <c r="I237">
        <v>149.62</v>
      </c>
      <c r="J237">
        <v>38.299999999999997</v>
      </c>
      <c r="K237">
        <v>41.83</v>
      </c>
    </row>
    <row r="238" spans="2:11" x14ac:dyDescent="0.2">
      <c r="B238" s="3">
        <v>45427</v>
      </c>
      <c r="C238">
        <v>1.3603000000000001</v>
      </c>
      <c r="D238">
        <v>10.67</v>
      </c>
      <c r="E238" s="3">
        <v>45422</v>
      </c>
      <c r="F238">
        <v>2627.8679999999999</v>
      </c>
      <c r="G238">
        <v>66.31</v>
      </c>
      <c r="H238">
        <v>5.0599999999999996</v>
      </c>
      <c r="I238">
        <v>149.47</v>
      </c>
      <c r="J238">
        <v>37.840000000000003</v>
      </c>
      <c r="K238">
        <v>41.46</v>
      </c>
    </row>
    <row r="239" spans="2:11" x14ac:dyDescent="0.2">
      <c r="B239" s="3">
        <v>45426</v>
      </c>
      <c r="C239">
        <v>1.3649</v>
      </c>
      <c r="D239">
        <v>10.8033</v>
      </c>
      <c r="E239" s="3">
        <v>45421</v>
      </c>
      <c r="G239">
        <v>66.040000000000006</v>
      </c>
      <c r="H239">
        <v>5.07</v>
      </c>
      <c r="I239">
        <v>150.04</v>
      </c>
      <c r="J239">
        <v>37.5</v>
      </c>
      <c r="K239">
        <v>41.2</v>
      </c>
    </row>
    <row r="240" spans="2:11" x14ac:dyDescent="0.2">
      <c r="B240" s="3">
        <v>45425</v>
      </c>
      <c r="C240">
        <v>1.3666499999999999</v>
      </c>
      <c r="D240">
        <v>10.840999999999999</v>
      </c>
      <c r="E240" s="3">
        <v>45420</v>
      </c>
      <c r="F240">
        <v>2589.1019999999999</v>
      </c>
      <c r="G240">
        <v>67.86</v>
      </c>
      <c r="H240">
        <v>5.73</v>
      </c>
      <c r="I240">
        <v>144.31</v>
      </c>
      <c r="J240">
        <v>38.1</v>
      </c>
      <c r="K240">
        <v>41.91</v>
      </c>
    </row>
    <row r="241" spans="2:11" x14ac:dyDescent="0.2">
      <c r="B241" s="3">
        <v>45422</v>
      </c>
      <c r="C241">
        <v>1.3672</v>
      </c>
      <c r="D241">
        <v>10.8406</v>
      </c>
      <c r="E241" s="3">
        <v>45419</v>
      </c>
      <c r="F241">
        <v>2593.172</v>
      </c>
      <c r="G241">
        <v>65.66</v>
      </c>
      <c r="H241">
        <v>5.58</v>
      </c>
      <c r="I241">
        <v>145.59</v>
      </c>
      <c r="J241">
        <v>38.51</v>
      </c>
      <c r="K241">
        <v>41.48</v>
      </c>
    </row>
    <row r="242" spans="2:11" x14ac:dyDescent="0.2">
      <c r="B242" s="3">
        <v>45421</v>
      </c>
      <c r="C242">
        <v>1.3676999999999999</v>
      </c>
      <c r="D242">
        <v>10.847950000000001</v>
      </c>
      <c r="E242" s="3">
        <v>45418</v>
      </c>
      <c r="F242">
        <v>2563.7890000000002</v>
      </c>
      <c r="G242">
        <v>64.069999999999993</v>
      </c>
      <c r="H242">
        <v>5.53</v>
      </c>
      <c r="I242">
        <v>151.59</v>
      </c>
      <c r="J242">
        <v>37.85</v>
      </c>
      <c r="K242">
        <v>41.28</v>
      </c>
    </row>
    <row r="243" spans="2:11" x14ac:dyDescent="0.2">
      <c r="B243" s="3">
        <v>45420</v>
      </c>
      <c r="C243">
        <v>1.3722000000000001</v>
      </c>
      <c r="D243">
        <v>10.896800000000001</v>
      </c>
      <c r="E243" s="3">
        <v>45415</v>
      </c>
      <c r="F243">
        <v>2540.0770000000002</v>
      </c>
      <c r="G243">
        <v>61.37</v>
      </c>
      <c r="H243">
        <v>5.38</v>
      </c>
      <c r="I243">
        <v>151.38</v>
      </c>
      <c r="J243">
        <v>38</v>
      </c>
      <c r="K243">
        <v>41.38</v>
      </c>
    </row>
    <row r="244" spans="2:11" x14ac:dyDescent="0.2">
      <c r="B244" s="3">
        <v>45419</v>
      </c>
      <c r="C244">
        <v>1.3726</v>
      </c>
      <c r="D244">
        <v>10.845599999999999</v>
      </c>
      <c r="E244" s="3">
        <v>45414</v>
      </c>
      <c r="F244">
        <v>2525.2089999999998</v>
      </c>
      <c r="G244">
        <v>60.14</v>
      </c>
      <c r="H244">
        <v>5.28</v>
      </c>
      <c r="I244">
        <v>150.88</v>
      </c>
      <c r="J244">
        <v>36.18</v>
      </c>
      <c r="K244">
        <v>48.54</v>
      </c>
    </row>
    <row r="245" spans="2:11" x14ac:dyDescent="0.2">
      <c r="B245" s="3">
        <v>45418</v>
      </c>
      <c r="C245">
        <v>1.3665499999999999</v>
      </c>
      <c r="D245">
        <v>10.816750000000001</v>
      </c>
      <c r="E245" s="3">
        <v>45413</v>
      </c>
      <c r="G245">
        <v>59.84</v>
      </c>
      <c r="H245">
        <v>5.26</v>
      </c>
      <c r="I245">
        <v>152.49</v>
      </c>
      <c r="J245">
        <v>38.200000000000003</v>
      </c>
      <c r="K245">
        <v>48.67</v>
      </c>
    </row>
    <row r="246" spans="2:11" x14ac:dyDescent="0.2">
      <c r="B246" s="3">
        <v>45415</v>
      </c>
      <c r="C246">
        <v>1.3686</v>
      </c>
      <c r="D246">
        <v>10.8225</v>
      </c>
      <c r="E246" s="3">
        <v>45412</v>
      </c>
      <c r="F246">
        <v>2556.3980000000001</v>
      </c>
      <c r="G246">
        <v>59.61</v>
      </c>
      <c r="H246">
        <v>5.35</v>
      </c>
      <c r="I246">
        <v>146.59</v>
      </c>
      <c r="J246">
        <v>37.71</v>
      </c>
      <c r="K246">
        <v>48.61</v>
      </c>
    </row>
    <row r="247" spans="2:11" x14ac:dyDescent="0.2">
      <c r="B247" s="3">
        <v>45414</v>
      </c>
      <c r="C247">
        <v>1.3673</v>
      </c>
      <c r="D247">
        <v>10.871600000000001</v>
      </c>
      <c r="E247" s="3">
        <v>45411</v>
      </c>
      <c r="F247">
        <v>2566.8069999999998</v>
      </c>
      <c r="G247">
        <v>60.17</v>
      </c>
      <c r="H247">
        <v>5.48</v>
      </c>
      <c r="I247">
        <v>148.75</v>
      </c>
      <c r="J247">
        <v>37.1</v>
      </c>
      <c r="K247">
        <v>48.5</v>
      </c>
    </row>
    <row r="248" spans="2:11" x14ac:dyDescent="0.2">
      <c r="B248" s="3">
        <v>45413</v>
      </c>
      <c r="C248">
        <v>1.3738999999999999</v>
      </c>
      <c r="D248">
        <v>10.928599999999999</v>
      </c>
      <c r="E248" s="3">
        <v>45408</v>
      </c>
      <c r="F248">
        <v>2557.6950000000002</v>
      </c>
      <c r="G248">
        <v>59.36</v>
      </c>
      <c r="H248">
        <v>5.5</v>
      </c>
      <c r="I248">
        <v>150.21</v>
      </c>
      <c r="J248">
        <v>38.04</v>
      </c>
      <c r="K248">
        <v>48.78</v>
      </c>
    </row>
    <row r="249" spans="2:11" x14ac:dyDescent="0.2">
      <c r="B249" s="3">
        <v>45412</v>
      </c>
      <c r="C249">
        <v>1.37785</v>
      </c>
      <c r="D249">
        <v>11.02515</v>
      </c>
      <c r="E249" s="3">
        <v>45407</v>
      </c>
      <c r="F249">
        <v>2525.3989999999999</v>
      </c>
      <c r="G249">
        <v>59.12</v>
      </c>
      <c r="H249">
        <v>5.54</v>
      </c>
      <c r="I249">
        <v>149.56</v>
      </c>
      <c r="J249">
        <v>36.93</v>
      </c>
      <c r="K249">
        <v>48.85</v>
      </c>
    </row>
    <row r="250" spans="2:11" x14ac:dyDescent="0.2">
      <c r="B250" s="3">
        <v>45411</v>
      </c>
      <c r="C250">
        <v>1.3661000000000001</v>
      </c>
      <c r="D250">
        <v>10.924149999999999</v>
      </c>
      <c r="E250" s="3">
        <v>45406</v>
      </c>
      <c r="F250">
        <v>2543.2109999999998</v>
      </c>
      <c r="G250">
        <v>60.42</v>
      </c>
      <c r="H250">
        <v>5.67</v>
      </c>
      <c r="I250">
        <v>151.71</v>
      </c>
      <c r="J250">
        <v>36.5</v>
      </c>
      <c r="K250">
        <v>49.33</v>
      </c>
    </row>
    <row r="251" spans="2:11" x14ac:dyDescent="0.2">
      <c r="B251" s="3">
        <v>45408</v>
      </c>
      <c r="C251">
        <v>1.3671</v>
      </c>
      <c r="D251">
        <v>10.923299999999999</v>
      </c>
      <c r="E251" s="3">
        <v>45405</v>
      </c>
      <c r="F251">
        <v>2546.3319999999999</v>
      </c>
      <c r="G251">
        <v>59.78</v>
      </c>
      <c r="H251">
        <v>5.62</v>
      </c>
      <c r="I251">
        <v>152.51</v>
      </c>
      <c r="J251">
        <v>36.92</v>
      </c>
      <c r="K251">
        <v>49.28</v>
      </c>
    </row>
    <row r="252" spans="2:11" x14ac:dyDescent="0.2">
      <c r="B252" s="3">
        <v>45407</v>
      </c>
      <c r="C252">
        <v>1.36565</v>
      </c>
      <c r="D252">
        <v>10.89005</v>
      </c>
      <c r="E252" s="3">
        <v>45404</v>
      </c>
      <c r="F252">
        <v>2511.4059999999999</v>
      </c>
      <c r="G252">
        <v>58.93</v>
      </c>
      <c r="H252">
        <v>5.72</v>
      </c>
      <c r="I252">
        <v>150.91999999999999</v>
      </c>
      <c r="J252">
        <v>35.99</v>
      </c>
      <c r="K252">
        <v>48.61</v>
      </c>
    </row>
    <row r="253" spans="2:11" x14ac:dyDescent="0.2">
      <c r="B253" s="3">
        <v>45406</v>
      </c>
      <c r="C253">
        <v>1.37035</v>
      </c>
      <c r="D253">
        <v>10.8787</v>
      </c>
      <c r="E253" s="3">
        <v>45401</v>
      </c>
      <c r="F253">
        <v>2502.0700000000002</v>
      </c>
      <c r="G253">
        <v>56.03</v>
      </c>
      <c r="H253">
        <v>5.42</v>
      </c>
      <c r="I253">
        <v>148.79</v>
      </c>
      <c r="J253">
        <v>36.11</v>
      </c>
      <c r="K253">
        <v>48.18</v>
      </c>
    </row>
    <row r="254" spans="2:11" x14ac:dyDescent="0.2">
      <c r="B254" s="3">
        <v>45405</v>
      </c>
      <c r="C254">
        <v>1.3663000000000001</v>
      </c>
      <c r="D254">
        <v>10.8139</v>
      </c>
      <c r="E254" s="3">
        <v>45400</v>
      </c>
      <c r="F254">
        <v>2517.6860000000001</v>
      </c>
      <c r="G254">
        <v>60.34</v>
      </c>
      <c r="H254">
        <v>5.39</v>
      </c>
      <c r="I254">
        <v>151.57</v>
      </c>
      <c r="J254">
        <v>38.28</v>
      </c>
      <c r="K254">
        <v>47.88</v>
      </c>
    </row>
    <row r="255" spans="2:11" x14ac:dyDescent="0.2">
      <c r="B255" s="3">
        <v>45404</v>
      </c>
      <c r="C255">
        <v>1.37</v>
      </c>
      <c r="D255">
        <v>10.88795</v>
      </c>
      <c r="E255" s="3">
        <v>45399</v>
      </c>
      <c r="F255">
        <v>2505.2739999999999</v>
      </c>
      <c r="G255">
        <v>61.46</v>
      </c>
      <c r="H255">
        <v>5.32</v>
      </c>
      <c r="I255">
        <v>151.68</v>
      </c>
      <c r="J255">
        <v>37.35</v>
      </c>
      <c r="K255">
        <v>47.67</v>
      </c>
    </row>
    <row r="256" spans="2:11" x14ac:dyDescent="0.2">
      <c r="B256" s="3">
        <v>45401</v>
      </c>
      <c r="C256">
        <v>1.3755500000000001</v>
      </c>
      <c r="D256">
        <v>10.922750000000001</v>
      </c>
      <c r="E256" s="3">
        <v>45398</v>
      </c>
      <c r="F256">
        <v>2491.7559999999999</v>
      </c>
      <c r="G256">
        <v>63.13</v>
      </c>
      <c r="H256">
        <v>5.39</v>
      </c>
      <c r="I256">
        <v>150.31</v>
      </c>
      <c r="J256">
        <v>36.97</v>
      </c>
      <c r="K256">
        <v>47.66</v>
      </c>
    </row>
    <row r="257" spans="2:11" x14ac:dyDescent="0.2">
      <c r="B257" s="3">
        <v>45400</v>
      </c>
      <c r="C257">
        <v>1.3767</v>
      </c>
      <c r="D257">
        <v>10.9674</v>
      </c>
      <c r="E257" s="3">
        <v>45397</v>
      </c>
      <c r="F257">
        <v>2523.395</v>
      </c>
      <c r="G257">
        <v>61.17</v>
      </c>
      <c r="H257">
        <v>5.35</v>
      </c>
      <c r="I257">
        <v>150.25</v>
      </c>
      <c r="J257">
        <v>37.5</v>
      </c>
      <c r="K257">
        <v>47.86</v>
      </c>
    </row>
    <row r="258" spans="2:11" x14ac:dyDescent="0.2">
      <c r="B258" s="3">
        <v>45399</v>
      </c>
      <c r="C258">
        <v>1.3772</v>
      </c>
      <c r="D258">
        <v>10.939349999999999</v>
      </c>
      <c r="E258" s="3">
        <v>45394</v>
      </c>
      <c r="F258">
        <v>2506.991</v>
      </c>
      <c r="G258">
        <v>61.64</v>
      </c>
      <c r="H258">
        <v>5.3</v>
      </c>
      <c r="I258">
        <v>151.37</v>
      </c>
      <c r="J258">
        <v>38.619999999999997</v>
      </c>
      <c r="K258">
        <v>48.92</v>
      </c>
    </row>
    <row r="259" spans="2:11" x14ac:dyDescent="0.2">
      <c r="B259" s="3">
        <v>45398</v>
      </c>
      <c r="C259">
        <v>1.3828499999999999</v>
      </c>
      <c r="D259">
        <v>10.962949999999999</v>
      </c>
      <c r="E259" s="3">
        <v>45393</v>
      </c>
      <c r="F259">
        <v>2499.7040000000002</v>
      </c>
      <c r="G259">
        <v>62.95</v>
      </c>
      <c r="H259">
        <v>5.53</v>
      </c>
      <c r="I259">
        <v>153.01</v>
      </c>
      <c r="J259">
        <v>38.5</v>
      </c>
      <c r="K259">
        <v>49.13</v>
      </c>
    </row>
    <row r="260" spans="2:11" x14ac:dyDescent="0.2">
      <c r="B260" s="3">
        <v>45397</v>
      </c>
      <c r="C260">
        <v>1.3788</v>
      </c>
      <c r="D260">
        <v>10.88705</v>
      </c>
      <c r="E260" s="3">
        <v>45392</v>
      </c>
      <c r="F260">
        <v>2519.0549999999998</v>
      </c>
      <c r="G260">
        <v>63.04</v>
      </c>
      <c r="H260">
        <v>5.37</v>
      </c>
      <c r="I260">
        <v>151.38999999999999</v>
      </c>
      <c r="J260">
        <v>38.369999999999997</v>
      </c>
      <c r="K260">
        <v>49.48</v>
      </c>
    </row>
    <row r="261" spans="2:11" x14ac:dyDescent="0.2">
      <c r="B261" s="3">
        <v>45394</v>
      </c>
      <c r="C261">
        <v>1.3774500000000001</v>
      </c>
      <c r="D261">
        <v>10.875400000000001</v>
      </c>
      <c r="E261" s="3">
        <v>45391</v>
      </c>
      <c r="F261">
        <v>2513.5039999999999</v>
      </c>
      <c r="G261">
        <v>63.84</v>
      </c>
      <c r="H261">
        <v>5.6</v>
      </c>
      <c r="I261">
        <v>153.1</v>
      </c>
      <c r="J261">
        <v>39</v>
      </c>
      <c r="K261">
        <v>50.61</v>
      </c>
    </row>
    <row r="262" spans="2:11" x14ac:dyDescent="0.2">
      <c r="B262" s="3">
        <v>45393</v>
      </c>
      <c r="C262">
        <v>1.3689499999999999</v>
      </c>
      <c r="D262">
        <v>10.725899999999999</v>
      </c>
      <c r="E262" s="3">
        <v>45390</v>
      </c>
      <c r="F262">
        <v>2522.3589999999999</v>
      </c>
      <c r="G262">
        <v>67.13</v>
      </c>
      <c r="H262">
        <v>5.5</v>
      </c>
      <c r="I262">
        <v>151.88999999999999</v>
      </c>
      <c r="J262">
        <v>36.67</v>
      </c>
      <c r="K262">
        <v>50.4</v>
      </c>
    </row>
    <row r="263" spans="2:11" x14ac:dyDescent="0.2">
      <c r="B263" s="3">
        <v>45392</v>
      </c>
      <c r="C263">
        <v>1.3676999999999999</v>
      </c>
      <c r="D263">
        <v>10.7103</v>
      </c>
      <c r="E263" s="3">
        <v>45387</v>
      </c>
      <c r="F263">
        <v>2504.799</v>
      </c>
      <c r="G263">
        <v>67.05</v>
      </c>
      <c r="H263">
        <v>5.65</v>
      </c>
      <c r="I263">
        <v>152.46</v>
      </c>
      <c r="J263">
        <v>36.6</v>
      </c>
      <c r="K263">
        <v>51.1</v>
      </c>
    </row>
    <row r="264" spans="2:11" x14ac:dyDescent="0.2">
      <c r="B264" s="3">
        <v>45391</v>
      </c>
      <c r="C264">
        <v>1.3569</v>
      </c>
      <c r="D264">
        <v>10.553050000000001</v>
      </c>
      <c r="E264" s="3">
        <v>45386</v>
      </c>
      <c r="F264">
        <v>2521.8620000000001</v>
      </c>
      <c r="G264">
        <v>65.13</v>
      </c>
      <c r="H264">
        <v>5.56</v>
      </c>
      <c r="I264">
        <v>146.91</v>
      </c>
      <c r="J264">
        <v>36.44</v>
      </c>
      <c r="K264">
        <v>50.76</v>
      </c>
    </row>
    <row r="265" spans="2:11" x14ac:dyDescent="0.2">
      <c r="B265" s="3">
        <v>45390</v>
      </c>
      <c r="C265">
        <v>1.3572500000000001</v>
      </c>
      <c r="D265">
        <v>10.5624</v>
      </c>
      <c r="E265" s="3">
        <v>45385</v>
      </c>
      <c r="F265">
        <v>2513.5189999999998</v>
      </c>
      <c r="G265">
        <v>66.61</v>
      </c>
      <c r="H265">
        <v>5.77</v>
      </c>
      <c r="I265">
        <v>150</v>
      </c>
      <c r="J265">
        <v>36.46</v>
      </c>
      <c r="K265">
        <v>51.39</v>
      </c>
    </row>
    <row r="266" spans="2:11" x14ac:dyDescent="0.2">
      <c r="B266" s="3">
        <v>45387</v>
      </c>
      <c r="C266">
        <v>1.3589500000000001</v>
      </c>
      <c r="D266">
        <v>10.6424</v>
      </c>
      <c r="E266" s="3">
        <v>45384</v>
      </c>
      <c r="F266">
        <v>2508.65</v>
      </c>
      <c r="G266">
        <v>63.64</v>
      </c>
      <c r="H266">
        <v>5.84</v>
      </c>
      <c r="I266">
        <v>152.52000000000001</v>
      </c>
      <c r="J266">
        <v>34.43</v>
      </c>
      <c r="K266">
        <v>51.53</v>
      </c>
    </row>
    <row r="267" spans="2:11" x14ac:dyDescent="0.2">
      <c r="B267" s="3">
        <v>45386</v>
      </c>
      <c r="C267">
        <v>1.3543000000000001</v>
      </c>
      <c r="D267">
        <v>10.6502</v>
      </c>
      <c r="E267" s="3">
        <v>45383</v>
      </c>
      <c r="G267">
        <v>62.29</v>
      </c>
      <c r="H267">
        <v>5.65</v>
      </c>
      <c r="I267">
        <v>153.37</v>
      </c>
      <c r="J267">
        <v>35.299999999999997</v>
      </c>
      <c r="K267">
        <v>52.12</v>
      </c>
    </row>
    <row r="268" spans="2:11" x14ac:dyDescent="0.2">
      <c r="B268" s="3">
        <v>45385</v>
      </c>
      <c r="C268">
        <v>1.3528</v>
      </c>
      <c r="D268">
        <v>10.6462</v>
      </c>
      <c r="E268" s="3">
        <v>45379</v>
      </c>
      <c r="F268">
        <v>2518.2750000000001</v>
      </c>
      <c r="G268">
        <v>60.86</v>
      </c>
      <c r="H268">
        <v>5.82</v>
      </c>
      <c r="I268">
        <v>154</v>
      </c>
      <c r="J268">
        <v>35.81</v>
      </c>
      <c r="K268">
        <v>52.56</v>
      </c>
    </row>
    <row r="269" spans="2:11" x14ac:dyDescent="0.2">
      <c r="B269" s="3">
        <v>45384</v>
      </c>
      <c r="C269">
        <v>1.3566499999999999</v>
      </c>
      <c r="D269">
        <v>10.73695</v>
      </c>
      <c r="E269" s="3">
        <v>45378</v>
      </c>
      <c r="F269">
        <v>2537.3739999999998</v>
      </c>
      <c r="G269">
        <v>61.79</v>
      </c>
      <c r="H269">
        <v>5.77</v>
      </c>
      <c r="I269">
        <v>152.94</v>
      </c>
      <c r="J269">
        <v>38</v>
      </c>
      <c r="K269">
        <v>52.64</v>
      </c>
    </row>
    <row r="270" spans="2:11" x14ac:dyDescent="0.2">
      <c r="B270" s="3">
        <v>45383</v>
      </c>
      <c r="C270">
        <v>1.357</v>
      </c>
      <c r="D270">
        <v>10.80035</v>
      </c>
      <c r="E270" s="3">
        <v>45377</v>
      </c>
      <c r="F270">
        <v>2547.971</v>
      </c>
      <c r="G270">
        <v>62.98</v>
      </c>
      <c r="H270">
        <v>5.76</v>
      </c>
      <c r="I270">
        <v>150.33000000000001</v>
      </c>
      <c r="J270">
        <v>34.97</v>
      </c>
      <c r="K270">
        <v>53.49</v>
      </c>
    </row>
    <row r="271" spans="2:11" x14ac:dyDescent="0.2">
      <c r="B271" s="3">
        <v>45380</v>
      </c>
      <c r="C271">
        <v>1.3540000000000001</v>
      </c>
      <c r="D271">
        <v>10.6523</v>
      </c>
      <c r="E271" s="3">
        <v>45376</v>
      </c>
      <c r="F271">
        <v>2526.067</v>
      </c>
      <c r="G271">
        <v>62.97</v>
      </c>
      <c r="H271">
        <v>5.64</v>
      </c>
      <c r="I271">
        <v>150.26</v>
      </c>
      <c r="J271">
        <v>33.76</v>
      </c>
      <c r="K271">
        <v>53.21</v>
      </c>
    </row>
    <row r="272" spans="2:11" x14ac:dyDescent="0.2">
      <c r="B272" s="3">
        <v>45379</v>
      </c>
      <c r="C272">
        <v>1.3540000000000001</v>
      </c>
      <c r="D272">
        <v>10.6982</v>
      </c>
      <c r="E272" s="3">
        <v>45373</v>
      </c>
      <c r="F272">
        <v>2534.3420000000001</v>
      </c>
      <c r="G272">
        <v>63.98</v>
      </c>
      <c r="H272">
        <v>5.66</v>
      </c>
      <c r="I272">
        <v>150.52000000000001</v>
      </c>
      <c r="J272">
        <v>34</v>
      </c>
      <c r="K272">
        <v>53.25</v>
      </c>
    </row>
    <row r="273" spans="2:11" x14ac:dyDescent="0.2">
      <c r="B273" s="3">
        <v>45378</v>
      </c>
      <c r="C273">
        <v>1.3567499999999999</v>
      </c>
      <c r="D273">
        <v>10.6113</v>
      </c>
      <c r="E273" s="3">
        <v>45372</v>
      </c>
      <c r="F273">
        <v>2550.5010000000002</v>
      </c>
      <c r="G273">
        <v>63.68</v>
      </c>
      <c r="H273">
        <v>5.77</v>
      </c>
      <c r="I273">
        <v>153.78</v>
      </c>
      <c r="J273">
        <v>33.75</v>
      </c>
      <c r="K273">
        <v>54.1</v>
      </c>
    </row>
    <row r="274" spans="2:11" x14ac:dyDescent="0.2">
      <c r="B274" s="3">
        <v>45377</v>
      </c>
      <c r="C274">
        <v>1.3584000000000001</v>
      </c>
      <c r="D274">
        <v>10.5913</v>
      </c>
      <c r="E274" s="3">
        <v>45371</v>
      </c>
      <c r="F274">
        <v>2510.4409999999998</v>
      </c>
      <c r="G274">
        <v>59.4</v>
      </c>
      <c r="H274">
        <v>5.8</v>
      </c>
      <c r="I274">
        <v>152.1</v>
      </c>
      <c r="J274">
        <v>32.81</v>
      </c>
      <c r="K274">
        <v>52.99</v>
      </c>
    </row>
    <row r="275" spans="2:11" x14ac:dyDescent="0.2">
      <c r="B275" s="3">
        <v>45376</v>
      </c>
      <c r="C275">
        <v>1.3586499999999999</v>
      </c>
      <c r="D275">
        <v>10.575200000000001</v>
      </c>
      <c r="E275" s="3">
        <v>45370</v>
      </c>
      <c r="F275">
        <v>2514.9250000000002</v>
      </c>
      <c r="G275">
        <v>58.36</v>
      </c>
      <c r="H275">
        <v>5.85</v>
      </c>
      <c r="I275">
        <v>147.54</v>
      </c>
      <c r="J275">
        <v>33</v>
      </c>
      <c r="K275">
        <v>52.11</v>
      </c>
    </row>
    <row r="276" spans="2:11" x14ac:dyDescent="0.2">
      <c r="B276" s="3">
        <v>45373</v>
      </c>
      <c r="C276">
        <v>1.3608</v>
      </c>
      <c r="D276">
        <v>10.56795</v>
      </c>
      <c r="E276" s="3">
        <v>45369</v>
      </c>
      <c r="F276">
        <v>2504.8009999999999</v>
      </c>
      <c r="G276">
        <v>60.51</v>
      </c>
      <c r="H276">
        <v>5.87</v>
      </c>
      <c r="I276">
        <v>147.44</v>
      </c>
      <c r="J276">
        <v>33.99</v>
      </c>
      <c r="K276">
        <v>52.21</v>
      </c>
    </row>
    <row r="277" spans="2:11" x14ac:dyDescent="0.2">
      <c r="B277" s="3">
        <v>45372</v>
      </c>
      <c r="C277">
        <v>1.3531</v>
      </c>
      <c r="D277">
        <v>10.4674</v>
      </c>
      <c r="E277" s="3">
        <v>45366</v>
      </c>
      <c r="F277">
        <v>2533.62</v>
      </c>
      <c r="G277">
        <v>59.43</v>
      </c>
      <c r="H277">
        <v>5.74</v>
      </c>
      <c r="I277">
        <v>149.41999999999999</v>
      </c>
      <c r="J277">
        <v>33.31</v>
      </c>
      <c r="K277">
        <v>52.14</v>
      </c>
    </row>
    <row r="278" spans="2:11" x14ac:dyDescent="0.2">
      <c r="B278" s="3">
        <v>45371</v>
      </c>
      <c r="C278">
        <v>1.3492</v>
      </c>
      <c r="D278">
        <v>10.38475</v>
      </c>
      <c r="E278" s="3">
        <v>45365</v>
      </c>
      <c r="F278">
        <v>2527.8530000000001</v>
      </c>
      <c r="G278">
        <v>60.14</v>
      </c>
      <c r="H278">
        <v>6</v>
      </c>
      <c r="I278">
        <v>151.66</v>
      </c>
      <c r="J278">
        <v>34.01</v>
      </c>
      <c r="K278">
        <v>52.45</v>
      </c>
    </row>
    <row r="279" spans="2:11" x14ac:dyDescent="0.2">
      <c r="B279" s="3">
        <v>45370</v>
      </c>
      <c r="C279">
        <v>1.3565</v>
      </c>
      <c r="D279">
        <v>10.441050000000001</v>
      </c>
      <c r="E279" s="3">
        <v>45364</v>
      </c>
      <c r="F279">
        <v>2527.4650000000001</v>
      </c>
      <c r="G279">
        <v>60.67</v>
      </c>
      <c r="H279">
        <v>5.89</v>
      </c>
      <c r="I279">
        <v>150.47999999999999</v>
      </c>
      <c r="J279">
        <v>35.15</v>
      </c>
      <c r="K279">
        <v>52.75</v>
      </c>
    </row>
    <row r="280" spans="2:11" x14ac:dyDescent="0.2">
      <c r="B280" s="3">
        <v>45369</v>
      </c>
      <c r="C280">
        <v>1.3532999999999999</v>
      </c>
      <c r="D280">
        <v>10.4261</v>
      </c>
      <c r="E280" s="3">
        <v>45363</v>
      </c>
      <c r="F280">
        <v>2521.9070000000002</v>
      </c>
      <c r="G280">
        <v>60.99</v>
      </c>
      <c r="H280">
        <v>5.72</v>
      </c>
      <c r="I280">
        <v>151.16999999999999</v>
      </c>
      <c r="J280">
        <v>35.94</v>
      </c>
      <c r="K280">
        <v>51.72</v>
      </c>
    </row>
    <row r="281" spans="2:11" x14ac:dyDescent="0.2">
      <c r="B281" s="3">
        <v>45366</v>
      </c>
      <c r="C281">
        <v>1.3542000000000001</v>
      </c>
      <c r="D281">
        <v>10.3536</v>
      </c>
      <c r="E281" s="3">
        <v>45362</v>
      </c>
      <c r="F281">
        <v>2479.355</v>
      </c>
      <c r="G281">
        <v>58.86</v>
      </c>
      <c r="H281">
        <v>5.51</v>
      </c>
      <c r="I281">
        <v>147.06</v>
      </c>
      <c r="J281">
        <v>36.5</v>
      </c>
      <c r="K281">
        <v>52.12</v>
      </c>
    </row>
    <row r="282" spans="2:11" x14ac:dyDescent="0.2">
      <c r="B282" s="3">
        <v>45365</v>
      </c>
      <c r="C282">
        <v>1.3532999999999999</v>
      </c>
      <c r="D282">
        <v>10.3391</v>
      </c>
      <c r="E282" s="3">
        <v>45359</v>
      </c>
      <c r="F282">
        <v>2487.6950000000002</v>
      </c>
      <c r="G282">
        <v>62.21</v>
      </c>
      <c r="H282">
        <v>5.42</v>
      </c>
      <c r="I282">
        <v>146.27000000000001</v>
      </c>
      <c r="J282">
        <v>36.81</v>
      </c>
      <c r="K282">
        <v>51.84</v>
      </c>
    </row>
    <row r="283" spans="2:11" x14ac:dyDescent="0.2">
      <c r="B283" s="3">
        <v>45364</v>
      </c>
      <c r="C283">
        <v>1.3471</v>
      </c>
      <c r="D283">
        <v>10.228</v>
      </c>
      <c r="E283" s="3">
        <v>45358</v>
      </c>
      <c r="F283">
        <v>2471.5740000000001</v>
      </c>
      <c r="G283">
        <v>63.7</v>
      </c>
      <c r="H283">
        <v>5.23</v>
      </c>
      <c r="I283">
        <v>148</v>
      </c>
      <c r="J283">
        <v>36.93</v>
      </c>
      <c r="K283">
        <v>51.99</v>
      </c>
    </row>
    <row r="284" spans="2:11" x14ac:dyDescent="0.2">
      <c r="B284" s="3">
        <v>45363</v>
      </c>
      <c r="C284">
        <v>1.3491</v>
      </c>
      <c r="D284">
        <v>10.243</v>
      </c>
      <c r="E284" s="3">
        <v>45357</v>
      </c>
      <c r="F284">
        <v>2460.8139999999999</v>
      </c>
      <c r="G284">
        <v>63.76</v>
      </c>
      <c r="H284">
        <v>5.19</v>
      </c>
      <c r="I284">
        <v>146</v>
      </c>
      <c r="J284">
        <v>36.729999999999997</v>
      </c>
      <c r="K284">
        <v>50.83</v>
      </c>
    </row>
    <row r="285" spans="2:11" x14ac:dyDescent="0.2">
      <c r="B285" s="3">
        <v>45362</v>
      </c>
      <c r="C285">
        <v>1.3483000000000001</v>
      </c>
      <c r="D285">
        <v>10.2409</v>
      </c>
      <c r="E285" s="3">
        <v>45356</v>
      </c>
      <c r="F285">
        <v>2449.0360000000001</v>
      </c>
      <c r="G285">
        <v>62.21</v>
      </c>
      <c r="H285">
        <v>4.88</v>
      </c>
      <c r="I285">
        <v>143.85</v>
      </c>
      <c r="J285">
        <v>36.4</v>
      </c>
      <c r="K285">
        <v>51.53</v>
      </c>
    </row>
    <row r="286" spans="2:11" x14ac:dyDescent="0.2">
      <c r="B286" s="3">
        <v>45359</v>
      </c>
      <c r="C286">
        <v>1.3480000000000001</v>
      </c>
      <c r="D286">
        <v>10.2044</v>
      </c>
      <c r="E286" s="3">
        <v>45355</v>
      </c>
      <c r="F286">
        <v>2455.3629999999998</v>
      </c>
      <c r="G286">
        <v>64.010000000000005</v>
      </c>
      <c r="H286">
        <v>5.26</v>
      </c>
      <c r="I286">
        <v>153.80000000000001</v>
      </c>
      <c r="J286">
        <v>37.5</v>
      </c>
      <c r="K286">
        <v>53.66</v>
      </c>
    </row>
    <row r="287" spans="2:11" x14ac:dyDescent="0.2">
      <c r="B287" s="3">
        <v>45358</v>
      </c>
      <c r="C287">
        <v>1.3459000000000001</v>
      </c>
      <c r="D287">
        <v>10.224500000000001</v>
      </c>
      <c r="E287" s="3">
        <v>45352</v>
      </c>
      <c r="F287">
        <v>2461.4899999999998</v>
      </c>
      <c r="G287">
        <v>61.37</v>
      </c>
      <c r="H287">
        <v>5.0999999999999996</v>
      </c>
      <c r="I287">
        <v>149.07</v>
      </c>
      <c r="J287">
        <v>37.5</v>
      </c>
      <c r="K287">
        <v>53.24</v>
      </c>
    </row>
    <row r="288" spans="2:11" x14ac:dyDescent="0.2">
      <c r="B288" s="3">
        <v>45357</v>
      </c>
      <c r="C288">
        <v>1.3513500000000001</v>
      </c>
      <c r="D288">
        <v>10.297750000000001</v>
      </c>
      <c r="E288" s="3">
        <v>45351</v>
      </c>
      <c r="F288">
        <v>2452.8049999999998</v>
      </c>
      <c r="G288">
        <v>57.68</v>
      </c>
      <c r="H288">
        <v>5.08</v>
      </c>
      <c r="I288">
        <v>140.68</v>
      </c>
      <c r="J288">
        <v>37.6</v>
      </c>
      <c r="K288">
        <v>52.19</v>
      </c>
    </row>
    <row r="289" spans="2:11" x14ac:dyDescent="0.2">
      <c r="B289" s="3">
        <v>45356</v>
      </c>
      <c r="C289">
        <v>1.3592500000000001</v>
      </c>
      <c r="D289">
        <v>10.3782</v>
      </c>
      <c r="E289" s="3">
        <v>45350</v>
      </c>
      <c r="F289">
        <v>2447.2139999999999</v>
      </c>
      <c r="G289">
        <v>55.86</v>
      </c>
      <c r="H289">
        <v>4.83</v>
      </c>
      <c r="I289">
        <v>154.38</v>
      </c>
      <c r="J289">
        <v>35.549999999999997</v>
      </c>
      <c r="K289">
        <v>52.47</v>
      </c>
    </row>
    <row r="290" spans="2:11" x14ac:dyDescent="0.2">
      <c r="B290" s="3">
        <v>45355</v>
      </c>
      <c r="C290">
        <v>1.3573500000000001</v>
      </c>
      <c r="D290">
        <v>10.37445</v>
      </c>
      <c r="E290" s="3">
        <v>45349</v>
      </c>
      <c r="F290">
        <v>2442.2220000000002</v>
      </c>
      <c r="G290">
        <v>56.54</v>
      </c>
      <c r="H290">
        <v>5.09</v>
      </c>
      <c r="I290">
        <v>151.76</v>
      </c>
      <c r="J290">
        <v>34.71</v>
      </c>
      <c r="K290">
        <v>52.97</v>
      </c>
    </row>
    <row r="291" spans="2:11" x14ac:dyDescent="0.2">
      <c r="B291" s="3">
        <v>45352</v>
      </c>
      <c r="C291">
        <v>1.3559000000000001</v>
      </c>
      <c r="D291">
        <v>10.3186</v>
      </c>
      <c r="E291" s="3">
        <v>45348</v>
      </c>
      <c r="F291">
        <v>2438.636</v>
      </c>
      <c r="G291">
        <v>56.4</v>
      </c>
      <c r="H291">
        <v>4.8899999999999997</v>
      </c>
      <c r="I291">
        <v>154.88</v>
      </c>
      <c r="J291">
        <v>34.5</v>
      </c>
      <c r="K291">
        <v>51.96</v>
      </c>
    </row>
    <row r="292" spans="2:11" x14ac:dyDescent="0.2">
      <c r="B292" s="3">
        <v>45351</v>
      </c>
      <c r="C292">
        <v>1.35785</v>
      </c>
      <c r="D292">
        <v>10.37355</v>
      </c>
      <c r="E292" s="3">
        <v>45345</v>
      </c>
      <c r="F292">
        <v>2435.4459999999999</v>
      </c>
      <c r="G292">
        <v>54.57</v>
      </c>
      <c r="H292">
        <v>4.66</v>
      </c>
      <c r="I292">
        <v>154.33000000000001</v>
      </c>
      <c r="J292">
        <v>34.549999999999997</v>
      </c>
      <c r="K292">
        <v>52.24</v>
      </c>
    </row>
    <row r="293" spans="2:11" x14ac:dyDescent="0.2">
      <c r="B293" s="3">
        <v>45350</v>
      </c>
      <c r="C293">
        <v>1.3577999999999999</v>
      </c>
      <c r="D293">
        <v>10.3377</v>
      </c>
      <c r="E293" s="3">
        <v>45344</v>
      </c>
      <c r="F293">
        <v>2426.3789999999999</v>
      </c>
      <c r="G293">
        <v>56.28</v>
      </c>
      <c r="H293">
        <v>4.46</v>
      </c>
      <c r="I293">
        <v>148.72</v>
      </c>
      <c r="J293">
        <v>35.85</v>
      </c>
      <c r="K293">
        <v>52.29</v>
      </c>
    </row>
    <row r="294" spans="2:11" x14ac:dyDescent="0.2">
      <c r="B294" s="3">
        <v>45349</v>
      </c>
      <c r="C294">
        <v>1.3527499999999999</v>
      </c>
      <c r="D294">
        <v>10.30875</v>
      </c>
      <c r="E294" s="3">
        <v>45343</v>
      </c>
      <c r="F294">
        <v>2414.9740000000002</v>
      </c>
      <c r="G294">
        <v>50.22</v>
      </c>
      <c r="H294">
        <v>4.53</v>
      </c>
      <c r="I294">
        <v>150</v>
      </c>
      <c r="J294">
        <v>33.880000000000003</v>
      </c>
      <c r="K294">
        <v>51.36</v>
      </c>
    </row>
    <row r="295" spans="2:11" x14ac:dyDescent="0.2">
      <c r="B295" s="3">
        <v>45348</v>
      </c>
      <c r="C295">
        <v>1.3509</v>
      </c>
      <c r="D295">
        <v>10.283300000000001</v>
      </c>
      <c r="E295" s="3">
        <v>45342</v>
      </c>
      <c r="F295">
        <v>2414.788</v>
      </c>
      <c r="G295">
        <v>50.63</v>
      </c>
      <c r="H295">
        <v>4.4800000000000004</v>
      </c>
      <c r="I295">
        <v>153.97</v>
      </c>
      <c r="J295">
        <v>34.17</v>
      </c>
      <c r="K295">
        <v>53.01</v>
      </c>
    </row>
    <row r="296" spans="2:11" x14ac:dyDescent="0.2">
      <c r="B296" s="3">
        <v>45345</v>
      </c>
      <c r="C296">
        <v>1.3506</v>
      </c>
      <c r="D296">
        <v>10.325900000000001</v>
      </c>
      <c r="E296" s="3">
        <v>45341</v>
      </c>
      <c r="F296">
        <v>2410.326</v>
      </c>
    </row>
    <row r="297" spans="2:11" x14ac:dyDescent="0.2">
      <c r="B297" s="3">
        <v>45344</v>
      </c>
      <c r="C297">
        <v>1.34815</v>
      </c>
      <c r="D297">
        <v>10.32865</v>
      </c>
      <c r="E297" s="3">
        <v>45338</v>
      </c>
      <c r="F297">
        <v>2408.9169999999999</v>
      </c>
      <c r="G297">
        <v>53.33</v>
      </c>
      <c r="H297">
        <v>4.55</v>
      </c>
      <c r="I297">
        <v>160.38</v>
      </c>
      <c r="J297">
        <v>32.29</v>
      </c>
      <c r="K297">
        <v>53.93</v>
      </c>
    </row>
    <row r="298" spans="2:11" x14ac:dyDescent="0.2">
      <c r="B298" s="3">
        <v>45343</v>
      </c>
      <c r="C298">
        <v>1.3505499999999999</v>
      </c>
      <c r="D298">
        <v>10.366199999999999</v>
      </c>
      <c r="E298" s="3">
        <v>45337</v>
      </c>
      <c r="F298">
        <v>2385.2420000000002</v>
      </c>
      <c r="G298">
        <v>53.72</v>
      </c>
      <c r="H298">
        <v>4.57</v>
      </c>
      <c r="I298">
        <v>162.13</v>
      </c>
      <c r="J298">
        <v>31.89</v>
      </c>
      <c r="K298">
        <v>54.6</v>
      </c>
    </row>
    <row r="299" spans="2:11" x14ac:dyDescent="0.2">
      <c r="B299" s="3">
        <v>45342</v>
      </c>
      <c r="C299">
        <v>1.3523000000000001</v>
      </c>
      <c r="D299">
        <v>10.3681</v>
      </c>
      <c r="E299" s="3">
        <v>45336</v>
      </c>
      <c r="F299">
        <v>2362.0709999999999</v>
      </c>
      <c r="G299">
        <v>53.03</v>
      </c>
      <c r="H299">
        <v>4.5</v>
      </c>
      <c r="I299">
        <v>161.88</v>
      </c>
      <c r="J299">
        <v>32.18</v>
      </c>
      <c r="K299">
        <v>54.56</v>
      </c>
    </row>
    <row r="300" spans="2:11" x14ac:dyDescent="0.2">
      <c r="B300" s="3">
        <v>45341</v>
      </c>
      <c r="C300">
        <v>1.3489500000000001</v>
      </c>
      <c r="D300">
        <v>10.4278</v>
      </c>
      <c r="E300" s="3">
        <v>45335</v>
      </c>
      <c r="F300">
        <v>2352.7669999999998</v>
      </c>
      <c r="G300">
        <v>50.91</v>
      </c>
      <c r="H300">
        <v>4.4400000000000004</v>
      </c>
      <c r="I300">
        <v>159.43</v>
      </c>
      <c r="J300">
        <v>31.33</v>
      </c>
      <c r="K300">
        <v>53</v>
      </c>
    </row>
    <row r="301" spans="2:11" x14ac:dyDescent="0.2">
      <c r="B301" s="3">
        <v>45338</v>
      </c>
      <c r="C301">
        <v>1.3485499999999999</v>
      </c>
      <c r="D301">
        <v>10.43515</v>
      </c>
      <c r="E301" s="3">
        <v>45334</v>
      </c>
      <c r="F301">
        <v>2367.498</v>
      </c>
      <c r="G301">
        <v>51.45</v>
      </c>
      <c r="H301">
        <v>4.53</v>
      </c>
      <c r="I301">
        <v>160.71</v>
      </c>
      <c r="J301">
        <v>31.35</v>
      </c>
      <c r="K301">
        <v>54.88</v>
      </c>
    </row>
    <row r="302" spans="2:11" x14ac:dyDescent="0.2">
      <c r="B302" s="3">
        <v>45337</v>
      </c>
      <c r="C302">
        <v>1.3465</v>
      </c>
      <c r="D302">
        <v>10.452999999999999</v>
      </c>
      <c r="E302" s="3">
        <v>45331</v>
      </c>
      <c r="F302">
        <v>2352.4189999999999</v>
      </c>
      <c r="G302">
        <v>52.02</v>
      </c>
      <c r="H302">
        <v>4.59</v>
      </c>
      <c r="I302">
        <v>160.29</v>
      </c>
      <c r="J302">
        <v>31</v>
      </c>
      <c r="K302">
        <v>56.37</v>
      </c>
    </row>
    <row r="303" spans="2:11" x14ac:dyDescent="0.2">
      <c r="B303" s="3">
        <v>45336</v>
      </c>
      <c r="C303">
        <v>1.3543000000000001</v>
      </c>
      <c r="D303">
        <v>10.5303</v>
      </c>
      <c r="E303" s="3">
        <v>45330</v>
      </c>
      <c r="F303">
        <v>2358.4949999999999</v>
      </c>
      <c r="G303">
        <v>50.52</v>
      </c>
      <c r="H303">
        <v>4.42</v>
      </c>
      <c r="I303">
        <v>156.5</v>
      </c>
      <c r="J303">
        <v>32.01</v>
      </c>
      <c r="K303">
        <v>55.3</v>
      </c>
    </row>
    <row r="304" spans="2:11" x14ac:dyDescent="0.2">
      <c r="B304" s="3">
        <v>45335</v>
      </c>
      <c r="C304">
        <v>1.3563499999999999</v>
      </c>
      <c r="D304">
        <v>10.585850000000001</v>
      </c>
      <c r="E304" s="3">
        <v>45329</v>
      </c>
      <c r="F304">
        <v>2356.4319999999998</v>
      </c>
      <c r="G304">
        <v>48.98</v>
      </c>
      <c r="H304">
        <v>4.7</v>
      </c>
      <c r="I304">
        <v>157.47999999999999</v>
      </c>
      <c r="J304">
        <v>32.340000000000003</v>
      </c>
      <c r="K304">
        <v>55.07</v>
      </c>
    </row>
    <row r="305" spans="2:11" x14ac:dyDescent="0.2">
      <c r="B305" s="3">
        <v>45334</v>
      </c>
      <c r="C305">
        <v>1.3451</v>
      </c>
      <c r="D305">
        <v>10.4</v>
      </c>
      <c r="E305" s="3">
        <v>45328</v>
      </c>
      <c r="F305">
        <v>2357.5230000000001</v>
      </c>
      <c r="G305">
        <v>48.9</v>
      </c>
      <c r="H305">
        <v>4.72</v>
      </c>
      <c r="I305">
        <v>158.05000000000001</v>
      </c>
      <c r="J305">
        <v>32.43</v>
      </c>
      <c r="K305">
        <v>55.76</v>
      </c>
    </row>
    <row r="306" spans="2:11" x14ac:dyDescent="0.2">
      <c r="B306" s="3">
        <v>45331</v>
      </c>
      <c r="C306">
        <v>1.34595</v>
      </c>
      <c r="D306">
        <v>10.459250000000001</v>
      </c>
      <c r="E306" s="3">
        <v>45327</v>
      </c>
      <c r="F306">
        <v>2339.8850000000002</v>
      </c>
      <c r="G306">
        <v>50</v>
      </c>
      <c r="H306">
        <v>4.6399999999999997</v>
      </c>
      <c r="I306">
        <v>161.59</v>
      </c>
      <c r="J306">
        <v>32.770000000000003</v>
      </c>
      <c r="K306">
        <v>56.65</v>
      </c>
    </row>
    <row r="307" spans="2:11" x14ac:dyDescent="0.2">
      <c r="B307" s="3">
        <v>45330</v>
      </c>
      <c r="C307">
        <v>1.34585</v>
      </c>
      <c r="D307">
        <v>10.4772</v>
      </c>
      <c r="E307" s="3">
        <v>45324</v>
      </c>
      <c r="F307">
        <v>2367.8980000000001</v>
      </c>
      <c r="G307">
        <v>48.54</v>
      </c>
      <c r="H307">
        <v>4.87</v>
      </c>
      <c r="I307">
        <v>165.81</v>
      </c>
      <c r="J307">
        <v>32.21</v>
      </c>
      <c r="K307">
        <v>57.97</v>
      </c>
    </row>
    <row r="308" spans="2:11" x14ac:dyDescent="0.2">
      <c r="B308" s="3">
        <v>45329</v>
      </c>
      <c r="C308">
        <v>1.3463499999999999</v>
      </c>
      <c r="D308">
        <v>10.473100000000001</v>
      </c>
      <c r="E308" s="3">
        <v>45323</v>
      </c>
      <c r="F308">
        <v>2364.8119999999999</v>
      </c>
      <c r="G308">
        <v>48.35</v>
      </c>
      <c r="H308">
        <v>4.74</v>
      </c>
      <c r="I308">
        <v>164.21</v>
      </c>
      <c r="J308">
        <v>31.5</v>
      </c>
      <c r="K308">
        <v>59.04</v>
      </c>
    </row>
    <row r="309" spans="2:11" x14ac:dyDescent="0.2">
      <c r="B309" s="3">
        <v>45328</v>
      </c>
      <c r="C309">
        <v>1.3492500000000001</v>
      </c>
      <c r="D309">
        <v>10.50305</v>
      </c>
      <c r="E309" s="3">
        <v>45322</v>
      </c>
      <c r="F309">
        <v>2356.6010000000001</v>
      </c>
      <c r="G309">
        <v>46.21</v>
      </c>
      <c r="H309">
        <v>4.54</v>
      </c>
      <c r="I309">
        <v>163.72</v>
      </c>
      <c r="J309">
        <v>31.36</v>
      </c>
      <c r="K309">
        <v>58.63</v>
      </c>
    </row>
    <row r="310" spans="2:11" x14ac:dyDescent="0.2">
      <c r="B310" s="3">
        <v>45327</v>
      </c>
      <c r="C310">
        <v>1.35405</v>
      </c>
      <c r="D310">
        <v>10.602449999999999</v>
      </c>
      <c r="E310" s="3">
        <v>45321</v>
      </c>
      <c r="F310">
        <v>2368.364</v>
      </c>
      <c r="G310">
        <v>44.32</v>
      </c>
      <c r="H310">
        <v>4.68</v>
      </c>
      <c r="I310">
        <v>166.06</v>
      </c>
      <c r="J310">
        <v>32.17</v>
      </c>
      <c r="K310">
        <v>58.99</v>
      </c>
    </row>
    <row r="311" spans="2:11" x14ac:dyDescent="0.2">
      <c r="B311" s="3">
        <v>45324</v>
      </c>
      <c r="C311">
        <v>1.3462000000000001</v>
      </c>
      <c r="D311">
        <v>10.499000000000001</v>
      </c>
      <c r="E311" s="3">
        <v>45320</v>
      </c>
      <c r="F311">
        <v>2368.0610000000001</v>
      </c>
      <c r="G311">
        <v>43.63</v>
      </c>
      <c r="H311">
        <v>4.1399999999999997</v>
      </c>
      <c r="I311">
        <v>165.31</v>
      </c>
      <c r="J311">
        <v>31.23</v>
      </c>
      <c r="K311">
        <v>59.22</v>
      </c>
    </row>
    <row r="312" spans="2:11" x14ac:dyDescent="0.2">
      <c r="B312" s="3">
        <v>45323</v>
      </c>
      <c r="C312">
        <v>1.3386</v>
      </c>
      <c r="D312">
        <v>10.382300000000001</v>
      </c>
      <c r="E312" s="3">
        <v>45317</v>
      </c>
      <c r="F312">
        <v>2370.13</v>
      </c>
      <c r="G312">
        <v>42.97</v>
      </c>
      <c r="H312">
        <v>4.0999999999999996</v>
      </c>
      <c r="I312">
        <v>164.52</v>
      </c>
      <c r="J312">
        <v>30.48</v>
      </c>
      <c r="K312">
        <v>58.47</v>
      </c>
    </row>
    <row r="313" spans="2:11" x14ac:dyDescent="0.2">
      <c r="B313" s="3">
        <v>45322</v>
      </c>
      <c r="C313">
        <v>1.34345</v>
      </c>
      <c r="D313">
        <v>10.389200000000001</v>
      </c>
      <c r="E313" s="3">
        <v>45316</v>
      </c>
      <c r="F313">
        <v>2362.7260000000001</v>
      </c>
      <c r="G313">
        <v>42.73</v>
      </c>
      <c r="H313">
        <v>3.95</v>
      </c>
      <c r="I313">
        <v>162.66</v>
      </c>
      <c r="J313">
        <v>30.85</v>
      </c>
      <c r="K313">
        <v>58.1</v>
      </c>
    </row>
    <row r="314" spans="2:11" x14ac:dyDescent="0.2">
      <c r="B314" s="3">
        <v>45321</v>
      </c>
      <c r="C314">
        <v>1.3398000000000001</v>
      </c>
      <c r="D314">
        <v>10.410600000000001</v>
      </c>
      <c r="E314" s="3">
        <v>45315</v>
      </c>
      <c r="F314">
        <v>2351.0990000000002</v>
      </c>
      <c r="G314">
        <v>41.49</v>
      </c>
      <c r="H314">
        <v>3.95</v>
      </c>
      <c r="I314">
        <v>163.69999999999999</v>
      </c>
      <c r="J314">
        <v>32.049999999999997</v>
      </c>
      <c r="K314">
        <v>56.68</v>
      </c>
    </row>
    <row r="315" spans="2:11" x14ac:dyDescent="0.2">
      <c r="B315" s="3">
        <v>45320</v>
      </c>
      <c r="C315">
        <v>1.34145</v>
      </c>
      <c r="D315">
        <v>10.443300000000001</v>
      </c>
      <c r="E315" s="3">
        <v>45314</v>
      </c>
      <c r="F315">
        <v>2337.4830000000002</v>
      </c>
      <c r="G315">
        <v>41.2</v>
      </c>
      <c r="H315">
        <v>3.92</v>
      </c>
      <c r="I315">
        <v>165.53</v>
      </c>
      <c r="J315">
        <v>32.9</v>
      </c>
      <c r="K315">
        <v>55.91</v>
      </c>
    </row>
    <row r="316" spans="2:11" x14ac:dyDescent="0.2">
      <c r="B316" s="3">
        <v>45317</v>
      </c>
      <c r="C316">
        <v>1.3452</v>
      </c>
      <c r="D316">
        <v>10.444800000000001</v>
      </c>
      <c r="E316" s="3">
        <v>45313</v>
      </c>
      <c r="F316">
        <v>2330.549</v>
      </c>
      <c r="G316">
        <v>42.64</v>
      </c>
      <c r="H316">
        <v>3.88</v>
      </c>
      <c r="I316">
        <v>164.59</v>
      </c>
      <c r="J316">
        <v>33.340000000000003</v>
      </c>
      <c r="K316">
        <v>56.2</v>
      </c>
    </row>
    <row r="317" spans="2:11" x14ac:dyDescent="0.2">
      <c r="B317" s="3">
        <v>45316</v>
      </c>
      <c r="C317">
        <v>1.3474999999999999</v>
      </c>
      <c r="D317">
        <v>10.444699999999999</v>
      </c>
      <c r="E317" s="3">
        <v>45310</v>
      </c>
      <c r="F317">
        <v>2297.9560000000001</v>
      </c>
      <c r="G317">
        <v>41.53</v>
      </c>
      <c r="H317">
        <v>3.89</v>
      </c>
      <c r="I317">
        <v>165.78</v>
      </c>
      <c r="J317">
        <v>33.01</v>
      </c>
      <c r="K317">
        <v>55.26</v>
      </c>
    </row>
    <row r="318" spans="2:11" x14ac:dyDescent="0.2">
      <c r="B318" s="3">
        <v>45315</v>
      </c>
      <c r="C318">
        <v>1.3523499999999999</v>
      </c>
      <c r="D318">
        <v>10.437799999999999</v>
      </c>
      <c r="E318" s="3">
        <v>45309</v>
      </c>
      <c r="F318">
        <v>2309.951</v>
      </c>
      <c r="G318">
        <v>38.590000000000003</v>
      </c>
      <c r="H318">
        <v>3.74</v>
      </c>
      <c r="I318">
        <v>163.32</v>
      </c>
      <c r="J318">
        <v>32.21</v>
      </c>
      <c r="K318">
        <v>55.19</v>
      </c>
    </row>
    <row r="319" spans="2:11" x14ac:dyDescent="0.2">
      <c r="B319" s="3">
        <v>45314</v>
      </c>
      <c r="C319">
        <v>1.3461000000000001</v>
      </c>
      <c r="D319">
        <v>10.484999999999999</v>
      </c>
      <c r="E319" s="3">
        <v>45308</v>
      </c>
      <c r="F319">
        <v>2297.8470000000002</v>
      </c>
      <c r="G319">
        <v>37.299999999999997</v>
      </c>
      <c r="H319">
        <v>3.78</v>
      </c>
      <c r="I319">
        <v>159.44999999999999</v>
      </c>
      <c r="J319">
        <v>31.74</v>
      </c>
      <c r="K319">
        <v>53.93</v>
      </c>
    </row>
    <row r="320" spans="2:11" x14ac:dyDescent="0.2">
      <c r="B320" s="3">
        <v>45313</v>
      </c>
      <c r="C320">
        <v>1.3479000000000001</v>
      </c>
      <c r="D320">
        <v>10.464399999999999</v>
      </c>
      <c r="E320" s="3">
        <v>45307</v>
      </c>
      <c r="F320">
        <v>2323.7849999999999</v>
      </c>
      <c r="G320">
        <v>38.520000000000003</v>
      </c>
      <c r="H320">
        <v>3.73</v>
      </c>
      <c r="I320">
        <v>155.35</v>
      </c>
      <c r="J320">
        <v>31.82</v>
      </c>
      <c r="K320">
        <v>54.42</v>
      </c>
    </row>
    <row r="321" spans="2:11" x14ac:dyDescent="0.2">
      <c r="B321" s="3">
        <v>45310</v>
      </c>
      <c r="C321">
        <v>1.343</v>
      </c>
      <c r="D321">
        <v>10.465199999999999</v>
      </c>
      <c r="E321" s="3">
        <v>45306</v>
      </c>
      <c r="F321">
        <v>2340.4670000000001</v>
      </c>
      <c r="G321">
        <v>38.090000000000003</v>
      </c>
      <c r="H321">
        <v>3.85</v>
      </c>
      <c r="I321">
        <v>148.77000000000001</v>
      </c>
      <c r="J321">
        <v>31.62</v>
      </c>
      <c r="K321">
        <v>54.94</v>
      </c>
    </row>
    <row r="322" spans="2:11" x14ac:dyDescent="0.2">
      <c r="B322" s="3">
        <v>45309</v>
      </c>
      <c r="C322">
        <v>1.3486499999999999</v>
      </c>
      <c r="D322">
        <v>10.4857</v>
      </c>
      <c r="E322" s="3">
        <v>45303</v>
      </c>
      <c r="F322">
        <v>2355.9650000000001</v>
      </c>
      <c r="G322">
        <v>38.520000000000003</v>
      </c>
      <c r="H322">
        <v>3.94</v>
      </c>
      <c r="I322">
        <v>148.13</v>
      </c>
      <c r="J322">
        <v>30.3</v>
      </c>
      <c r="K322">
        <v>55.72</v>
      </c>
    </row>
    <row r="323" spans="2:11" x14ac:dyDescent="0.2">
      <c r="B323" s="3">
        <v>45308</v>
      </c>
      <c r="C323">
        <v>1.3505499999999999</v>
      </c>
      <c r="D323">
        <v>10.44595</v>
      </c>
      <c r="E323" s="3">
        <v>45302</v>
      </c>
      <c r="F323">
        <v>2336.2449999999999</v>
      </c>
      <c r="G323">
        <v>38.44</v>
      </c>
      <c r="H323">
        <v>3.94</v>
      </c>
      <c r="I323">
        <v>143.94999999999999</v>
      </c>
      <c r="J323">
        <v>29.28</v>
      </c>
      <c r="K323">
        <v>56.5</v>
      </c>
    </row>
    <row r="324" spans="2:11" x14ac:dyDescent="0.2">
      <c r="B324" s="3">
        <v>45307</v>
      </c>
      <c r="C324">
        <v>1.34955</v>
      </c>
      <c r="D324">
        <v>10.437900000000001</v>
      </c>
      <c r="E324" s="3">
        <v>45301</v>
      </c>
      <c r="F324">
        <v>2341.9369999999999</v>
      </c>
      <c r="G324">
        <v>39.51</v>
      </c>
      <c r="H324">
        <v>4.01</v>
      </c>
      <c r="I324">
        <v>143.36000000000001</v>
      </c>
      <c r="J324">
        <v>28.7</v>
      </c>
      <c r="K324">
        <v>55.62</v>
      </c>
    </row>
    <row r="325" spans="2:11" x14ac:dyDescent="0.2">
      <c r="B325" s="3">
        <v>45306</v>
      </c>
      <c r="C325">
        <v>1.3427500000000001</v>
      </c>
      <c r="D325">
        <v>10.317600000000001</v>
      </c>
      <c r="E325" s="3">
        <v>45300</v>
      </c>
      <c r="F325">
        <v>2344.723</v>
      </c>
      <c r="G325">
        <v>38.54</v>
      </c>
      <c r="H325">
        <v>4.04</v>
      </c>
      <c r="I325">
        <v>143</v>
      </c>
      <c r="J325">
        <v>28.52</v>
      </c>
      <c r="K325">
        <v>54.75</v>
      </c>
    </row>
    <row r="326" spans="2:11" x14ac:dyDescent="0.2">
      <c r="B326" s="3">
        <v>45303</v>
      </c>
      <c r="C326">
        <v>1.3410500000000001</v>
      </c>
      <c r="D326">
        <v>10.2821</v>
      </c>
      <c r="E326" s="3">
        <v>45299</v>
      </c>
      <c r="F326">
        <v>2357.7719999999999</v>
      </c>
      <c r="G326">
        <v>38.520000000000003</v>
      </c>
      <c r="H326">
        <v>4.13</v>
      </c>
      <c r="I326">
        <v>141.16</v>
      </c>
      <c r="J326">
        <v>28.55</v>
      </c>
      <c r="K326">
        <v>55.12</v>
      </c>
    </row>
    <row r="327" spans="2:11" x14ac:dyDescent="0.2">
      <c r="B327" s="3">
        <v>45302</v>
      </c>
      <c r="C327">
        <v>1.3392999999999999</v>
      </c>
      <c r="D327">
        <v>10.2563</v>
      </c>
      <c r="E327" s="3">
        <v>45296</v>
      </c>
      <c r="F327">
        <v>2337.864</v>
      </c>
      <c r="G327">
        <v>37.33</v>
      </c>
      <c r="H327">
        <v>4.0999999999999996</v>
      </c>
      <c r="I327">
        <v>136.75</v>
      </c>
      <c r="J327">
        <v>27.8</v>
      </c>
      <c r="K327">
        <v>53.63</v>
      </c>
    </row>
    <row r="328" spans="2:11" x14ac:dyDescent="0.2">
      <c r="B328" s="3">
        <v>45301</v>
      </c>
      <c r="C328">
        <v>1.3380000000000001</v>
      </c>
      <c r="D328">
        <v>10.226699999999999</v>
      </c>
      <c r="E328" s="3">
        <v>45295</v>
      </c>
      <c r="F328">
        <v>2361.8989999999999</v>
      </c>
      <c r="G328">
        <v>37.299999999999997</v>
      </c>
      <c r="H328">
        <v>4.08</v>
      </c>
      <c r="I328">
        <v>137.65</v>
      </c>
      <c r="J328">
        <v>28.49</v>
      </c>
      <c r="K328">
        <v>53.12</v>
      </c>
    </row>
    <row r="329" spans="2:11" x14ac:dyDescent="0.2">
      <c r="B329" s="3">
        <v>45300</v>
      </c>
      <c r="C329">
        <v>1.3391</v>
      </c>
      <c r="D329">
        <v>10.25365</v>
      </c>
      <c r="E329" s="3">
        <v>45294</v>
      </c>
      <c r="F329">
        <v>2356.6390000000001</v>
      </c>
      <c r="G329">
        <v>37.630000000000003</v>
      </c>
      <c r="H329">
        <v>3.97</v>
      </c>
      <c r="I329">
        <v>139.02000000000001</v>
      </c>
      <c r="J329">
        <v>28.55</v>
      </c>
      <c r="K329">
        <v>53.2</v>
      </c>
    </row>
    <row r="330" spans="2:11" x14ac:dyDescent="0.2">
      <c r="B330" s="3">
        <v>45299</v>
      </c>
      <c r="C330">
        <v>1.3347</v>
      </c>
      <c r="D330">
        <v>10.2315</v>
      </c>
      <c r="E330" s="3">
        <v>45293</v>
      </c>
      <c r="F330">
        <v>2394.9290000000001</v>
      </c>
      <c r="G330">
        <v>37.659999999999997</v>
      </c>
      <c r="H330">
        <v>4.0599999999999996</v>
      </c>
      <c r="I330">
        <v>142.37</v>
      </c>
      <c r="J330">
        <v>28.9</v>
      </c>
      <c r="K330">
        <v>54.19</v>
      </c>
    </row>
    <row r="331" spans="2:11" x14ac:dyDescent="0.2">
      <c r="B331" s="3">
        <v>45296</v>
      </c>
      <c r="C331">
        <v>1.3364</v>
      </c>
      <c r="D331">
        <v>10.253399999999999</v>
      </c>
      <c r="E331" s="3">
        <v>45289</v>
      </c>
      <c r="F331">
        <v>2396.067</v>
      </c>
      <c r="G331">
        <v>38.81</v>
      </c>
      <c r="H331">
        <v>4.1399999999999997</v>
      </c>
      <c r="I331">
        <v>148.71</v>
      </c>
      <c r="J331">
        <v>29.9</v>
      </c>
      <c r="K331">
        <v>55.69</v>
      </c>
    </row>
    <row r="332" spans="2:11" x14ac:dyDescent="0.2">
      <c r="B332" s="3">
        <v>45295</v>
      </c>
      <c r="C332">
        <v>1.3350500000000001</v>
      </c>
      <c r="D332">
        <v>10.2187</v>
      </c>
      <c r="E332" s="3">
        <v>45288</v>
      </c>
      <c r="F332">
        <v>2389.0070000000001</v>
      </c>
      <c r="G332">
        <v>39.159999999999997</v>
      </c>
      <c r="H332">
        <v>4.2</v>
      </c>
      <c r="I332">
        <v>148.62</v>
      </c>
      <c r="J332">
        <v>30.2</v>
      </c>
      <c r="K332">
        <v>55.95</v>
      </c>
    </row>
    <row r="333" spans="2:11" x14ac:dyDescent="0.2">
      <c r="B333" s="3">
        <v>45294</v>
      </c>
      <c r="C333">
        <v>1.33535</v>
      </c>
      <c r="D333">
        <v>10.295949999999999</v>
      </c>
      <c r="E333" s="3">
        <v>45287</v>
      </c>
      <c r="F333">
        <v>2390.2759999999998</v>
      </c>
      <c r="G333">
        <v>38.96</v>
      </c>
      <c r="H333">
        <v>4</v>
      </c>
      <c r="I333">
        <v>149</v>
      </c>
      <c r="J333">
        <v>29.4</v>
      </c>
      <c r="K333">
        <v>56.28</v>
      </c>
    </row>
    <row r="334" spans="2:11" x14ac:dyDescent="0.2">
      <c r="B334" s="3">
        <v>45293</v>
      </c>
      <c r="C334">
        <v>1.3324</v>
      </c>
      <c r="D334">
        <v>10.2195</v>
      </c>
      <c r="E334" s="3">
        <v>45282</v>
      </c>
      <c r="F334">
        <v>2377.0459999999998</v>
      </c>
      <c r="G334">
        <v>39.54</v>
      </c>
      <c r="H334">
        <v>4.09</v>
      </c>
      <c r="I334">
        <v>151.01</v>
      </c>
      <c r="J334">
        <v>28.69</v>
      </c>
      <c r="K334">
        <v>55.85</v>
      </c>
    </row>
    <row r="335" spans="2:11" x14ac:dyDescent="0.2">
      <c r="B335" s="3">
        <v>45292</v>
      </c>
      <c r="C335">
        <v>1.3238000000000001</v>
      </c>
      <c r="D335">
        <v>10.075049999999999</v>
      </c>
      <c r="E335" s="3">
        <v>45281</v>
      </c>
      <c r="F335">
        <v>2375.1370000000002</v>
      </c>
      <c r="G335">
        <v>39.43</v>
      </c>
      <c r="H335">
        <v>4.16</v>
      </c>
      <c r="I335">
        <v>150.5</v>
      </c>
      <c r="J335">
        <v>27.65</v>
      </c>
      <c r="K335">
        <v>55.95</v>
      </c>
    </row>
    <row r="336" spans="2:11" x14ac:dyDescent="0.2">
      <c r="B336" s="3">
        <v>45289</v>
      </c>
      <c r="C336">
        <v>1.3247500000000001</v>
      </c>
      <c r="D336">
        <v>10.0685</v>
      </c>
      <c r="E336" s="3">
        <v>45280</v>
      </c>
      <c r="F336">
        <v>2390.8440000000001</v>
      </c>
      <c r="G336">
        <v>38.36</v>
      </c>
      <c r="H336">
        <v>4.1500000000000004</v>
      </c>
      <c r="I336">
        <v>148.47</v>
      </c>
      <c r="J336">
        <v>26.35</v>
      </c>
      <c r="K336">
        <v>54.84</v>
      </c>
    </row>
    <row r="337" spans="2:11" x14ac:dyDescent="0.2">
      <c r="B337" s="3">
        <v>45288</v>
      </c>
      <c r="C337">
        <v>1.3230999999999999</v>
      </c>
      <c r="D337">
        <v>9.9885999999999999</v>
      </c>
      <c r="E337" s="3">
        <v>45279</v>
      </c>
      <c r="F337">
        <v>2384.5410000000002</v>
      </c>
      <c r="G337">
        <v>39.159999999999997</v>
      </c>
      <c r="H337">
        <v>4.1399999999999997</v>
      </c>
      <c r="I337">
        <v>154</v>
      </c>
      <c r="J337">
        <v>23.19</v>
      </c>
      <c r="K337">
        <v>54.96</v>
      </c>
    </row>
    <row r="338" spans="2:11" x14ac:dyDescent="0.2">
      <c r="B338" s="3">
        <v>45287</v>
      </c>
      <c r="C338">
        <v>1.3209</v>
      </c>
      <c r="D338">
        <v>9.9404500000000002</v>
      </c>
      <c r="E338" s="3">
        <v>45278</v>
      </c>
      <c r="F338">
        <v>2374.17</v>
      </c>
      <c r="G338">
        <v>39.39</v>
      </c>
      <c r="H338">
        <v>4.12</v>
      </c>
      <c r="I338">
        <v>153.59</v>
      </c>
      <c r="J338">
        <v>23.22</v>
      </c>
      <c r="K338">
        <v>55.23</v>
      </c>
    </row>
    <row r="339" spans="2:11" x14ac:dyDescent="0.2">
      <c r="B339" s="3">
        <v>45286</v>
      </c>
      <c r="C339">
        <v>1.31955</v>
      </c>
      <c r="D339">
        <v>9.9968000000000004</v>
      </c>
      <c r="E339" s="3">
        <v>45275</v>
      </c>
      <c r="F339">
        <v>2386.433</v>
      </c>
      <c r="G339">
        <v>39.49</v>
      </c>
      <c r="H339">
        <v>4.2</v>
      </c>
      <c r="I339">
        <v>153.13999999999999</v>
      </c>
      <c r="J339">
        <v>23.82</v>
      </c>
      <c r="K339">
        <v>55</v>
      </c>
    </row>
    <row r="340" spans="2:11" x14ac:dyDescent="0.2">
      <c r="B340" s="3">
        <v>45285</v>
      </c>
      <c r="C340">
        <v>1.3250999999999999</v>
      </c>
      <c r="D340">
        <v>10.03745</v>
      </c>
      <c r="E340" s="3">
        <v>45274</v>
      </c>
      <c r="F340">
        <v>2365.2530000000002</v>
      </c>
      <c r="G340">
        <v>38.9</v>
      </c>
      <c r="H340">
        <v>4.2300000000000004</v>
      </c>
      <c r="I340">
        <v>155.29</v>
      </c>
      <c r="J340">
        <v>24.4</v>
      </c>
      <c r="K340">
        <v>55.74</v>
      </c>
    </row>
    <row r="341" spans="2:11" x14ac:dyDescent="0.2">
      <c r="B341" s="3">
        <v>45282</v>
      </c>
      <c r="C341">
        <v>1.3273999999999999</v>
      </c>
      <c r="D341">
        <v>10.002000000000001</v>
      </c>
      <c r="E341" s="3">
        <v>45273</v>
      </c>
      <c r="F341">
        <v>2322.7550000000001</v>
      </c>
      <c r="G341">
        <v>38.020000000000003</v>
      </c>
      <c r="H341">
        <v>4.1399999999999997</v>
      </c>
      <c r="I341">
        <v>154.63</v>
      </c>
      <c r="J341">
        <v>23.18</v>
      </c>
      <c r="K341">
        <v>55.36</v>
      </c>
    </row>
    <row r="342" spans="2:11" x14ac:dyDescent="0.2">
      <c r="B342" s="3">
        <v>45281</v>
      </c>
      <c r="C342">
        <v>1.3282</v>
      </c>
      <c r="D342">
        <v>10.087999999999999</v>
      </c>
      <c r="E342" s="3">
        <v>45272</v>
      </c>
      <c r="F342">
        <v>2334.7280000000001</v>
      </c>
      <c r="G342">
        <v>37.369999999999997</v>
      </c>
      <c r="H342">
        <v>4.2699999999999996</v>
      </c>
      <c r="I342">
        <v>151.46</v>
      </c>
      <c r="J342">
        <v>23.93</v>
      </c>
      <c r="K342">
        <v>55.09</v>
      </c>
    </row>
    <row r="343" spans="2:11" x14ac:dyDescent="0.2">
      <c r="B343" s="3">
        <v>45280</v>
      </c>
      <c r="C343">
        <v>1.3369500000000001</v>
      </c>
      <c r="D343">
        <v>10.17685</v>
      </c>
      <c r="E343" s="3">
        <v>45271</v>
      </c>
      <c r="F343">
        <v>2339.7840000000001</v>
      </c>
      <c r="G343">
        <v>37.6</v>
      </c>
      <c r="H343">
        <v>4.3600000000000003</v>
      </c>
      <c r="I343">
        <v>152.38</v>
      </c>
      <c r="J343">
        <v>24.31</v>
      </c>
      <c r="K343">
        <v>54.74</v>
      </c>
    </row>
    <row r="344" spans="2:11" x14ac:dyDescent="0.2">
      <c r="B344" s="3">
        <v>45279</v>
      </c>
      <c r="C344">
        <v>1.3332999999999999</v>
      </c>
      <c r="D344">
        <v>10.1571</v>
      </c>
      <c r="E344" s="3">
        <v>45268</v>
      </c>
      <c r="F344">
        <v>2313.011</v>
      </c>
      <c r="G344">
        <v>36.96</v>
      </c>
      <c r="H344">
        <v>4.2</v>
      </c>
      <c r="I344">
        <v>154.47</v>
      </c>
      <c r="J344">
        <v>23.25</v>
      </c>
      <c r="K344">
        <v>54.26</v>
      </c>
    </row>
    <row r="345" spans="2:11" x14ac:dyDescent="0.2">
      <c r="B345" s="3">
        <v>45278</v>
      </c>
      <c r="C345">
        <v>1.33985</v>
      </c>
      <c r="D345">
        <v>10.2096</v>
      </c>
      <c r="E345" s="3">
        <v>45267</v>
      </c>
      <c r="F345">
        <v>2287.1350000000002</v>
      </c>
      <c r="G345">
        <v>36.270000000000003</v>
      </c>
      <c r="H345">
        <v>4.09</v>
      </c>
      <c r="I345">
        <v>154.44999999999999</v>
      </c>
      <c r="J345">
        <v>23.65</v>
      </c>
      <c r="K345">
        <v>54.1</v>
      </c>
    </row>
    <row r="346" spans="2:11" x14ac:dyDescent="0.2">
      <c r="B346" s="3">
        <v>45275</v>
      </c>
      <c r="C346">
        <v>1.33815</v>
      </c>
      <c r="D346">
        <v>10.274699999999999</v>
      </c>
      <c r="E346" s="3">
        <v>45266</v>
      </c>
      <c r="F346">
        <v>2289.636</v>
      </c>
      <c r="G346">
        <v>35.15</v>
      </c>
      <c r="H346">
        <v>3.99</v>
      </c>
      <c r="I346">
        <v>151.6</v>
      </c>
      <c r="J346">
        <v>23.07</v>
      </c>
      <c r="K346">
        <v>54.02</v>
      </c>
    </row>
    <row r="347" spans="2:11" x14ac:dyDescent="0.2">
      <c r="B347" s="3">
        <v>45274</v>
      </c>
      <c r="C347">
        <v>1.3407</v>
      </c>
      <c r="D347">
        <v>10.24245</v>
      </c>
      <c r="E347" s="3">
        <v>45265</v>
      </c>
      <c r="F347">
        <v>2267.7979999999998</v>
      </c>
      <c r="G347">
        <v>36.86</v>
      </c>
      <c r="H347">
        <v>4.05</v>
      </c>
      <c r="I347">
        <v>152.5</v>
      </c>
      <c r="J347">
        <v>23.25</v>
      </c>
      <c r="K347">
        <v>54.63</v>
      </c>
    </row>
    <row r="348" spans="2:11" x14ac:dyDescent="0.2">
      <c r="B348" s="3">
        <v>45273</v>
      </c>
      <c r="C348">
        <v>1.3519000000000001</v>
      </c>
      <c r="D348">
        <v>10.33175</v>
      </c>
      <c r="E348" s="3">
        <v>45264</v>
      </c>
      <c r="F348">
        <v>2253.8000000000002</v>
      </c>
      <c r="G348">
        <v>36.369999999999997</v>
      </c>
      <c r="H348">
        <v>4.09</v>
      </c>
      <c r="I348">
        <v>152.75</v>
      </c>
      <c r="J348">
        <v>23.81</v>
      </c>
      <c r="K348">
        <v>54.53</v>
      </c>
    </row>
    <row r="349" spans="2:11" x14ac:dyDescent="0.2">
      <c r="B349" s="3">
        <v>45272</v>
      </c>
      <c r="C349">
        <v>1.359</v>
      </c>
      <c r="D349">
        <v>10.436400000000001</v>
      </c>
      <c r="E349" s="3">
        <v>45261</v>
      </c>
      <c r="F349">
        <v>2250.2139999999999</v>
      </c>
      <c r="G349">
        <v>36.64</v>
      </c>
      <c r="H349">
        <v>4.05</v>
      </c>
      <c r="I349">
        <v>154.65</v>
      </c>
      <c r="J349">
        <v>24.07</v>
      </c>
      <c r="K349">
        <v>54.94</v>
      </c>
    </row>
    <row r="350" spans="2:11" x14ac:dyDescent="0.2">
      <c r="B350" s="3">
        <v>45271</v>
      </c>
      <c r="C350">
        <v>1.3575999999999999</v>
      </c>
      <c r="D350">
        <v>10.49145</v>
      </c>
      <c r="E350" s="3">
        <v>45260</v>
      </c>
      <c r="F350">
        <v>2232.462</v>
      </c>
      <c r="G350">
        <v>36.56</v>
      </c>
      <c r="H350">
        <v>3.98</v>
      </c>
      <c r="I350">
        <v>151</v>
      </c>
      <c r="J350">
        <v>23.3</v>
      </c>
      <c r="K350">
        <v>54.29</v>
      </c>
    </row>
    <row r="351" spans="2:11" x14ac:dyDescent="0.2">
      <c r="B351" s="3">
        <v>45268</v>
      </c>
      <c r="C351">
        <v>1.3589</v>
      </c>
      <c r="D351">
        <v>10.4665</v>
      </c>
      <c r="E351" s="3">
        <v>45259</v>
      </c>
      <c r="F351">
        <v>2232.9989999999998</v>
      </c>
      <c r="G351">
        <v>37.090000000000003</v>
      </c>
      <c r="H351">
        <v>4.08</v>
      </c>
      <c r="I351">
        <v>151.38999999999999</v>
      </c>
      <c r="J351">
        <v>24.58</v>
      </c>
      <c r="K351">
        <v>55.33</v>
      </c>
    </row>
    <row r="352" spans="2:11" x14ac:dyDescent="0.2">
      <c r="B352" s="3">
        <v>45267</v>
      </c>
      <c r="C352">
        <v>1.3595999999999999</v>
      </c>
      <c r="D352">
        <v>10.389699999999999</v>
      </c>
      <c r="E352" s="3">
        <v>45258</v>
      </c>
      <c r="F352">
        <v>2214.806</v>
      </c>
      <c r="G352">
        <v>36.630000000000003</v>
      </c>
      <c r="H352">
        <v>4.1399999999999997</v>
      </c>
      <c r="I352">
        <v>151.27000000000001</v>
      </c>
      <c r="J352">
        <v>24.85</v>
      </c>
      <c r="K352">
        <v>54.78</v>
      </c>
    </row>
    <row r="353" spans="2:11" x14ac:dyDescent="0.2">
      <c r="B353" s="3">
        <v>45266</v>
      </c>
      <c r="C353">
        <v>1.3593</v>
      </c>
      <c r="D353">
        <v>10.47655</v>
      </c>
      <c r="E353" s="3">
        <v>45257</v>
      </c>
      <c r="F353">
        <v>2226.8530000000001</v>
      </c>
      <c r="G353">
        <v>36.840000000000003</v>
      </c>
      <c r="H353">
        <v>4.1100000000000003</v>
      </c>
      <c r="I353">
        <v>151.76</v>
      </c>
      <c r="J353">
        <v>22.97</v>
      </c>
      <c r="K353">
        <v>54.14</v>
      </c>
    </row>
    <row r="354" spans="2:11" x14ac:dyDescent="0.2">
      <c r="B354" s="3">
        <v>45265</v>
      </c>
      <c r="C354">
        <v>1.3592500000000001</v>
      </c>
      <c r="D354">
        <v>10.4887</v>
      </c>
      <c r="E354" s="3">
        <v>45254</v>
      </c>
      <c r="F354">
        <v>2229.3719999999998</v>
      </c>
      <c r="G354">
        <v>36.799999999999997</v>
      </c>
      <c r="H354">
        <v>4.21</v>
      </c>
      <c r="I354">
        <v>150.53</v>
      </c>
      <c r="J354">
        <v>24.11</v>
      </c>
      <c r="K354">
        <v>53.3</v>
      </c>
    </row>
    <row r="355" spans="2:11" x14ac:dyDescent="0.2">
      <c r="B355" s="3">
        <v>45264</v>
      </c>
      <c r="C355">
        <v>1.35375</v>
      </c>
      <c r="D355">
        <v>10.436349999999999</v>
      </c>
      <c r="E355" s="3">
        <v>45253</v>
      </c>
      <c r="F355">
        <v>2226.3440000000001</v>
      </c>
      <c r="G355">
        <v>37.07</v>
      </c>
      <c r="H355">
        <v>4.1500000000000004</v>
      </c>
      <c r="I355">
        <v>151.28</v>
      </c>
      <c r="J355">
        <v>24.25</v>
      </c>
      <c r="K355">
        <v>53.23</v>
      </c>
    </row>
    <row r="356" spans="2:11" x14ac:dyDescent="0.2">
      <c r="B356" s="3">
        <v>45261</v>
      </c>
      <c r="C356">
        <v>1.3499000000000001</v>
      </c>
      <c r="D356">
        <v>10.3689</v>
      </c>
      <c r="E356" s="3">
        <v>45252</v>
      </c>
      <c r="F356">
        <v>2213.183</v>
      </c>
      <c r="G356">
        <v>36.450000000000003</v>
      </c>
      <c r="H356">
        <v>4.1500000000000004</v>
      </c>
      <c r="I356">
        <v>151.4</v>
      </c>
      <c r="J356">
        <v>23.15</v>
      </c>
      <c r="K356">
        <v>53.01</v>
      </c>
    </row>
    <row r="357" spans="2:11" x14ac:dyDescent="0.2">
      <c r="B357" s="3">
        <v>45260</v>
      </c>
      <c r="C357">
        <v>1.35625</v>
      </c>
      <c r="D357">
        <v>10.5009</v>
      </c>
      <c r="E357" s="3">
        <v>45251</v>
      </c>
      <c r="F357">
        <v>2197.0839999999998</v>
      </c>
      <c r="G357">
        <v>36.700000000000003</v>
      </c>
      <c r="H357">
        <v>4.0999999999999996</v>
      </c>
      <c r="I357">
        <v>152</v>
      </c>
      <c r="J357">
        <v>23.28</v>
      </c>
      <c r="K357">
        <v>53.06</v>
      </c>
    </row>
    <row r="358" spans="2:11" x14ac:dyDescent="0.2">
      <c r="B358" s="3">
        <v>45259</v>
      </c>
      <c r="C358">
        <v>1.3589500000000001</v>
      </c>
      <c r="D358">
        <v>10.364750000000001</v>
      </c>
      <c r="E358" s="3">
        <v>45250</v>
      </c>
      <c r="F358">
        <v>2206.3409999999999</v>
      </c>
      <c r="G358">
        <v>38.61</v>
      </c>
      <c r="H358">
        <v>4.1100000000000003</v>
      </c>
      <c r="I358">
        <v>152.06</v>
      </c>
      <c r="J358">
        <v>23.25</v>
      </c>
      <c r="K358">
        <v>53.43</v>
      </c>
    </row>
    <row r="359" spans="2:11" x14ac:dyDescent="0.2">
      <c r="B359" s="3">
        <v>45258</v>
      </c>
      <c r="C359">
        <v>1.35745</v>
      </c>
      <c r="D359">
        <v>10.31865</v>
      </c>
      <c r="E359" s="3">
        <v>45247</v>
      </c>
      <c r="F359">
        <v>2198.826</v>
      </c>
      <c r="G359">
        <v>38.46</v>
      </c>
      <c r="H359">
        <v>4</v>
      </c>
      <c r="I359">
        <v>151.80000000000001</v>
      </c>
      <c r="J359">
        <v>21.98</v>
      </c>
      <c r="K359">
        <v>53.14</v>
      </c>
    </row>
    <row r="360" spans="2:11" x14ac:dyDescent="0.2">
      <c r="B360" s="3">
        <v>45257</v>
      </c>
      <c r="C360">
        <v>1.3616999999999999</v>
      </c>
      <c r="D360">
        <v>10.4267</v>
      </c>
      <c r="E360" s="3">
        <v>45246</v>
      </c>
      <c r="F360">
        <v>2171.5349999999999</v>
      </c>
      <c r="G360">
        <v>37.840000000000003</v>
      </c>
      <c r="H360">
        <v>3.97</v>
      </c>
      <c r="I360">
        <v>151.94999999999999</v>
      </c>
      <c r="J360">
        <v>21</v>
      </c>
      <c r="K360">
        <v>53.03</v>
      </c>
    </row>
    <row r="361" spans="2:11" x14ac:dyDescent="0.2">
      <c r="B361" s="3">
        <v>45254</v>
      </c>
      <c r="C361">
        <v>1.3636999999999999</v>
      </c>
      <c r="D361">
        <v>10.440799999999999</v>
      </c>
      <c r="E361" s="3">
        <v>45245</v>
      </c>
      <c r="F361">
        <v>2192.9650000000001</v>
      </c>
      <c r="G361">
        <v>37.25</v>
      </c>
      <c r="H361">
        <v>3.99</v>
      </c>
      <c r="I361">
        <v>151.53</v>
      </c>
      <c r="J361">
        <v>21.54</v>
      </c>
      <c r="K361">
        <v>52.64</v>
      </c>
    </row>
    <row r="362" spans="2:11" x14ac:dyDescent="0.2">
      <c r="B362" s="3">
        <v>45253</v>
      </c>
      <c r="C362">
        <v>1.36955</v>
      </c>
      <c r="D362">
        <v>10.48785</v>
      </c>
      <c r="E362" s="3">
        <v>45244</v>
      </c>
      <c r="F362">
        <v>2169.9789999999998</v>
      </c>
      <c r="G362">
        <v>36.79</v>
      </c>
      <c r="H362">
        <v>3.72</v>
      </c>
      <c r="I362">
        <v>150.84</v>
      </c>
      <c r="J362">
        <v>21.01</v>
      </c>
      <c r="K362">
        <v>51.41</v>
      </c>
    </row>
    <row r="363" spans="2:11" x14ac:dyDescent="0.2">
      <c r="B363" s="3">
        <v>45252</v>
      </c>
      <c r="C363">
        <v>1.3689</v>
      </c>
      <c r="D363">
        <v>10.4724</v>
      </c>
      <c r="E363" s="3">
        <v>45243</v>
      </c>
      <c r="F363">
        <v>2122.625</v>
      </c>
      <c r="G363">
        <v>35.35</v>
      </c>
      <c r="H363">
        <v>3.32</v>
      </c>
      <c r="I363">
        <v>149.26</v>
      </c>
      <c r="J363">
        <v>20.85</v>
      </c>
      <c r="K363">
        <v>50.82</v>
      </c>
    </row>
    <row r="364" spans="2:11" x14ac:dyDescent="0.2">
      <c r="B364" s="3">
        <v>45251</v>
      </c>
      <c r="C364">
        <v>1.3701000000000001</v>
      </c>
      <c r="D364">
        <v>10.4666</v>
      </c>
      <c r="E364" s="3">
        <v>45240</v>
      </c>
      <c r="F364">
        <v>2115.38</v>
      </c>
      <c r="G364">
        <v>35.119999999999997</v>
      </c>
      <c r="H364">
        <v>3.37</v>
      </c>
      <c r="I364">
        <v>149.82</v>
      </c>
      <c r="J364">
        <v>21.4</v>
      </c>
      <c r="K364">
        <v>50.53</v>
      </c>
    </row>
    <row r="365" spans="2:11" x14ac:dyDescent="0.2">
      <c r="B365" s="3">
        <v>45250</v>
      </c>
      <c r="C365">
        <v>1.3726</v>
      </c>
      <c r="D365">
        <v>10.449949999999999</v>
      </c>
      <c r="E365" s="3">
        <v>45239</v>
      </c>
      <c r="F365">
        <v>2137.9769999999999</v>
      </c>
      <c r="G365">
        <v>33.76</v>
      </c>
      <c r="H365">
        <v>3.21</v>
      </c>
      <c r="I365">
        <v>149.19</v>
      </c>
      <c r="J365">
        <v>20.75</v>
      </c>
      <c r="K365">
        <v>49.76</v>
      </c>
    </row>
    <row r="366" spans="2:11" x14ac:dyDescent="0.2">
      <c r="B366" s="3">
        <v>45247</v>
      </c>
      <c r="C366">
        <v>1.3720000000000001</v>
      </c>
      <c r="D366">
        <v>10.5191</v>
      </c>
      <c r="E366" s="3">
        <v>45238</v>
      </c>
      <c r="F366">
        <v>2114.3200000000002</v>
      </c>
      <c r="G366">
        <v>34.42</v>
      </c>
      <c r="H366">
        <v>3.24</v>
      </c>
      <c r="I366">
        <v>149.74</v>
      </c>
      <c r="J366">
        <v>20.59</v>
      </c>
      <c r="K366">
        <v>49.95</v>
      </c>
    </row>
    <row r="367" spans="2:11" x14ac:dyDescent="0.2">
      <c r="B367" s="3">
        <v>45246</v>
      </c>
      <c r="C367">
        <v>1.3756999999999999</v>
      </c>
      <c r="D367">
        <v>10.592000000000001</v>
      </c>
      <c r="E367" s="3">
        <v>45237</v>
      </c>
      <c r="F367">
        <v>2116.0639999999999</v>
      </c>
      <c r="G367">
        <v>34.130000000000003</v>
      </c>
      <c r="H367">
        <v>3.11</v>
      </c>
      <c r="I367">
        <v>149.85</v>
      </c>
      <c r="J367">
        <v>20.100000000000001</v>
      </c>
      <c r="K367">
        <v>49.76</v>
      </c>
    </row>
    <row r="368" spans="2:11" x14ac:dyDescent="0.2">
      <c r="B368" s="3">
        <v>45245</v>
      </c>
      <c r="C368">
        <v>1.3680000000000001</v>
      </c>
      <c r="D368">
        <v>10.554500000000001</v>
      </c>
      <c r="E368" s="3">
        <v>45236</v>
      </c>
      <c r="F368">
        <v>2123.4960000000001</v>
      </c>
      <c r="G368">
        <v>34.020000000000003</v>
      </c>
      <c r="H368">
        <v>3.15</v>
      </c>
      <c r="I368">
        <v>148.49</v>
      </c>
      <c r="J368">
        <v>19.899999999999999</v>
      </c>
      <c r="K368">
        <v>48.77</v>
      </c>
    </row>
    <row r="369" spans="2:11" x14ac:dyDescent="0.2">
      <c r="B369" s="3">
        <v>45244</v>
      </c>
      <c r="C369">
        <v>1.3693</v>
      </c>
      <c r="D369">
        <v>10.591850000000001</v>
      </c>
      <c r="E369" s="3">
        <v>45233</v>
      </c>
      <c r="F369">
        <v>2126.7559999999999</v>
      </c>
      <c r="G369">
        <v>35.08</v>
      </c>
      <c r="H369">
        <v>3.02</v>
      </c>
      <c r="I369">
        <v>146.37</v>
      </c>
      <c r="J369">
        <v>20</v>
      </c>
      <c r="K369">
        <v>49.63</v>
      </c>
    </row>
    <row r="370" spans="2:11" x14ac:dyDescent="0.2">
      <c r="B370" s="3">
        <v>45243</v>
      </c>
      <c r="C370">
        <v>1.3801000000000001</v>
      </c>
      <c r="D370">
        <v>10.838900000000001</v>
      </c>
      <c r="E370" s="3">
        <v>45232</v>
      </c>
      <c r="F370">
        <v>2110.8020000000001</v>
      </c>
      <c r="G370">
        <v>34.07</v>
      </c>
      <c r="H370">
        <v>3</v>
      </c>
      <c r="I370">
        <v>143.69</v>
      </c>
      <c r="J370">
        <v>18.3</v>
      </c>
      <c r="K370">
        <v>47.37</v>
      </c>
    </row>
    <row r="371" spans="2:11" x14ac:dyDescent="0.2">
      <c r="B371" s="3">
        <v>45240</v>
      </c>
      <c r="C371">
        <v>1.3801000000000001</v>
      </c>
      <c r="D371">
        <v>10.8995</v>
      </c>
      <c r="E371" s="3">
        <v>45231</v>
      </c>
      <c r="F371">
        <v>2073.4319999999998</v>
      </c>
      <c r="G371">
        <v>33.46</v>
      </c>
      <c r="H371">
        <v>2.74</v>
      </c>
      <c r="I371">
        <v>134.53</v>
      </c>
      <c r="J371">
        <v>17.440000000000001</v>
      </c>
      <c r="K371">
        <v>46.44</v>
      </c>
    </row>
    <row r="372" spans="2:11" x14ac:dyDescent="0.2">
      <c r="B372" s="3">
        <v>45239</v>
      </c>
      <c r="C372">
        <v>1.3807499999999999</v>
      </c>
      <c r="D372">
        <v>10.927250000000001</v>
      </c>
      <c r="E372" s="3">
        <v>45230</v>
      </c>
      <c r="F372">
        <v>2075.7910000000002</v>
      </c>
      <c r="G372">
        <v>32.369999999999997</v>
      </c>
      <c r="H372">
        <v>2.76</v>
      </c>
      <c r="I372">
        <v>135.41999999999999</v>
      </c>
      <c r="J372">
        <v>17.440000000000001</v>
      </c>
      <c r="K372">
        <v>46.3</v>
      </c>
    </row>
    <row r="373" spans="2:11" x14ac:dyDescent="0.2">
      <c r="B373" s="3">
        <v>45238</v>
      </c>
      <c r="C373">
        <v>1.3792500000000001</v>
      </c>
      <c r="D373">
        <v>10.8972</v>
      </c>
      <c r="E373" s="3">
        <v>45229</v>
      </c>
      <c r="F373">
        <v>2057.1439999999998</v>
      </c>
      <c r="G373">
        <v>30.73</v>
      </c>
      <c r="H373">
        <v>2.74</v>
      </c>
      <c r="I373">
        <v>133.94999999999999</v>
      </c>
      <c r="J373">
        <v>17.100000000000001</v>
      </c>
      <c r="K373">
        <v>46</v>
      </c>
    </row>
    <row r="374" spans="2:11" x14ac:dyDescent="0.2">
      <c r="B374" s="3">
        <v>45237</v>
      </c>
      <c r="C374">
        <v>1.3767</v>
      </c>
      <c r="D374">
        <v>10.919549999999999</v>
      </c>
      <c r="E374" s="3">
        <v>45226</v>
      </c>
      <c r="F374">
        <v>2049.6529999999998</v>
      </c>
      <c r="G374">
        <v>31.04</v>
      </c>
      <c r="H374">
        <v>2.74</v>
      </c>
      <c r="I374">
        <v>131.12</v>
      </c>
      <c r="J374">
        <v>17.100000000000001</v>
      </c>
      <c r="K374">
        <v>45.03</v>
      </c>
    </row>
    <row r="375" spans="2:11" x14ac:dyDescent="0.2">
      <c r="B375" s="3">
        <v>45236</v>
      </c>
      <c r="C375">
        <v>1.3698999999999999</v>
      </c>
      <c r="D375">
        <v>10.914199999999999</v>
      </c>
      <c r="E375" s="3">
        <v>45225</v>
      </c>
      <c r="F375">
        <v>2064.5509999999999</v>
      </c>
      <c r="G375">
        <v>31.36</v>
      </c>
      <c r="H375">
        <v>2.62</v>
      </c>
      <c r="I375">
        <v>132.72</v>
      </c>
      <c r="J375">
        <v>17.27</v>
      </c>
      <c r="K375">
        <v>44.63</v>
      </c>
    </row>
    <row r="376" spans="2:11" x14ac:dyDescent="0.2">
      <c r="B376" s="3">
        <v>45233</v>
      </c>
      <c r="C376">
        <v>1.36595</v>
      </c>
      <c r="D376">
        <v>10.882899999999999</v>
      </c>
      <c r="E376" s="3">
        <v>45224</v>
      </c>
      <c r="F376">
        <v>2073.84</v>
      </c>
      <c r="G376">
        <v>34.950000000000003</v>
      </c>
      <c r="H376">
        <v>2.69</v>
      </c>
      <c r="I376">
        <v>134.52000000000001</v>
      </c>
      <c r="J376">
        <v>17.95</v>
      </c>
      <c r="K376">
        <v>45.67</v>
      </c>
    </row>
    <row r="377" spans="2:11" x14ac:dyDescent="0.2">
      <c r="B377" s="3">
        <v>45232</v>
      </c>
      <c r="C377">
        <v>1.37395</v>
      </c>
      <c r="D377">
        <v>11.124700000000001</v>
      </c>
      <c r="E377" s="3">
        <v>45223</v>
      </c>
      <c r="F377">
        <v>2074.194</v>
      </c>
      <c r="G377">
        <v>35.700000000000003</v>
      </c>
      <c r="H377">
        <v>2.79</v>
      </c>
      <c r="I377">
        <v>136.04</v>
      </c>
      <c r="J377">
        <v>17.29</v>
      </c>
      <c r="K377">
        <v>45.84</v>
      </c>
    </row>
    <row r="378" spans="2:11" x14ac:dyDescent="0.2">
      <c r="B378" s="3">
        <v>45231</v>
      </c>
      <c r="C378">
        <v>1.38565</v>
      </c>
      <c r="D378">
        <v>11.1812</v>
      </c>
      <c r="E378" s="3">
        <v>45222</v>
      </c>
      <c r="F378">
        <v>2066.4969999999998</v>
      </c>
      <c r="G378">
        <v>35.21</v>
      </c>
      <c r="H378">
        <v>2.72</v>
      </c>
      <c r="I378">
        <v>133.38</v>
      </c>
      <c r="J378">
        <v>17.04</v>
      </c>
      <c r="K378">
        <v>45.42</v>
      </c>
    </row>
    <row r="379" spans="2:11" x14ac:dyDescent="0.2">
      <c r="B379" s="3">
        <v>45230</v>
      </c>
      <c r="C379">
        <v>1.3874500000000001</v>
      </c>
      <c r="D379">
        <v>11.176299999999999</v>
      </c>
      <c r="E379" s="3">
        <v>45219</v>
      </c>
      <c r="F379">
        <v>2077.6590000000001</v>
      </c>
      <c r="G379">
        <v>35.39</v>
      </c>
      <c r="H379">
        <v>2.74</v>
      </c>
      <c r="I379">
        <v>134.25</v>
      </c>
      <c r="J379">
        <v>17.71</v>
      </c>
      <c r="K379">
        <v>45.55</v>
      </c>
    </row>
    <row r="380" spans="2:11" x14ac:dyDescent="0.2">
      <c r="B380" s="3">
        <v>45229</v>
      </c>
      <c r="C380">
        <v>1.3826000000000001</v>
      </c>
      <c r="D380">
        <v>11.1448</v>
      </c>
      <c r="E380" s="3">
        <v>45218</v>
      </c>
      <c r="F380">
        <v>2121.8319999999999</v>
      </c>
      <c r="G380">
        <v>35.74</v>
      </c>
      <c r="H380">
        <v>2.33</v>
      </c>
      <c r="I380">
        <v>139.76</v>
      </c>
      <c r="J380">
        <v>18.22</v>
      </c>
      <c r="K380">
        <v>45.86</v>
      </c>
    </row>
    <row r="381" spans="2:11" x14ac:dyDescent="0.2">
      <c r="B381" s="3">
        <v>45226</v>
      </c>
      <c r="C381">
        <v>1.3871500000000001</v>
      </c>
      <c r="D381">
        <v>11.1493</v>
      </c>
      <c r="E381" s="3">
        <v>45217</v>
      </c>
      <c r="F381">
        <v>2144.4389999999999</v>
      </c>
      <c r="G381">
        <v>35.880000000000003</v>
      </c>
      <c r="H381">
        <v>2.33</v>
      </c>
      <c r="I381">
        <v>138.53</v>
      </c>
      <c r="J381">
        <v>18.989999999999998</v>
      </c>
      <c r="K381">
        <v>46.47</v>
      </c>
    </row>
    <row r="382" spans="2:11" x14ac:dyDescent="0.2">
      <c r="B382" s="3">
        <v>45225</v>
      </c>
      <c r="C382">
        <v>1.3831500000000001</v>
      </c>
      <c r="D382">
        <v>11.16605</v>
      </c>
      <c r="E382" s="3">
        <v>45216</v>
      </c>
      <c r="F382">
        <v>2172.2469999999998</v>
      </c>
      <c r="G382">
        <v>37.17</v>
      </c>
      <c r="H382">
        <v>2.54</v>
      </c>
      <c r="I382">
        <v>137.87</v>
      </c>
      <c r="J382">
        <v>19.399999999999999</v>
      </c>
      <c r="K382">
        <v>47.04</v>
      </c>
    </row>
    <row r="383" spans="2:11" x14ac:dyDescent="0.2">
      <c r="B383" s="3">
        <v>45224</v>
      </c>
      <c r="C383">
        <v>1.3795999999999999</v>
      </c>
      <c r="D383">
        <v>11.1478</v>
      </c>
      <c r="E383" s="3">
        <v>45215</v>
      </c>
      <c r="F383">
        <v>2190.7759999999998</v>
      </c>
      <c r="G383">
        <v>36.520000000000003</v>
      </c>
      <c r="H383">
        <v>2.64</v>
      </c>
      <c r="I383">
        <v>136.55000000000001</v>
      </c>
      <c r="J383">
        <v>19.38</v>
      </c>
      <c r="K383">
        <v>47.14</v>
      </c>
    </row>
    <row r="384" spans="2:11" x14ac:dyDescent="0.2">
      <c r="B384" s="3">
        <v>45223</v>
      </c>
      <c r="C384">
        <v>1.3738999999999999</v>
      </c>
      <c r="D384">
        <v>11.1168</v>
      </c>
      <c r="E384" s="3">
        <v>45212</v>
      </c>
      <c r="F384">
        <v>2189.8380000000002</v>
      </c>
      <c r="G384">
        <v>35.380000000000003</v>
      </c>
      <c r="H384">
        <v>2.66</v>
      </c>
      <c r="I384">
        <v>137.97999999999999</v>
      </c>
      <c r="J384">
        <v>19.32</v>
      </c>
      <c r="K384">
        <v>47.09</v>
      </c>
    </row>
    <row r="385" spans="2:11" x14ac:dyDescent="0.2">
      <c r="B385" s="3">
        <v>45222</v>
      </c>
      <c r="C385">
        <v>1.3691</v>
      </c>
      <c r="D385">
        <v>10.9763</v>
      </c>
      <c r="E385" s="3">
        <v>45211</v>
      </c>
      <c r="F385">
        <v>2212.1260000000002</v>
      </c>
      <c r="G385">
        <v>36.58</v>
      </c>
      <c r="H385">
        <v>2.69</v>
      </c>
      <c r="I385">
        <v>142.58000000000001</v>
      </c>
      <c r="J385">
        <v>19.850000000000001</v>
      </c>
      <c r="K385">
        <v>47.89</v>
      </c>
    </row>
    <row r="386" spans="2:11" x14ac:dyDescent="0.2">
      <c r="B386" s="3">
        <v>45219</v>
      </c>
      <c r="C386">
        <v>1.37165</v>
      </c>
      <c r="D386">
        <v>10.976100000000001</v>
      </c>
      <c r="E386" s="3">
        <v>45210</v>
      </c>
      <c r="F386">
        <v>2193.7089999999998</v>
      </c>
      <c r="G386">
        <v>36.03</v>
      </c>
      <c r="H386">
        <v>2.75</v>
      </c>
      <c r="I386">
        <v>145.69999999999999</v>
      </c>
      <c r="J386">
        <v>19.95</v>
      </c>
      <c r="K386">
        <v>49</v>
      </c>
    </row>
    <row r="387" spans="2:11" x14ac:dyDescent="0.2">
      <c r="B387" s="3">
        <v>45218</v>
      </c>
      <c r="C387">
        <v>1.3718999999999999</v>
      </c>
      <c r="D387">
        <v>10.960900000000001</v>
      </c>
      <c r="E387" s="3">
        <v>45209</v>
      </c>
      <c r="F387">
        <v>2193.0630000000001</v>
      </c>
      <c r="G387">
        <v>35.36</v>
      </c>
      <c r="H387">
        <v>2.83</v>
      </c>
      <c r="I387">
        <v>146.66</v>
      </c>
      <c r="J387">
        <v>20.5</v>
      </c>
      <c r="K387">
        <v>48.31</v>
      </c>
    </row>
    <row r="388" spans="2:11" x14ac:dyDescent="0.2">
      <c r="B388" s="3">
        <v>45217</v>
      </c>
      <c r="C388">
        <v>1.3715999999999999</v>
      </c>
      <c r="D388">
        <v>11.027699999999999</v>
      </c>
      <c r="E388" s="3">
        <v>45208</v>
      </c>
      <c r="F388">
        <v>2133.2629999999999</v>
      </c>
    </row>
    <row r="389" spans="2:11" x14ac:dyDescent="0.2">
      <c r="B389" s="3">
        <v>45216</v>
      </c>
      <c r="C389">
        <v>1.3649500000000001</v>
      </c>
      <c r="D389">
        <v>10.90935</v>
      </c>
      <c r="E389" s="3">
        <v>45205</v>
      </c>
      <c r="F389">
        <v>2154.0169999999998</v>
      </c>
      <c r="G389">
        <v>36.07</v>
      </c>
      <c r="H389">
        <v>2.75</v>
      </c>
      <c r="I389">
        <v>148.69999999999999</v>
      </c>
      <c r="J389">
        <v>19.57</v>
      </c>
      <c r="K389">
        <v>48.26</v>
      </c>
    </row>
    <row r="390" spans="2:11" x14ac:dyDescent="0.2">
      <c r="B390" s="3">
        <v>45215</v>
      </c>
      <c r="C390">
        <v>1.3611</v>
      </c>
      <c r="D390">
        <v>10.919600000000001</v>
      </c>
      <c r="E390" s="3">
        <v>45204</v>
      </c>
      <c r="F390">
        <v>2127.0639999999999</v>
      </c>
      <c r="G390">
        <v>35.36</v>
      </c>
      <c r="H390">
        <v>2.79</v>
      </c>
      <c r="I390">
        <v>151.19999999999999</v>
      </c>
      <c r="J390">
        <v>19.5</v>
      </c>
      <c r="K390">
        <v>48.04</v>
      </c>
    </row>
    <row r="391" spans="2:11" x14ac:dyDescent="0.2">
      <c r="B391" s="3">
        <v>45212</v>
      </c>
      <c r="C391">
        <v>1.3658999999999999</v>
      </c>
      <c r="D391">
        <v>11.03645</v>
      </c>
      <c r="E391" s="3">
        <v>45203</v>
      </c>
      <c r="F391">
        <v>2116.7730000000001</v>
      </c>
      <c r="G391">
        <v>33.54</v>
      </c>
      <c r="H391">
        <v>2.82</v>
      </c>
      <c r="I391">
        <v>149.84</v>
      </c>
      <c r="J391">
        <v>19.63</v>
      </c>
      <c r="K391">
        <v>47.51</v>
      </c>
    </row>
    <row r="392" spans="2:11" x14ac:dyDescent="0.2">
      <c r="B392" s="3">
        <v>45211</v>
      </c>
      <c r="C392">
        <v>1.3691</v>
      </c>
      <c r="D392">
        <v>11.000999999999999</v>
      </c>
      <c r="E392" s="3">
        <v>45202</v>
      </c>
      <c r="F392">
        <v>2125.0549999999998</v>
      </c>
      <c r="G392">
        <v>32.51</v>
      </c>
      <c r="H392">
        <v>2.79</v>
      </c>
      <c r="I392">
        <v>149.13999999999999</v>
      </c>
      <c r="J392">
        <v>19.2</v>
      </c>
      <c r="K392">
        <v>46.8</v>
      </c>
    </row>
    <row r="393" spans="2:11" x14ac:dyDescent="0.2">
      <c r="B393" s="3">
        <v>45210</v>
      </c>
      <c r="C393">
        <v>1.3593999999999999</v>
      </c>
      <c r="D393">
        <v>10.906650000000001</v>
      </c>
      <c r="E393" s="3">
        <v>45201</v>
      </c>
      <c r="F393">
        <v>2145.9659999999999</v>
      </c>
      <c r="G393">
        <v>33.299999999999997</v>
      </c>
      <c r="H393">
        <v>2.77</v>
      </c>
      <c r="I393">
        <v>150</v>
      </c>
      <c r="J393">
        <v>19.850000000000001</v>
      </c>
      <c r="K393">
        <v>47.82</v>
      </c>
    </row>
    <row r="394" spans="2:11" x14ac:dyDescent="0.2">
      <c r="B394" s="3">
        <v>45209</v>
      </c>
      <c r="C394">
        <v>1.3584000000000001</v>
      </c>
      <c r="D394">
        <v>10.873250000000001</v>
      </c>
      <c r="E394" s="3">
        <v>45198</v>
      </c>
      <c r="F394">
        <v>2155.4859999999999</v>
      </c>
      <c r="G394">
        <v>33.24</v>
      </c>
      <c r="H394">
        <v>2.78</v>
      </c>
      <c r="I394">
        <v>153.18</v>
      </c>
      <c r="J394">
        <v>20.12</v>
      </c>
      <c r="K394">
        <v>47.67</v>
      </c>
    </row>
    <row r="395" spans="2:11" x14ac:dyDescent="0.2">
      <c r="B395" s="3">
        <v>45208</v>
      </c>
      <c r="C395">
        <v>1.3590500000000001</v>
      </c>
      <c r="D395">
        <v>10.96415</v>
      </c>
      <c r="E395" s="3">
        <v>45197</v>
      </c>
      <c r="F395">
        <v>2137.6460000000002</v>
      </c>
      <c r="G395">
        <v>32.909999999999997</v>
      </c>
      <c r="H395">
        <v>2.8</v>
      </c>
      <c r="I395">
        <v>148.54</v>
      </c>
      <c r="J395">
        <v>20.09</v>
      </c>
      <c r="K395">
        <v>47.09</v>
      </c>
    </row>
    <row r="396" spans="2:11" x14ac:dyDescent="0.2">
      <c r="B396" s="3">
        <v>45205</v>
      </c>
      <c r="C396">
        <v>1.3663000000000001</v>
      </c>
      <c r="D396">
        <v>10.959949999999999</v>
      </c>
      <c r="E396" s="3">
        <v>45196</v>
      </c>
      <c r="F396">
        <v>2130.3229999999999</v>
      </c>
      <c r="G396">
        <v>31.43</v>
      </c>
      <c r="H396">
        <v>2.79</v>
      </c>
      <c r="I396">
        <v>148.12</v>
      </c>
      <c r="J396">
        <v>19.46</v>
      </c>
      <c r="K396">
        <v>46.8</v>
      </c>
    </row>
    <row r="397" spans="2:11" x14ac:dyDescent="0.2">
      <c r="B397" s="3">
        <v>45204</v>
      </c>
      <c r="C397">
        <v>1.3706</v>
      </c>
      <c r="D397">
        <v>11.0015</v>
      </c>
      <c r="E397" s="3">
        <v>45195</v>
      </c>
      <c r="F397">
        <v>2133.1570000000002</v>
      </c>
      <c r="G397">
        <v>30.5</v>
      </c>
      <c r="H397">
        <v>2.75</v>
      </c>
      <c r="I397">
        <v>147.85</v>
      </c>
      <c r="J397">
        <v>20.04</v>
      </c>
      <c r="K397">
        <v>46.84</v>
      </c>
    </row>
    <row r="398" spans="2:11" x14ac:dyDescent="0.2">
      <c r="B398" s="3">
        <v>45203</v>
      </c>
      <c r="C398">
        <v>1.3745000000000001</v>
      </c>
      <c r="D398">
        <v>11.068250000000001</v>
      </c>
      <c r="E398" s="3">
        <v>45194</v>
      </c>
      <c r="F398">
        <v>2156.1219999999998</v>
      </c>
      <c r="G398">
        <v>31</v>
      </c>
      <c r="H398">
        <v>2.81</v>
      </c>
      <c r="I398">
        <v>152.16</v>
      </c>
      <c r="J398">
        <v>20.56</v>
      </c>
      <c r="K398">
        <v>47.88</v>
      </c>
    </row>
    <row r="399" spans="2:11" x14ac:dyDescent="0.2">
      <c r="B399" s="3">
        <v>45202</v>
      </c>
      <c r="C399">
        <v>1.3708499999999999</v>
      </c>
      <c r="D399">
        <v>11.087899999999999</v>
      </c>
      <c r="E399" s="3">
        <v>45191</v>
      </c>
      <c r="F399">
        <v>2165.9369999999999</v>
      </c>
      <c r="G399">
        <v>30.38</v>
      </c>
      <c r="H399">
        <v>2.79</v>
      </c>
      <c r="I399">
        <v>153.69999999999999</v>
      </c>
      <c r="J399">
        <v>20.38</v>
      </c>
      <c r="K399">
        <v>48.02</v>
      </c>
    </row>
    <row r="400" spans="2:11" x14ac:dyDescent="0.2">
      <c r="B400" s="3">
        <v>45201</v>
      </c>
      <c r="C400">
        <v>1.36765</v>
      </c>
      <c r="D400">
        <v>11.0535</v>
      </c>
      <c r="E400" s="3">
        <v>45190</v>
      </c>
      <c r="F400">
        <v>2178.8249999999998</v>
      </c>
      <c r="G400">
        <v>30.09</v>
      </c>
      <c r="H400">
        <v>2.78</v>
      </c>
      <c r="I400">
        <v>154.21</v>
      </c>
      <c r="J400">
        <v>20.75</v>
      </c>
      <c r="K400">
        <v>47.74</v>
      </c>
    </row>
    <row r="401" spans="2:11" x14ac:dyDescent="0.2">
      <c r="B401" s="3">
        <v>45198</v>
      </c>
      <c r="C401">
        <v>1.35775</v>
      </c>
      <c r="D401">
        <v>10.921200000000001</v>
      </c>
      <c r="E401" s="3">
        <v>45189</v>
      </c>
      <c r="F401">
        <v>2202.4459999999999</v>
      </c>
      <c r="G401">
        <v>30.28</v>
      </c>
      <c r="H401">
        <v>2.87</v>
      </c>
      <c r="I401">
        <v>159.43</v>
      </c>
      <c r="J401">
        <v>20.7</v>
      </c>
      <c r="K401">
        <v>49.69</v>
      </c>
    </row>
    <row r="402" spans="2:11" x14ac:dyDescent="0.2">
      <c r="B402" s="3">
        <v>45197</v>
      </c>
      <c r="C402">
        <v>1.3488</v>
      </c>
      <c r="D402">
        <v>10.921099999999999</v>
      </c>
      <c r="E402" s="3">
        <v>45188</v>
      </c>
      <c r="F402">
        <v>2177.1990000000001</v>
      </c>
      <c r="G402">
        <v>30.5</v>
      </c>
      <c r="H402">
        <v>2.99</v>
      </c>
      <c r="I402">
        <v>160.74</v>
      </c>
      <c r="J402">
        <v>21.04</v>
      </c>
      <c r="K402">
        <v>50.09</v>
      </c>
    </row>
    <row r="403" spans="2:11" x14ac:dyDescent="0.2">
      <c r="B403" s="3">
        <v>45196</v>
      </c>
      <c r="C403">
        <v>1.3498000000000001</v>
      </c>
      <c r="D403">
        <v>11.067600000000001</v>
      </c>
      <c r="E403" s="3">
        <v>45187</v>
      </c>
      <c r="F403">
        <v>2187.0189999999998</v>
      </c>
      <c r="G403">
        <v>30.72</v>
      </c>
      <c r="H403">
        <v>2.96</v>
      </c>
      <c r="I403">
        <v>165.4</v>
      </c>
      <c r="J403">
        <v>21.6</v>
      </c>
      <c r="K403">
        <v>52.4</v>
      </c>
    </row>
    <row r="404" spans="2:11" x14ac:dyDescent="0.2">
      <c r="B404" s="3">
        <v>45195</v>
      </c>
      <c r="C404">
        <v>1.3516999999999999</v>
      </c>
      <c r="D404">
        <v>10.9945</v>
      </c>
      <c r="E404" s="3">
        <v>45184</v>
      </c>
      <c r="F404">
        <v>2195.1970000000001</v>
      </c>
      <c r="G404">
        <v>30.81</v>
      </c>
      <c r="H404">
        <v>3</v>
      </c>
      <c r="I404">
        <v>165.42</v>
      </c>
      <c r="J404">
        <v>21.8</v>
      </c>
      <c r="K404">
        <v>52.73</v>
      </c>
    </row>
    <row r="405" spans="2:11" x14ac:dyDescent="0.2">
      <c r="B405" s="3">
        <v>45194</v>
      </c>
      <c r="C405">
        <v>1.34545</v>
      </c>
      <c r="D405">
        <v>11.0581</v>
      </c>
      <c r="E405" s="3">
        <v>45183</v>
      </c>
      <c r="F405">
        <v>2190.201</v>
      </c>
      <c r="G405">
        <v>31.75</v>
      </c>
      <c r="H405">
        <v>3.01</v>
      </c>
      <c r="I405">
        <v>165.65</v>
      </c>
      <c r="J405">
        <v>21.85</v>
      </c>
      <c r="K405">
        <v>53.14</v>
      </c>
    </row>
    <row r="406" spans="2:11" x14ac:dyDescent="0.2">
      <c r="B406" s="3">
        <v>45191</v>
      </c>
      <c r="C406">
        <v>1.3485</v>
      </c>
      <c r="D406">
        <v>11.1371</v>
      </c>
      <c r="E406" s="3">
        <v>45182</v>
      </c>
      <c r="F406">
        <v>2162.462</v>
      </c>
      <c r="G406">
        <v>31.69</v>
      </c>
      <c r="H406">
        <v>2.92</v>
      </c>
      <c r="I406">
        <v>163.59</v>
      </c>
      <c r="J406">
        <v>21.85</v>
      </c>
      <c r="K406">
        <v>52.27</v>
      </c>
    </row>
    <row r="407" spans="2:11" x14ac:dyDescent="0.2">
      <c r="B407" s="3">
        <v>45190</v>
      </c>
      <c r="C407">
        <v>1.3483499999999999</v>
      </c>
      <c r="D407">
        <v>11.170299999999999</v>
      </c>
      <c r="E407" s="3">
        <v>45181</v>
      </c>
      <c r="F407">
        <v>2177.116</v>
      </c>
      <c r="G407">
        <v>32.76</v>
      </c>
      <c r="H407">
        <v>2.93</v>
      </c>
      <c r="I407">
        <v>163.66999999999999</v>
      </c>
      <c r="J407">
        <v>21.96</v>
      </c>
      <c r="K407">
        <v>53.17</v>
      </c>
    </row>
    <row r="408" spans="2:11" x14ac:dyDescent="0.2">
      <c r="B408" s="3">
        <v>45189</v>
      </c>
      <c r="C408">
        <v>1.3462000000000001</v>
      </c>
      <c r="D408">
        <v>11.141</v>
      </c>
      <c r="E408" s="3">
        <v>45180</v>
      </c>
      <c r="F408">
        <v>2184.5569999999998</v>
      </c>
      <c r="G408">
        <v>32.71</v>
      </c>
      <c r="H408">
        <v>2.97</v>
      </c>
      <c r="I408">
        <v>164.3</v>
      </c>
      <c r="J408">
        <v>21.7</v>
      </c>
      <c r="K408">
        <v>53.55</v>
      </c>
    </row>
    <row r="409" spans="2:11" x14ac:dyDescent="0.2">
      <c r="B409" s="3">
        <v>45188</v>
      </c>
      <c r="C409">
        <v>1.3448500000000001</v>
      </c>
      <c r="D409">
        <v>11.1693</v>
      </c>
      <c r="E409" s="3">
        <v>45177</v>
      </c>
      <c r="F409">
        <v>2176.3389999999999</v>
      </c>
      <c r="G409">
        <v>31.88</v>
      </c>
      <c r="H409">
        <v>2.87</v>
      </c>
      <c r="I409">
        <v>161.52000000000001</v>
      </c>
      <c r="J409">
        <v>21.2</v>
      </c>
      <c r="K409">
        <v>53.23</v>
      </c>
    </row>
    <row r="410" spans="2:11" x14ac:dyDescent="0.2">
      <c r="B410" s="3">
        <v>45187</v>
      </c>
      <c r="C410">
        <v>1.3487</v>
      </c>
      <c r="D410">
        <v>11.15</v>
      </c>
      <c r="E410" s="3">
        <v>45176</v>
      </c>
      <c r="F410">
        <v>2185.578</v>
      </c>
      <c r="G410">
        <v>31.81</v>
      </c>
      <c r="H410">
        <v>2.84</v>
      </c>
      <c r="I410">
        <v>161.35</v>
      </c>
      <c r="J410">
        <v>21.3</v>
      </c>
      <c r="K410">
        <v>53.61</v>
      </c>
    </row>
    <row r="411" spans="2:11" x14ac:dyDescent="0.2">
      <c r="B411" s="3">
        <v>45184</v>
      </c>
      <c r="C411">
        <v>1.3525</v>
      </c>
      <c r="D411">
        <v>11.188800000000001</v>
      </c>
      <c r="E411" s="3">
        <v>45175</v>
      </c>
      <c r="F411">
        <v>2202.569</v>
      </c>
      <c r="G411">
        <v>31.91</v>
      </c>
      <c r="H411">
        <v>2.83</v>
      </c>
      <c r="I411">
        <v>160.78</v>
      </c>
      <c r="J411">
        <v>21.45</v>
      </c>
      <c r="K411">
        <v>54.45</v>
      </c>
    </row>
    <row r="412" spans="2:11" x14ac:dyDescent="0.2">
      <c r="B412" s="3">
        <v>45183</v>
      </c>
      <c r="C412">
        <v>1.3508500000000001</v>
      </c>
      <c r="D412">
        <v>11.1858</v>
      </c>
      <c r="E412" s="3">
        <v>45174</v>
      </c>
      <c r="F412">
        <v>2203.7020000000002</v>
      </c>
      <c r="G412">
        <v>32.1</v>
      </c>
      <c r="H412">
        <v>2.84</v>
      </c>
      <c r="I412">
        <v>164.14</v>
      </c>
      <c r="J412">
        <v>22.25</v>
      </c>
      <c r="K412">
        <v>54.63</v>
      </c>
    </row>
    <row r="413" spans="2:11" x14ac:dyDescent="0.2">
      <c r="B413" s="3">
        <v>45182</v>
      </c>
      <c r="C413">
        <v>1.3549</v>
      </c>
      <c r="D413">
        <v>11.1349</v>
      </c>
      <c r="E413" s="3">
        <v>45173</v>
      </c>
      <c r="F413">
        <v>2193.7620000000002</v>
      </c>
    </row>
    <row r="414" spans="2:11" x14ac:dyDescent="0.2">
      <c r="B414" s="3">
        <v>45181</v>
      </c>
      <c r="C414">
        <v>1.3554999999999999</v>
      </c>
      <c r="D414">
        <v>11.08245</v>
      </c>
      <c r="E414" s="3">
        <v>45170</v>
      </c>
      <c r="F414">
        <v>2186.2060000000001</v>
      </c>
      <c r="G414">
        <v>31.96</v>
      </c>
      <c r="H414">
        <v>2.84</v>
      </c>
      <c r="I414">
        <v>165.67</v>
      </c>
      <c r="J414">
        <v>22.9</v>
      </c>
      <c r="K414">
        <v>55.04</v>
      </c>
    </row>
    <row r="415" spans="2:11" x14ac:dyDescent="0.2">
      <c r="B415" s="3">
        <v>45180</v>
      </c>
      <c r="C415">
        <v>1.3572500000000001</v>
      </c>
      <c r="D415">
        <v>11.0784</v>
      </c>
      <c r="E415" s="3">
        <v>45169</v>
      </c>
      <c r="F415">
        <v>2184.7440000000001</v>
      </c>
      <c r="G415">
        <v>31.5</v>
      </c>
      <c r="H415">
        <v>2.86</v>
      </c>
      <c r="I415">
        <v>166.57</v>
      </c>
      <c r="J415">
        <v>23.02</v>
      </c>
      <c r="K415">
        <v>54.45</v>
      </c>
    </row>
    <row r="416" spans="2:11" x14ac:dyDescent="0.2">
      <c r="B416" s="3">
        <v>45177</v>
      </c>
      <c r="C416">
        <v>1.36415</v>
      </c>
      <c r="D416">
        <v>11.126899999999999</v>
      </c>
      <c r="E416" s="3">
        <v>45168</v>
      </c>
      <c r="F416">
        <v>2185.0770000000002</v>
      </c>
      <c r="G416">
        <v>30.49</v>
      </c>
      <c r="H416">
        <v>2.75</v>
      </c>
      <c r="I416">
        <v>166.48</v>
      </c>
      <c r="J416">
        <v>22.2</v>
      </c>
      <c r="K416">
        <v>53.89</v>
      </c>
    </row>
    <row r="417" spans="2:11" x14ac:dyDescent="0.2">
      <c r="B417" s="3">
        <v>45176</v>
      </c>
      <c r="C417">
        <v>1.3683000000000001</v>
      </c>
      <c r="D417">
        <v>11.14475</v>
      </c>
      <c r="E417" s="3">
        <v>45167</v>
      </c>
      <c r="F417">
        <v>2191.4560000000001</v>
      </c>
      <c r="G417">
        <v>31.09</v>
      </c>
      <c r="H417">
        <v>2.73</v>
      </c>
      <c r="I417">
        <v>167.03</v>
      </c>
      <c r="J417">
        <v>22.4</v>
      </c>
      <c r="K417">
        <v>53.69</v>
      </c>
    </row>
    <row r="418" spans="2:11" x14ac:dyDescent="0.2">
      <c r="B418" s="3">
        <v>45175</v>
      </c>
      <c r="C418">
        <v>1.3635999999999999</v>
      </c>
      <c r="D418">
        <v>11.110950000000001</v>
      </c>
      <c r="E418" s="3">
        <v>45166</v>
      </c>
      <c r="F418">
        <v>2174.3090000000002</v>
      </c>
      <c r="G418">
        <v>30.9</v>
      </c>
      <c r="H418">
        <v>2.61</v>
      </c>
      <c r="I418">
        <v>165.79</v>
      </c>
      <c r="J418">
        <v>21.81</v>
      </c>
      <c r="K418">
        <v>53.02</v>
      </c>
    </row>
    <row r="419" spans="2:11" x14ac:dyDescent="0.2">
      <c r="B419" s="3">
        <v>45174</v>
      </c>
      <c r="C419">
        <v>1.3642000000000001</v>
      </c>
      <c r="D419">
        <v>11.0998</v>
      </c>
      <c r="E419" s="3">
        <v>45163</v>
      </c>
      <c r="F419">
        <v>2148.4659999999999</v>
      </c>
      <c r="G419">
        <v>29.67</v>
      </c>
      <c r="H419">
        <v>2.66</v>
      </c>
      <c r="I419">
        <v>165.54</v>
      </c>
      <c r="J419">
        <v>22.44</v>
      </c>
      <c r="K419">
        <v>53.13</v>
      </c>
    </row>
    <row r="420" spans="2:11" x14ac:dyDescent="0.2">
      <c r="B420" s="3">
        <v>45173</v>
      </c>
      <c r="C420">
        <v>1.3592</v>
      </c>
      <c r="D420">
        <v>10.9933</v>
      </c>
      <c r="E420" s="3">
        <v>45162</v>
      </c>
      <c r="F420">
        <v>2145.7429999999999</v>
      </c>
      <c r="G420">
        <v>30.03</v>
      </c>
      <c r="H420">
        <v>2.5099999999999998</v>
      </c>
      <c r="I420">
        <v>166.13</v>
      </c>
      <c r="J420">
        <v>21.39</v>
      </c>
      <c r="K420">
        <v>52.15</v>
      </c>
    </row>
    <row r="421" spans="2:11" x14ac:dyDescent="0.2">
      <c r="B421" s="3">
        <v>45170</v>
      </c>
      <c r="C421">
        <v>1.3595999999999999</v>
      </c>
      <c r="D421">
        <v>11.032999999999999</v>
      </c>
      <c r="E421" s="3">
        <v>45161</v>
      </c>
      <c r="F421">
        <v>2154.7020000000002</v>
      </c>
      <c r="G421">
        <v>29.93</v>
      </c>
      <c r="H421">
        <v>2.54</v>
      </c>
      <c r="I421">
        <v>170.5</v>
      </c>
      <c r="J421">
        <v>20.8</v>
      </c>
      <c r="K421">
        <v>52.43</v>
      </c>
    </row>
    <row r="422" spans="2:11" x14ac:dyDescent="0.2">
      <c r="B422" s="3">
        <v>45169</v>
      </c>
      <c r="C422">
        <v>1.3509</v>
      </c>
      <c r="D422">
        <v>10.9499</v>
      </c>
      <c r="E422" s="3">
        <v>45160</v>
      </c>
      <c r="F422">
        <v>2153.645</v>
      </c>
      <c r="G422">
        <v>29.11</v>
      </c>
      <c r="H422">
        <v>2.52</v>
      </c>
      <c r="I422">
        <v>167.67</v>
      </c>
      <c r="J422">
        <v>20.89</v>
      </c>
      <c r="K422">
        <v>51.27</v>
      </c>
    </row>
    <row r="423" spans="2:11" x14ac:dyDescent="0.2">
      <c r="B423" s="3">
        <v>45168</v>
      </c>
      <c r="C423">
        <v>1.3532999999999999</v>
      </c>
      <c r="D423">
        <v>10.8383</v>
      </c>
      <c r="E423" s="3">
        <v>45159</v>
      </c>
      <c r="F423">
        <v>2139.029</v>
      </c>
      <c r="G423">
        <v>28.05</v>
      </c>
      <c r="H423">
        <v>2.48</v>
      </c>
      <c r="I423">
        <v>167</v>
      </c>
      <c r="J423">
        <v>20.93</v>
      </c>
      <c r="K423">
        <v>50.59</v>
      </c>
    </row>
    <row r="424" spans="2:11" x14ac:dyDescent="0.2">
      <c r="B424" s="3">
        <v>45167</v>
      </c>
      <c r="C424">
        <v>1.3554999999999999</v>
      </c>
      <c r="D424">
        <v>10.871600000000001</v>
      </c>
      <c r="E424" s="3">
        <v>45156</v>
      </c>
      <c r="F424">
        <v>2145.6570000000002</v>
      </c>
      <c r="G424">
        <v>27.82</v>
      </c>
      <c r="H424">
        <v>2.5299999999999998</v>
      </c>
      <c r="I424">
        <v>163.63</v>
      </c>
      <c r="J424">
        <v>20.61</v>
      </c>
      <c r="K424">
        <v>50.02</v>
      </c>
    </row>
    <row r="425" spans="2:11" x14ac:dyDescent="0.2">
      <c r="B425" s="3">
        <v>45166</v>
      </c>
      <c r="C425">
        <v>1.35985</v>
      </c>
      <c r="D425">
        <v>10.9847</v>
      </c>
      <c r="E425" s="3">
        <v>45155</v>
      </c>
      <c r="F425">
        <v>2154.558</v>
      </c>
      <c r="G425">
        <v>28.24</v>
      </c>
      <c r="H425">
        <v>2.46</v>
      </c>
      <c r="I425">
        <v>163.51</v>
      </c>
      <c r="J425">
        <v>21</v>
      </c>
      <c r="K425">
        <v>49.79</v>
      </c>
    </row>
    <row r="426" spans="2:11" x14ac:dyDescent="0.2">
      <c r="B426" s="3">
        <v>45163</v>
      </c>
      <c r="C426">
        <v>1.3605</v>
      </c>
      <c r="D426">
        <v>11.0562</v>
      </c>
      <c r="E426" s="3">
        <v>45154</v>
      </c>
      <c r="F426">
        <v>2180.558</v>
      </c>
      <c r="G426">
        <v>28.57</v>
      </c>
      <c r="H426">
        <v>2.54</v>
      </c>
      <c r="I426">
        <v>165.29</v>
      </c>
      <c r="J426">
        <v>21.1</v>
      </c>
      <c r="K426">
        <v>50.32</v>
      </c>
    </row>
    <row r="427" spans="2:11" x14ac:dyDescent="0.2">
      <c r="B427" s="3">
        <v>45162</v>
      </c>
      <c r="C427">
        <v>1.35825</v>
      </c>
      <c r="D427">
        <v>10.99465</v>
      </c>
      <c r="E427" s="3">
        <v>45153</v>
      </c>
      <c r="F427">
        <v>2178.5010000000002</v>
      </c>
      <c r="G427">
        <v>28.32</v>
      </c>
      <c r="H427">
        <v>2.5499999999999998</v>
      </c>
      <c r="I427">
        <v>165</v>
      </c>
      <c r="J427">
        <v>20.67</v>
      </c>
      <c r="K427">
        <v>50.43</v>
      </c>
    </row>
    <row r="428" spans="2:11" x14ac:dyDescent="0.2">
      <c r="B428" s="3">
        <v>45161</v>
      </c>
      <c r="C428">
        <v>1.3526</v>
      </c>
      <c r="D428">
        <v>10.9033</v>
      </c>
      <c r="E428" s="3">
        <v>45152</v>
      </c>
      <c r="F428">
        <v>2203.3009999999999</v>
      </c>
      <c r="G428">
        <v>28.82</v>
      </c>
      <c r="H428">
        <v>2.61</v>
      </c>
      <c r="I428">
        <v>164.21</v>
      </c>
      <c r="J428">
        <v>20.83</v>
      </c>
      <c r="K428">
        <v>51.39</v>
      </c>
    </row>
    <row r="429" spans="2:11" x14ac:dyDescent="0.2">
      <c r="B429" s="3">
        <v>45160</v>
      </c>
      <c r="C429">
        <v>1.3550500000000001</v>
      </c>
      <c r="D429">
        <v>10.93145</v>
      </c>
      <c r="E429" s="3">
        <v>45149</v>
      </c>
      <c r="F429">
        <v>2203.3960000000002</v>
      </c>
      <c r="G429">
        <v>28.08</v>
      </c>
      <c r="H429">
        <v>2.71</v>
      </c>
      <c r="I429">
        <v>160</v>
      </c>
      <c r="J429">
        <v>20.85</v>
      </c>
      <c r="K429">
        <v>51.13</v>
      </c>
    </row>
    <row r="430" spans="2:11" x14ac:dyDescent="0.2">
      <c r="B430" s="3">
        <v>45159</v>
      </c>
      <c r="C430">
        <v>1.3545</v>
      </c>
      <c r="D430">
        <v>10.963850000000001</v>
      </c>
      <c r="E430" s="3">
        <v>45148</v>
      </c>
      <c r="F430">
        <v>2223.172</v>
      </c>
      <c r="G430">
        <v>28.03</v>
      </c>
      <c r="H430">
        <v>2.59</v>
      </c>
      <c r="I430">
        <v>159</v>
      </c>
      <c r="J430">
        <v>20.9</v>
      </c>
      <c r="K430">
        <v>50.41</v>
      </c>
    </row>
    <row r="431" spans="2:11" x14ac:dyDescent="0.2">
      <c r="B431" s="3">
        <v>45156</v>
      </c>
      <c r="C431">
        <v>1.3553999999999999</v>
      </c>
      <c r="D431">
        <v>10.9619</v>
      </c>
      <c r="E431" s="3">
        <v>45147</v>
      </c>
      <c r="F431">
        <v>2209.5239999999999</v>
      </c>
      <c r="G431">
        <v>27.86</v>
      </c>
      <c r="H431">
        <v>2.9</v>
      </c>
      <c r="I431">
        <v>158.44</v>
      </c>
      <c r="J431">
        <v>20.88</v>
      </c>
      <c r="K431">
        <v>50.18</v>
      </c>
    </row>
    <row r="432" spans="2:11" x14ac:dyDescent="0.2">
      <c r="B432" s="3">
        <v>45155</v>
      </c>
      <c r="C432">
        <v>1.3546</v>
      </c>
      <c r="D432">
        <v>10.9329</v>
      </c>
      <c r="E432" s="3">
        <v>45146</v>
      </c>
      <c r="F432">
        <v>2194.44</v>
      </c>
      <c r="G432">
        <v>28.33</v>
      </c>
      <c r="H432">
        <v>3.18</v>
      </c>
      <c r="I432">
        <v>160.34</v>
      </c>
      <c r="J432">
        <v>20.8</v>
      </c>
      <c r="K432">
        <v>49.41</v>
      </c>
    </row>
    <row r="433" spans="2:11" x14ac:dyDescent="0.2">
      <c r="B433" s="3">
        <v>45154</v>
      </c>
      <c r="C433">
        <v>1.3536999999999999</v>
      </c>
      <c r="D433">
        <v>10.913600000000001</v>
      </c>
      <c r="E433" s="3">
        <v>45145</v>
      </c>
      <c r="F433">
        <v>2209.8290000000002</v>
      </c>
    </row>
    <row r="434" spans="2:11" x14ac:dyDescent="0.2">
      <c r="B434" s="3">
        <v>45153</v>
      </c>
      <c r="C434">
        <v>1.34985</v>
      </c>
      <c r="D434">
        <v>10.8538</v>
      </c>
      <c r="E434" s="3">
        <v>45142</v>
      </c>
      <c r="F434">
        <v>2209.64</v>
      </c>
      <c r="G434">
        <v>28.57</v>
      </c>
      <c r="H434">
        <v>3.28</v>
      </c>
      <c r="I434">
        <v>169.73</v>
      </c>
      <c r="J434">
        <v>20.77</v>
      </c>
      <c r="K434">
        <v>49.28</v>
      </c>
    </row>
    <row r="435" spans="2:11" x14ac:dyDescent="0.2">
      <c r="B435" s="3">
        <v>45152</v>
      </c>
      <c r="C435">
        <v>1.3461000000000001</v>
      </c>
      <c r="D435">
        <v>10.7704</v>
      </c>
      <c r="E435" s="3">
        <v>45141</v>
      </c>
      <c r="F435">
        <v>2196.59</v>
      </c>
      <c r="G435">
        <v>28.11</v>
      </c>
      <c r="H435">
        <v>3.15</v>
      </c>
      <c r="I435">
        <v>169.44</v>
      </c>
      <c r="J435">
        <v>20.6</v>
      </c>
      <c r="K435">
        <v>54.08</v>
      </c>
    </row>
    <row r="436" spans="2:11" x14ac:dyDescent="0.2">
      <c r="B436" s="3">
        <v>45149</v>
      </c>
      <c r="C436">
        <v>1.3440000000000001</v>
      </c>
      <c r="D436">
        <v>10.8256</v>
      </c>
      <c r="E436" s="3">
        <v>45140</v>
      </c>
      <c r="F436">
        <v>2222.7399999999998</v>
      </c>
      <c r="G436">
        <v>27.82</v>
      </c>
      <c r="H436">
        <v>3.06</v>
      </c>
      <c r="I436">
        <v>170.62</v>
      </c>
      <c r="J436">
        <v>20.11</v>
      </c>
      <c r="K436">
        <v>54.53</v>
      </c>
    </row>
    <row r="437" spans="2:11" x14ac:dyDescent="0.2">
      <c r="B437" s="3">
        <v>45148</v>
      </c>
      <c r="C437">
        <v>1.3447</v>
      </c>
      <c r="D437">
        <v>10.703200000000001</v>
      </c>
      <c r="E437" s="3">
        <v>45139</v>
      </c>
      <c r="F437">
        <v>2240.12</v>
      </c>
      <c r="G437">
        <v>28.38</v>
      </c>
      <c r="H437">
        <v>3.17</v>
      </c>
      <c r="I437">
        <v>177.01</v>
      </c>
      <c r="J437">
        <v>20.53</v>
      </c>
      <c r="K437">
        <v>56.36</v>
      </c>
    </row>
    <row r="438" spans="2:11" x14ac:dyDescent="0.2">
      <c r="B438" s="3">
        <v>45147</v>
      </c>
      <c r="C438">
        <v>1.34195</v>
      </c>
      <c r="D438">
        <v>10.673999999999999</v>
      </c>
      <c r="E438" s="3">
        <v>45138</v>
      </c>
      <c r="F438">
        <v>2250.92</v>
      </c>
      <c r="G438">
        <v>28.98</v>
      </c>
      <c r="H438">
        <v>3.18</v>
      </c>
      <c r="I438">
        <v>179.05</v>
      </c>
      <c r="J438">
        <v>20.93</v>
      </c>
      <c r="K438">
        <v>56.64</v>
      </c>
    </row>
    <row r="439" spans="2:11" x14ac:dyDescent="0.2">
      <c r="B439" s="3">
        <v>45146</v>
      </c>
      <c r="C439">
        <v>1.34205</v>
      </c>
      <c r="D439">
        <v>10.707000000000001</v>
      </c>
      <c r="E439" s="3">
        <v>45135</v>
      </c>
      <c r="F439">
        <v>2253.85</v>
      </c>
      <c r="G439">
        <v>27.37</v>
      </c>
      <c r="H439">
        <v>3.18</v>
      </c>
      <c r="I439">
        <v>175.89</v>
      </c>
      <c r="J439">
        <v>20.7</v>
      </c>
      <c r="K439">
        <v>55.98</v>
      </c>
    </row>
    <row r="440" spans="2:11" x14ac:dyDescent="0.2">
      <c r="B440" s="3">
        <v>45145</v>
      </c>
      <c r="C440">
        <v>1.3369</v>
      </c>
      <c r="D440">
        <v>10.5753</v>
      </c>
      <c r="E440" s="3">
        <v>45134</v>
      </c>
      <c r="F440">
        <v>2254.15</v>
      </c>
      <c r="G440">
        <v>23.77</v>
      </c>
      <c r="H440">
        <v>3.08</v>
      </c>
      <c r="I440">
        <v>175.03</v>
      </c>
      <c r="J440">
        <v>21.3</v>
      </c>
      <c r="K440">
        <v>54.98</v>
      </c>
    </row>
    <row r="441" spans="2:11" x14ac:dyDescent="0.2">
      <c r="B441" s="3">
        <v>45142</v>
      </c>
      <c r="C441">
        <v>1.33735</v>
      </c>
      <c r="D441">
        <v>10.586449999999999</v>
      </c>
      <c r="E441" s="3">
        <v>45133</v>
      </c>
      <c r="F441">
        <v>2235.23</v>
      </c>
      <c r="G441">
        <v>21.75</v>
      </c>
      <c r="H441">
        <v>3.05</v>
      </c>
      <c r="I441">
        <v>180.16</v>
      </c>
      <c r="J441">
        <v>21.47</v>
      </c>
      <c r="K441">
        <v>55.54</v>
      </c>
    </row>
    <row r="442" spans="2:11" x14ac:dyDescent="0.2">
      <c r="B442" s="3">
        <v>45141</v>
      </c>
      <c r="C442">
        <v>1.33535</v>
      </c>
      <c r="D442">
        <v>10.7003</v>
      </c>
      <c r="E442" s="3">
        <v>45132</v>
      </c>
      <c r="F442">
        <v>2259.09</v>
      </c>
      <c r="G442">
        <v>21.78</v>
      </c>
      <c r="H442">
        <v>3.16</v>
      </c>
      <c r="I442">
        <v>183.5</v>
      </c>
      <c r="J442">
        <v>21.01</v>
      </c>
      <c r="K442">
        <v>56.81</v>
      </c>
    </row>
    <row r="443" spans="2:11" x14ac:dyDescent="0.2">
      <c r="B443" s="3">
        <v>45140</v>
      </c>
      <c r="C443">
        <v>1.335</v>
      </c>
      <c r="D443">
        <v>10.7195</v>
      </c>
      <c r="E443" s="3">
        <v>45131</v>
      </c>
      <c r="F443">
        <v>2243.81</v>
      </c>
      <c r="G443">
        <v>21.39</v>
      </c>
      <c r="H443">
        <v>3.17</v>
      </c>
      <c r="I443">
        <v>184.46</v>
      </c>
      <c r="J443">
        <v>20.51</v>
      </c>
      <c r="K443">
        <v>55.62</v>
      </c>
    </row>
    <row r="444" spans="2:11" x14ac:dyDescent="0.2">
      <c r="B444" s="3">
        <v>45139</v>
      </c>
      <c r="C444">
        <v>1.3281000000000001</v>
      </c>
      <c r="D444">
        <v>10.604100000000001</v>
      </c>
      <c r="E444" s="3">
        <v>45128</v>
      </c>
      <c r="F444">
        <v>2227.4499999999998</v>
      </c>
      <c r="G444">
        <v>21.25</v>
      </c>
      <c r="H444">
        <v>3.23</v>
      </c>
      <c r="I444">
        <v>186.6</v>
      </c>
      <c r="J444">
        <v>19.95</v>
      </c>
      <c r="K444">
        <v>55.25</v>
      </c>
    </row>
    <row r="445" spans="2:11" x14ac:dyDescent="0.2">
      <c r="B445" s="3">
        <v>45138</v>
      </c>
      <c r="C445">
        <v>1.3189</v>
      </c>
      <c r="D445">
        <v>10.525449999999999</v>
      </c>
      <c r="E445" s="3">
        <v>45127</v>
      </c>
      <c r="F445">
        <v>2224.52</v>
      </c>
      <c r="G445">
        <v>21.13</v>
      </c>
      <c r="H445">
        <v>3.29</v>
      </c>
      <c r="I445">
        <v>187.07</v>
      </c>
      <c r="J445">
        <v>19.8</v>
      </c>
      <c r="K445">
        <v>54.65</v>
      </c>
    </row>
    <row r="446" spans="2:11" x14ac:dyDescent="0.2">
      <c r="B446" s="3">
        <v>45135</v>
      </c>
      <c r="C446">
        <v>1.3253999999999999</v>
      </c>
      <c r="D446">
        <v>10.55275</v>
      </c>
      <c r="E446" s="3">
        <v>45126</v>
      </c>
      <c r="F446">
        <v>2235.75</v>
      </c>
      <c r="G446">
        <v>21.68</v>
      </c>
      <c r="H446">
        <v>3.44</v>
      </c>
      <c r="I446">
        <v>187.82</v>
      </c>
      <c r="J446">
        <v>20.9</v>
      </c>
      <c r="K446">
        <v>55.47</v>
      </c>
    </row>
    <row r="447" spans="2:11" x14ac:dyDescent="0.2">
      <c r="B447" s="3">
        <v>45134</v>
      </c>
      <c r="C447">
        <v>1.3227</v>
      </c>
      <c r="D447">
        <v>10.51505</v>
      </c>
      <c r="E447" s="3">
        <v>45125</v>
      </c>
      <c r="F447">
        <v>2258.83</v>
      </c>
      <c r="G447">
        <v>21.5</v>
      </c>
      <c r="H447">
        <v>3.43</v>
      </c>
      <c r="I447">
        <v>189.36</v>
      </c>
      <c r="J447">
        <v>21.41</v>
      </c>
      <c r="K447">
        <v>55.02</v>
      </c>
    </row>
    <row r="448" spans="2:11" x14ac:dyDescent="0.2">
      <c r="B448" s="3">
        <v>45133</v>
      </c>
      <c r="C448">
        <v>1.3209</v>
      </c>
      <c r="D448">
        <v>10.40545</v>
      </c>
      <c r="E448" s="3">
        <v>45124</v>
      </c>
      <c r="F448">
        <v>2243.13</v>
      </c>
      <c r="G448">
        <v>21.42</v>
      </c>
      <c r="H448">
        <v>3.36</v>
      </c>
      <c r="I448">
        <v>187.91</v>
      </c>
      <c r="J448">
        <v>20.73</v>
      </c>
      <c r="K448">
        <v>55.24</v>
      </c>
    </row>
    <row r="449" spans="2:11" x14ac:dyDescent="0.2">
      <c r="B449" s="3">
        <v>45132</v>
      </c>
      <c r="C449">
        <v>1.3169500000000001</v>
      </c>
      <c r="D449">
        <v>10.3698</v>
      </c>
      <c r="E449" s="3">
        <v>45121</v>
      </c>
      <c r="F449">
        <v>2248.08</v>
      </c>
      <c r="G449">
        <v>20.94</v>
      </c>
      <c r="H449">
        <v>3.39</v>
      </c>
      <c r="I449">
        <v>185.93</v>
      </c>
      <c r="J449">
        <v>20</v>
      </c>
      <c r="K449">
        <v>54.94</v>
      </c>
    </row>
    <row r="450" spans="2:11" x14ac:dyDescent="0.2">
      <c r="B450" s="3">
        <v>45131</v>
      </c>
      <c r="C450">
        <v>1.3168</v>
      </c>
      <c r="D450">
        <v>10.4092</v>
      </c>
      <c r="E450" s="3">
        <v>45120</v>
      </c>
      <c r="F450">
        <v>2261.1999999999998</v>
      </c>
      <c r="G450">
        <v>21.57</v>
      </c>
      <c r="H450">
        <v>3.42</v>
      </c>
      <c r="I450">
        <v>184.73</v>
      </c>
      <c r="J450">
        <v>19.55</v>
      </c>
      <c r="K450">
        <v>55.14</v>
      </c>
    </row>
    <row r="451" spans="2:11" x14ac:dyDescent="0.2">
      <c r="B451" s="3">
        <v>45128</v>
      </c>
      <c r="C451">
        <v>1.3223499999999999</v>
      </c>
      <c r="D451">
        <v>10.388</v>
      </c>
      <c r="E451" s="3">
        <v>45119</v>
      </c>
      <c r="F451">
        <v>2264.21</v>
      </c>
      <c r="G451">
        <v>21.07</v>
      </c>
      <c r="H451">
        <v>3.33</v>
      </c>
      <c r="I451">
        <v>183.54</v>
      </c>
      <c r="J451">
        <v>19.25</v>
      </c>
      <c r="K451">
        <v>53.98</v>
      </c>
    </row>
    <row r="452" spans="2:11" x14ac:dyDescent="0.2">
      <c r="B452" s="3">
        <v>45127</v>
      </c>
      <c r="C452">
        <v>1.31735</v>
      </c>
      <c r="D452">
        <v>10.34815</v>
      </c>
      <c r="E452" s="3">
        <v>45118</v>
      </c>
      <c r="F452">
        <v>2247.96</v>
      </c>
      <c r="G452">
        <v>20.98</v>
      </c>
      <c r="H452">
        <v>3.42</v>
      </c>
      <c r="I452">
        <v>185.42</v>
      </c>
      <c r="J452">
        <v>19.07</v>
      </c>
      <c r="K452">
        <v>53.3</v>
      </c>
    </row>
    <row r="453" spans="2:11" x14ac:dyDescent="0.2">
      <c r="B453" s="3">
        <v>45126</v>
      </c>
      <c r="C453">
        <v>1.3164499999999999</v>
      </c>
      <c r="D453">
        <v>10.269299999999999</v>
      </c>
      <c r="E453" s="3">
        <v>45117</v>
      </c>
      <c r="F453">
        <v>2243.79</v>
      </c>
      <c r="G453">
        <v>20.41</v>
      </c>
      <c r="H453">
        <v>3.27</v>
      </c>
      <c r="I453">
        <v>185.1</v>
      </c>
      <c r="J453">
        <v>19.02</v>
      </c>
      <c r="K453">
        <v>52.99</v>
      </c>
    </row>
    <row r="454" spans="2:11" x14ac:dyDescent="0.2">
      <c r="B454" s="3">
        <v>45125</v>
      </c>
      <c r="C454">
        <v>1.3169</v>
      </c>
      <c r="D454">
        <v>10.21895</v>
      </c>
      <c r="E454" s="3">
        <v>45114</v>
      </c>
      <c r="F454">
        <v>2246.19</v>
      </c>
      <c r="G454">
        <v>19.88</v>
      </c>
      <c r="H454">
        <v>3.21</v>
      </c>
      <c r="I454">
        <v>183</v>
      </c>
      <c r="J454">
        <v>19.04</v>
      </c>
      <c r="K454">
        <v>52.57</v>
      </c>
    </row>
    <row r="455" spans="2:11" x14ac:dyDescent="0.2">
      <c r="B455" s="3">
        <v>45124</v>
      </c>
      <c r="C455">
        <v>1.3198000000000001</v>
      </c>
      <c r="D455">
        <v>10.25515</v>
      </c>
      <c r="E455" s="3">
        <v>45113</v>
      </c>
      <c r="F455">
        <v>2238.5100000000002</v>
      </c>
      <c r="G455">
        <v>19.45</v>
      </c>
      <c r="H455">
        <v>3.15</v>
      </c>
      <c r="I455">
        <v>185.25</v>
      </c>
      <c r="J455">
        <v>18.350000000000001</v>
      </c>
      <c r="K455">
        <v>53.32</v>
      </c>
    </row>
    <row r="456" spans="2:11" x14ac:dyDescent="0.2">
      <c r="B456" s="3">
        <v>45121</v>
      </c>
      <c r="C456">
        <v>1.32165</v>
      </c>
      <c r="D456">
        <v>10.2315</v>
      </c>
      <c r="E456" s="3">
        <v>45112</v>
      </c>
      <c r="F456">
        <v>2279.42</v>
      </c>
      <c r="G456">
        <v>19.690000000000001</v>
      </c>
      <c r="H456">
        <v>3.31</v>
      </c>
      <c r="I456">
        <v>187.79</v>
      </c>
      <c r="J456">
        <v>18.3</v>
      </c>
      <c r="K456">
        <v>54.13</v>
      </c>
    </row>
    <row r="457" spans="2:11" x14ac:dyDescent="0.2">
      <c r="B457" s="3">
        <v>45120</v>
      </c>
      <c r="C457">
        <v>1.3109999999999999</v>
      </c>
      <c r="D457">
        <v>10.2029</v>
      </c>
      <c r="E457" s="3">
        <v>45111</v>
      </c>
      <c r="F457">
        <v>2295.9299999999998</v>
      </c>
      <c r="G457">
        <v>19.510000000000002</v>
      </c>
      <c r="H457">
        <v>3.29</v>
      </c>
      <c r="I457">
        <v>187.64</v>
      </c>
      <c r="J457">
        <v>18.23</v>
      </c>
      <c r="K457">
        <v>54.57</v>
      </c>
    </row>
    <row r="458" spans="2:11" x14ac:dyDescent="0.2">
      <c r="B458" s="3">
        <v>45119</v>
      </c>
      <c r="C458">
        <v>1.3187</v>
      </c>
      <c r="D458">
        <v>10.382400000000001</v>
      </c>
      <c r="E458" s="3">
        <v>45110</v>
      </c>
      <c r="F458">
        <v>2294.59</v>
      </c>
    </row>
    <row r="459" spans="2:11" x14ac:dyDescent="0.2">
      <c r="B459" s="3">
        <v>45118</v>
      </c>
      <c r="C459">
        <v>1.3230999999999999</v>
      </c>
      <c r="D459">
        <v>10.665749999999999</v>
      </c>
      <c r="E459" s="3">
        <v>45107</v>
      </c>
      <c r="F459">
        <v>2309.9</v>
      </c>
      <c r="G459">
        <v>19.23</v>
      </c>
      <c r="H459">
        <v>3.2</v>
      </c>
      <c r="I459">
        <v>189.3</v>
      </c>
      <c r="J459">
        <v>18.170000000000002</v>
      </c>
      <c r="K459">
        <v>55.1</v>
      </c>
    </row>
    <row r="460" spans="2:11" x14ac:dyDescent="0.2">
      <c r="B460" s="3">
        <v>45117</v>
      </c>
      <c r="C460">
        <v>1.32795</v>
      </c>
      <c r="D460">
        <v>10.7562</v>
      </c>
      <c r="E460" s="3">
        <v>45106</v>
      </c>
      <c r="F460">
        <v>2284.77</v>
      </c>
      <c r="G460">
        <v>19.07</v>
      </c>
      <c r="H460">
        <v>3.12</v>
      </c>
      <c r="I460">
        <v>183.34</v>
      </c>
      <c r="J460">
        <v>18.149999999999999</v>
      </c>
      <c r="K460">
        <v>54.01</v>
      </c>
    </row>
    <row r="461" spans="2:11" x14ac:dyDescent="0.2">
      <c r="B461" s="3">
        <v>45114</v>
      </c>
      <c r="C461">
        <v>1.3272999999999999</v>
      </c>
      <c r="D461">
        <v>10.8208</v>
      </c>
      <c r="E461" s="3">
        <v>45105</v>
      </c>
      <c r="F461">
        <v>2262.0700000000002</v>
      </c>
      <c r="G461">
        <v>18.899999999999999</v>
      </c>
      <c r="H461">
        <v>3.04</v>
      </c>
      <c r="I461">
        <v>179.56</v>
      </c>
      <c r="J461">
        <v>17.8</v>
      </c>
      <c r="K461">
        <v>54.04</v>
      </c>
    </row>
    <row r="462" spans="2:11" x14ac:dyDescent="0.2">
      <c r="B462" s="3">
        <v>45113</v>
      </c>
      <c r="C462">
        <v>1.3368</v>
      </c>
      <c r="D462">
        <v>10.936400000000001</v>
      </c>
      <c r="E462" s="3">
        <v>45104</v>
      </c>
      <c r="F462">
        <v>2244.6</v>
      </c>
      <c r="G462">
        <v>18.78</v>
      </c>
      <c r="H462">
        <v>3.06</v>
      </c>
      <c r="I462">
        <v>177.32</v>
      </c>
      <c r="J462">
        <v>17.61</v>
      </c>
      <c r="K462">
        <v>53.49</v>
      </c>
    </row>
    <row r="463" spans="2:11" x14ac:dyDescent="0.2">
      <c r="B463" s="3">
        <v>45112</v>
      </c>
      <c r="C463">
        <v>1.3281000000000001</v>
      </c>
      <c r="D463">
        <v>10.938800000000001</v>
      </c>
      <c r="E463" s="3">
        <v>45103</v>
      </c>
      <c r="F463">
        <v>2238.5</v>
      </c>
      <c r="G463">
        <v>18.62</v>
      </c>
      <c r="H463">
        <v>3.05</v>
      </c>
      <c r="I463">
        <v>175.53</v>
      </c>
      <c r="J463">
        <v>17.02</v>
      </c>
      <c r="K463">
        <v>52.76</v>
      </c>
    </row>
    <row r="464" spans="2:11" x14ac:dyDescent="0.2">
      <c r="B464" s="3">
        <v>45111</v>
      </c>
      <c r="C464">
        <v>1.3224</v>
      </c>
      <c r="D464">
        <v>10.835150000000001</v>
      </c>
      <c r="E464" s="3">
        <v>45100</v>
      </c>
      <c r="G464">
        <v>18.809999999999999</v>
      </c>
      <c r="H464">
        <v>3.13</v>
      </c>
      <c r="I464">
        <v>176.74</v>
      </c>
      <c r="J464">
        <v>17.63</v>
      </c>
      <c r="K464">
        <v>52.87</v>
      </c>
    </row>
    <row r="465" spans="2:11" x14ac:dyDescent="0.2">
      <c r="B465" s="3">
        <v>45110</v>
      </c>
      <c r="C465">
        <v>1.3250500000000001</v>
      </c>
      <c r="D465">
        <v>10.842000000000001</v>
      </c>
      <c r="E465" s="3">
        <v>45099</v>
      </c>
      <c r="F465">
        <v>2235.41</v>
      </c>
      <c r="G465">
        <v>19.260000000000002</v>
      </c>
      <c r="H465">
        <v>3.22</v>
      </c>
      <c r="I465">
        <v>173.96</v>
      </c>
      <c r="J465">
        <v>17.47</v>
      </c>
      <c r="K465">
        <v>53.18</v>
      </c>
    </row>
    <row r="466" spans="2:11" x14ac:dyDescent="0.2">
      <c r="B466" s="3">
        <v>45107</v>
      </c>
      <c r="C466">
        <v>1.3238000000000001</v>
      </c>
      <c r="D466">
        <v>10.800599999999999</v>
      </c>
      <c r="E466" s="3">
        <v>45098</v>
      </c>
      <c r="F466">
        <v>2265.63</v>
      </c>
      <c r="G466">
        <v>19.39</v>
      </c>
      <c r="H466">
        <v>3.25</v>
      </c>
      <c r="I466">
        <v>176.99</v>
      </c>
      <c r="J466">
        <v>17.52</v>
      </c>
      <c r="K466">
        <v>53.44</v>
      </c>
    </row>
    <row r="467" spans="2:11" x14ac:dyDescent="0.2">
      <c r="B467" s="3">
        <v>45106</v>
      </c>
      <c r="C467">
        <v>1.32525</v>
      </c>
      <c r="D467">
        <v>10.8653</v>
      </c>
      <c r="E467" s="3">
        <v>45097</v>
      </c>
      <c r="F467">
        <v>2281.16</v>
      </c>
      <c r="G467">
        <v>19.54</v>
      </c>
      <c r="H467">
        <v>3.29</v>
      </c>
      <c r="I467">
        <v>180.41</v>
      </c>
      <c r="J467">
        <v>18.36</v>
      </c>
      <c r="K467">
        <v>54.25</v>
      </c>
    </row>
    <row r="468" spans="2:11" x14ac:dyDescent="0.2">
      <c r="B468" s="3">
        <v>45105</v>
      </c>
      <c r="C468">
        <v>1.3258000000000001</v>
      </c>
      <c r="D468">
        <v>10.7837</v>
      </c>
      <c r="E468" s="3">
        <v>45096</v>
      </c>
      <c r="F468">
        <v>2292.6799999999998</v>
      </c>
      <c r="G468">
        <v>19.14</v>
      </c>
      <c r="H468">
        <v>3.29</v>
      </c>
      <c r="I468">
        <v>180.79</v>
      </c>
      <c r="J468">
        <v>18.82</v>
      </c>
      <c r="K468">
        <v>54.68</v>
      </c>
    </row>
    <row r="469" spans="2:11" x14ac:dyDescent="0.2">
      <c r="B469" s="3">
        <v>45104</v>
      </c>
      <c r="C469">
        <v>1.3191999999999999</v>
      </c>
      <c r="D469">
        <v>10.71885</v>
      </c>
      <c r="E469" s="3">
        <v>45093</v>
      </c>
      <c r="F469">
        <v>2322.64</v>
      </c>
      <c r="G469">
        <v>18.8</v>
      </c>
      <c r="H469">
        <v>3.19</v>
      </c>
      <c r="I469">
        <v>180.3</v>
      </c>
      <c r="J469">
        <v>18.399999999999999</v>
      </c>
      <c r="K469">
        <v>54.72</v>
      </c>
    </row>
    <row r="470" spans="2:11" x14ac:dyDescent="0.2">
      <c r="B470" s="3">
        <v>45103</v>
      </c>
      <c r="C470">
        <v>1.31545</v>
      </c>
      <c r="D470">
        <v>10.731</v>
      </c>
      <c r="E470" s="3">
        <v>45092</v>
      </c>
      <c r="F470">
        <v>2310.66</v>
      </c>
      <c r="G470">
        <v>18.29</v>
      </c>
      <c r="H470">
        <v>3.13</v>
      </c>
      <c r="I470">
        <v>184</v>
      </c>
      <c r="J470">
        <v>18.399999999999999</v>
      </c>
      <c r="K470">
        <v>55.4</v>
      </c>
    </row>
    <row r="471" spans="2:11" x14ac:dyDescent="0.2">
      <c r="B471" s="3">
        <v>45100</v>
      </c>
      <c r="C471">
        <v>1.3183499999999999</v>
      </c>
      <c r="D471">
        <v>10.717700000000001</v>
      </c>
      <c r="E471" s="3">
        <v>45091</v>
      </c>
      <c r="F471">
        <v>2312.75</v>
      </c>
      <c r="G471">
        <v>18.14</v>
      </c>
      <c r="H471">
        <v>3.25</v>
      </c>
      <c r="I471">
        <v>184.08</v>
      </c>
      <c r="J471">
        <v>18.18</v>
      </c>
      <c r="K471">
        <v>56</v>
      </c>
    </row>
    <row r="472" spans="2:11" x14ac:dyDescent="0.2">
      <c r="B472" s="3">
        <v>45099</v>
      </c>
      <c r="C472">
        <v>1.3149999999999999</v>
      </c>
      <c r="D472">
        <v>10.70575</v>
      </c>
      <c r="E472" s="3">
        <v>45090</v>
      </c>
      <c r="F472">
        <v>2320.96</v>
      </c>
      <c r="G472">
        <v>18.07</v>
      </c>
      <c r="H472">
        <v>3.25</v>
      </c>
      <c r="I472">
        <v>182.41</v>
      </c>
      <c r="J472">
        <v>18.420000000000002</v>
      </c>
      <c r="K472">
        <v>56.48</v>
      </c>
    </row>
    <row r="473" spans="2:11" x14ac:dyDescent="0.2">
      <c r="B473" s="3">
        <v>45098</v>
      </c>
      <c r="C473">
        <v>1.3164</v>
      </c>
      <c r="D473">
        <v>10.660349999999999</v>
      </c>
      <c r="E473" s="3">
        <v>45089</v>
      </c>
      <c r="F473">
        <v>2299.5</v>
      </c>
      <c r="G473">
        <v>18.010000000000002</v>
      </c>
      <c r="H473">
        <v>3.41</v>
      </c>
      <c r="I473">
        <v>182.13</v>
      </c>
      <c r="J473">
        <v>18.41</v>
      </c>
      <c r="K473">
        <v>57</v>
      </c>
    </row>
    <row r="474" spans="2:11" x14ac:dyDescent="0.2">
      <c r="B474" s="3">
        <v>45097</v>
      </c>
      <c r="C474">
        <v>1.3234999999999999</v>
      </c>
      <c r="D474">
        <v>10.788</v>
      </c>
      <c r="E474" s="3">
        <v>45086</v>
      </c>
      <c r="F474">
        <v>2301.98</v>
      </c>
      <c r="G474">
        <v>17.420000000000002</v>
      </c>
      <c r="H474">
        <v>3.46</v>
      </c>
      <c r="I474">
        <v>177.03</v>
      </c>
      <c r="J474">
        <v>19.29</v>
      </c>
      <c r="K474">
        <v>56.2</v>
      </c>
    </row>
    <row r="475" spans="2:11" x14ac:dyDescent="0.2">
      <c r="B475" s="3">
        <v>45096</v>
      </c>
      <c r="C475">
        <v>1.321</v>
      </c>
      <c r="D475">
        <v>10.72495</v>
      </c>
      <c r="E475" s="3">
        <v>45085</v>
      </c>
      <c r="F475">
        <v>2302.98</v>
      </c>
      <c r="G475">
        <v>17.149999999999999</v>
      </c>
      <c r="H475">
        <v>3.43</v>
      </c>
      <c r="I475">
        <v>176.21</v>
      </c>
      <c r="J475">
        <v>19.78</v>
      </c>
      <c r="K475">
        <v>55.56</v>
      </c>
    </row>
    <row r="476" spans="2:11" x14ac:dyDescent="0.2">
      <c r="B476" s="3">
        <v>45093</v>
      </c>
      <c r="C476">
        <v>1.3199000000000001</v>
      </c>
      <c r="D476">
        <v>10.649749999999999</v>
      </c>
      <c r="E476" s="3">
        <v>45084</v>
      </c>
      <c r="F476">
        <v>2305.36</v>
      </c>
      <c r="G476">
        <v>17.21</v>
      </c>
      <c r="H476">
        <v>3.5</v>
      </c>
      <c r="I476">
        <v>179.28</v>
      </c>
      <c r="J476">
        <v>19.5</v>
      </c>
      <c r="K476">
        <v>55.81</v>
      </c>
    </row>
    <row r="477" spans="2:11" x14ac:dyDescent="0.2">
      <c r="B477" s="3">
        <v>45092</v>
      </c>
      <c r="C477">
        <v>1.3224</v>
      </c>
      <c r="D477">
        <v>10.613950000000001</v>
      </c>
      <c r="E477" s="3">
        <v>45083</v>
      </c>
      <c r="G477">
        <v>16.84</v>
      </c>
      <c r="H477">
        <v>3.58</v>
      </c>
      <c r="I477">
        <v>190.42</v>
      </c>
      <c r="J477">
        <v>18.89</v>
      </c>
      <c r="K477">
        <v>57.89</v>
      </c>
    </row>
    <row r="478" spans="2:11" x14ac:dyDescent="0.2">
      <c r="B478" s="3">
        <v>45091</v>
      </c>
      <c r="C478">
        <v>1.3324</v>
      </c>
      <c r="D478">
        <v>10.7188</v>
      </c>
      <c r="E478" s="3">
        <v>45082</v>
      </c>
      <c r="F478">
        <v>2293.06</v>
      </c>
      <c r="G478">
        <v>17.5</v>
      </c>
      <c r="H478">
        <v>3.47</v>
      </c>
      <c r="I478">
        <v>186.15</v>
      </c>
      <c r="J478">
        <v>18.25</v>
      </c>
      <c r="K478">
        <v>57.24</v>
      </c>
    </row>
    <row r="479" spans="2:11" x14ac:dyDescent="0.2">
      <c r="B479" s="3">
        <v>45090</v>
      </c>
      <c r="C479">
        <v>1.3317000000000001</v>
      </c>
      <c r="D479">
        <v>10.68275</v>
      </c>
      <c r="E479" s="3">
        <v>45079</v>
      </c>
      <c r="F479">
        <v>2292.5</v>
      </c>
      <c r="G479">
        <v>17.63</v>
      </c>
      <c r="H479">
        <v>3.61</v>
      </c>
      <c r="I479">
        <v>181.26</v>
      </c>
      <c r="J479">
        <v>18.920000000000002</v>
      </c>
      <c r="K479">
        <v>56.5</v>
      </c>
    </row>
    <row r="480" spans="2:11" x14ac:dyDescent="0.2">
      <c r="B480" s="3">
        <v>45089</v>
      </c>
      <c r="C480">
        <v>1.3368500000000001</v>
      </c>
      <c r="D480">
        <v>10.829700000000001</v>
      </c>
      <c r="E480" s="3">
        <v>45078</v>
      </c>
      <c r="F480">
        <v>2252.4299999999998</v>
      </c>
      <c r="G480">
        <v>17.28</v>
      </c>
      <c r="H480">
        <v>3.72</v>
      </c>
      <c r="I480">
        <v>181.07</v>
      </c>
      <c r="J480">
        <v>18.829999999999998</v>
      </c>
      <c r="K480">
        <v>55.95</v>
      </c>
    </row>
    <row r="481" spans="2:11" x14ac:dyDescent="0.2">
      <c r="B481" s="3">
        <v>45086</v>
      </c>
      <c r="C481">
        <v>1.3343</v>
      </c>
      <c r="D481">
        <v>10.812200000000001</v>
      </c>
      <c r="E481" s="3">
        <v>45077</v>
      </c>
      <c r="F481">
        <v>2234.96</v>
      </c>
      <c r="G481">
        <v>17.309999999999999</v>
      </c>
      <c r="H481">
        <v>3.76</v>
      </c>
      <c r="I481">
        <v>181.6</v>
      </c>
      <c r="J481">
        <v>20</v>
      </c>
      <c r="K481">
        <v>56.44</v>
      </c>
    </row>
    <row r="482" spans="2:11" x14ac:dyDescent="0.2">
      <c r="B482" s="3">
        <v>45085</v>
      </c>
      <c r="C482">
        <v>1.3352999999999999</v>
      </c>
      <c r="D482">
        <v>10.795199999999999</v>
      </c>
      <c r="E482" s="3">
        <v>45076</v>
      </c>
      <c r="F482">
        <v>2255</v>
      </c>
      <c r="G482">
        <v>17.54</v>
      </c>
      <c r="H482">
        <v>3.65</v>
      </c>
      <c r="I482">
        <v>183.75</v>
      </c>
      <c r="J482">
        <v>20</v>
      </c>
      <c r="K482">
        <v>56.3</v>
      </c>
    </row>
    <row r="483" spans="2:11" x14ac:dyDescent="0.2">
      <c r="B483" s="3">
        <v>45084</v>
      </c>
      <c r="C483">
        <v>1.3371999999999999</v>
      </c>
      <c r="D483">
        <v>10.902699999999999</v>
      </c>
      <c r="E483" s="3">
        <v>45075</v>
      </c>
      <c r="F483">
        <v>2258.64</v>
      </c>
      <c r="G483">
        <v>17.739999999999998</v>
      </c>
      <c r="H483">
        <v>3.57</v>
      </c>
      <c r="I483">
        <v>186.6</v>
      </c>
      <c r="J483">
        <v>20.71</v>
      </c>
      <c r="K483">
        <v>56.99</v>
      </c>
    </row>
    <row r="484" spans="2:11" x14ac:dyDescent="0.2">
      <c r="B484" s="3">
        <v>45083</v>
      </c>
      <c r="C484">
        <v>1.3405</v>
      </c>
      <c r="D484">
        <v>10.919600000000001</v>
      </c>
      <c r="E484" s="3">
        <v>45072</v>
      </c>
      <c r="F484">
        <v>2272.1999999999998</v>
      </c>
      <c r="G484">
        <v>17.5</v>
      </c>
      <c r="H484">
        <v>3.38</v>
      </c>
      <c r="I484">
        <v>188.82</v>
      </c>
      <c r="J484">
        <v>21.05</v>
      </c>
      <c r="K484">
        <v>56.77</v>
      </c>
    </row>
    <row r="485" spans="2:11" x14ac:dyDescent="0.2">
      <c r="B485" s="3">
        <v>45082</v>
      </c>
      <c r="C485">
        <v>1.3446</v>
      </c>
      <c r="D485">
        <v>10.858499999999999</v>
      </c>
      <c r="E485" s="3">
        <v>45071</v>
      </c>
      <c r="F485">
        <v>2231.5700000000002</v>
      </c>
      <c r="G485">
        <v>15.87</v>
      </c>
      <c r="H485">
        <v>3.25</v>
      </c>
      <c r="I485">
        <v>184</v>
      </c>
      <c r="J485">
        <v>20</v>
      </c>
      <c r="K485">
        <v>55.55</v>
      </c>
    </row>
    <row r="486" spans="2:11" x14ac:dyDescent="0.2">
      <c r="B486" s="3">
        <v>45079</v>
      </c>
      <c r="C486">
        <v>1.3425</v>
      </c>
      <c r="D486">
        <v>10.799849999999999</v>
      </c>
      <c r="E486" s="3">
        <v>45070</v>
      </c>
      <c r="F486">
        <v>2229.89</v>
      </c>
      <c r="G486">
        <v>15.21</v>
      </c>
      <c r="H486">
        <v>3.21</v>
      </c>
      <c r="I486">
        <v>180.48</v>
      </c>
      <c r="J486">
        <v>20.02</v>
      </c>
      <c r="K486">
        <v>54.75</v>
      </c>
    </row>
    <row r="487" spans="2:11" x14ac:dyDescent="0.2">
      <c r="B487" s="3">
        <v>45078</v>
      </c>
      <c r="C487">
        <v>1.3452</v>
      </c>
      <c r="D487">
        <v>10.8127</v>
      </c>
      <c r="E487" s="3">
        <v>45069</v>
      </c>
      <c r="F487">
        <v>2267.34</v>
      </c>
      <c r="G487">
        <v>15.4</v>
      </c>
      <c r="H487">
        <v>3.29</v>
      </c>
      <c r="I487">
        <v>180.99</v>
      </c>
      <c r="J487">
        <v>20.2</v>
      </c>
      <c r="K487">
        <v>54.96</v>
      </c>
    </row>
    <row r="488" spans="2:11" x14ac:dyDescent="0.2">
      <c r="B488" s="3">
        <v>45077</v>
      </c>
      <c r="C488">
        <v>1.3573999999999999</v>
      </c>
      <c r="D488">
        <v>10.8552</v>
      </c>
      <c r="E488" s="3">
        <v>45068</v>
      </c>
      <c r="F488">
        <v>2283.31</v>
      </c>
    </row>
    <row r="489" spans="2:11" x14ac:dyDescent="0.2">
      <c r="B489" s="3">
        <v>45076</v>
      </c>
      <c r="C489">
        <v>1.3599000000000001</v>
      </c>
      <c r="D489">
        <v>10.8764</v>
      </c>
      <c r="E489" s="3">
        <v>45065</v>
      </c>
      <c r="F489">
        <v>2288.37</v>
      </c>
      <c r="G489">
        <v>15.44</v>
      </c>
      <c r="H489">
        <v>3.32</v>
      </c>
      <c r="I489">
        <v>184.65</v>
      </c>
      <c r="J489">
        <v>19.2</v>
      </c>
      <c r="K489">
        <v>56.18</v>
      </c>
    </row>
    <row r="490" spans="2:11" x14ac:dyDescent="0.2">
      <c r="B490" s="3">
        <v>45075</v>
      </c>
      <c r="C490">
        <v>1.3589</v>
      </c>
      <c r="D490">
        <v>10.807</v>
      </c>
      <c r="E490" s="3">
        <v>45064</v>
      </c>
      <c r="G490">
        <v>15.36</v>
      </c>
      <c r="H490">
        <v>3.39</v>
      </c>
      <c r="I490">
        <v>182.88</v>
      </c>
      <c r="J490">
        <v>19</v>
      </c>
      <c r="K490">
        <v>56.05</v>
      </c>
    </row>
    <row r="491" spans="2:11" x14ac:dyDescent="0.2">
      <c r="B491" s="3">
        <v>45072</v>
      </c>
      <c r="C491">
        <v>1.3614999999999999</v>
      </c>
      <c r="D491">
        <v>10.811</v>
      </c>
      <c r="E491" s="3">
        <v>45063</v>
      </c>
      <c r="F491">
        <v>2246.1999999999998</v>
      </c>
      <c r="G491">
        <v>15.13</v>
      </c>
      <c r="H491">
        <v>3.4</v>
      </c>
      <c r="I491">
        <v>182.48</v>
      </c>
      <c r="J491">
        <v>18.95</v>
      </c>
      <c r="K491">
        <v>54.89</v>
      </c>
    </row>
    <row r="492" spans="2:11" x14ac:dyDescent="0.2">
      <c r="B492" s="3">
        <v>45071</v>
      </c>
      <c r="C492">
        <v>1.3638999999999999</v>
      </c>
      <c r="D492">
        <v>10.825049999999999</v>
      </c>
      <c r="E492" s="3">
        <v>45062</v>
      </c>
      <c r="F492">
        <v>2236.25</v>
      </c>
      <c r="G492">
        <v>15.05</v>
      </c>
      <c r="H492">
        <v>3.29</v>
      </c>
      <c r="I492">
        <v>184.62</v>
      </c>
      <c r="J492">
        <v>19.25</v>
      </c>
      <c r="K492">
        <v>54.93</v>
      </c>
    </row>
    <row r="493" spans="2:11" x14ac:dyDescent="0.2">
      <c r="B493" s="3">
        <v>45070</v>
      </c>
      <c r="C493">
        <v>1.3593999999999999</v>
      </c>
      <c r="D493">
        <v>10.7272</v>
      </c>
      <c r="E493" s="3">
        <v>45061</v>
      </c>
      <c r="F493">
        <v>2251.2399999999998</v>
      </c>
      <c r="G493">
        <v>14.93</v>
      </c>
      <c r="H493">
        <v>3.2</v>
      </c>
      <c r="I493">
        <v>186.1</v>
      </c>
      <c r="J493">
        <v>19.72</v>
      </c>
      <c r="K493">
        <v>54.85</v>
      </c>
    </row>
    <row r="494" spans="2:11" x14ac:dyDescent="0.2">
      <c r="B494" s="3">
        <v>45069</v>
      </c>
      <c r="C494">
        <v>1.3509</v>
      </c>
      <c r="D494">
        <v>10.616</v>
      </c>
      <c r="E494" s="3">
        <v>45058</v>
      </c>
      <c r="F494">
        <v>2236.0300000000002</v>
      </c>
      <c r="G494">
        <v>14.8</v>
      </c>
      <c r="H494">
        <v>3.15</v>
      </c>
      <c r="I494">
        <v>183.4</v>
      </c>
      <c r="J494">
        <v>19.600000000000001</v>
      </c>
      <c r="K494">
        <v>54.47</v>
      </c>
    </row>
    <row r="495" spans="2:11" x14ac:dyDescent="0.2">
      <c r="B495" s="3">
        <v>45068</v>
      </c>
      <c r="C495">
        <v>1.3506</v>
      </c>
      <c r="D495">
        <v>10.561999999999999</v>
      </c>
      <c r="E495" s="3">
        <v>45057</v>
      </c>
      <c r="F495">
        <v>2229.91</v>
      </c>
      <c r="G495">
        <v>14.72</v>
      </c>
      <c r="H495">
        <v>3.35</v>
      </c>
      <c r="I495">
        <v>183</v>
      </c>
      <c r="J495">
        <v>19.02</v>
      </c>
      <c r="K495">
        <v>54.32</v>
      </c>
    </row>
    <row r="496" spans="2:11" x14ac:dyDescent="0.2">
      <c r="B496" s="3">
        <v>45065</v>
      </c>
      <c r="C496">
        <v>1.35</v>
      </c>
      <c r="D496">
        <v>10.53195</v>
      </c>
      <c r="E496" s="3">
        <v>45056</v>
      </c>
      <c r="F496">
        <v>2208.66</v>
      </c>
      <c r="G496">
        <v>14.61</v>
      </c>
      <c r="H496">
        <v>2.71</v>
      </c>
      <c r="I496">
        <v>184.17</v>
      </c>
      <c r="J496">
        <v>19</v>
      </c>
      <c r="K496">
        <v>55.46</v>
      </c>
    </row>
    <row r="497" spans="2:11" x14ac:dyDescent="0.2">
      <c r="B497" s="3">
        <v>45064</v>
      </c>
      <c r="C497">
        <v>1.3502000000000001</v>
      </c>
      <c r="D497">
        <v>10.5527</v>
      </c>
      <c r="E497" s="3">
        <v>45055</v>
      </c>
      <c r="F497">
        <v>2223.58</v>
      </c>
      <c r="G497">
        <v>14.6</v>
      </c>
      <c r="H497">
        <v>3.51</v>
      </c>
      <c r="I497">
        <v>179.04</v>
      </c>
      <c r="J497">
        <v>19</v>
      </c>
      <c r="K497">
        <v>55.75</v>
      </c>
    </row>
    <row r="498" spans="2:11" x14ac:dyDescent="0.2">
      <c r="B498" s="3">
        <v>45063</v>
      </c>
      <c r="C498">
        <v>1.3452999999999999</v>
      </c>
      <c r="D498">
        <v>10.4473</v>
      </c>
      <c r="E498" s="3">
        <v>45054</v>
      </c>
      <c r="F498">
        <v>2239.1</v>
      </c>
      <c r="G498">
        <v>14.91</v>
      </c>
      <c r="H498">
        <v>3.54</v>
      </c>
      <c r="I498">
        <v>179</v>
      </c>
      <c r="J498">
        <v>19.399999999999999</v>
      </c>
      <c r="K498">
        <v>55.42</v>
      </c>
    </row>
    <row r="499" spans="2:11" x14ac:dyDescent="0.2">
      <c r="B499" s="3">
        <v>45062</v>
      </c>
      <c r="C499">
        <v>1.3484</v>
      </c>
      <c r="D499">
        <v>10.389200000000001</v>
      </c>
      <c r="E499" s="3">
        <v>45051</v>
      </c>
      <c r="F499">
        <v>2240.48</v>
      </c>
      <c r="G499">
        <v>14.78</v>
      </c>
      <c r="H499">
        <v>3.37</v>
      </c>
      <c r="I499">
        <v>180.82</v>
      </c>
      <c r="J499">
        <v>19.11</v>
      </c>
      <c r="K499">
        <v>55.41</v>
      </c>
    </row>
    <row r="500" spans="2:11" x14ac:dyDescent="0.2">
      <c r="B500" s="3">
        <v>45061</v>
      </c>
      <c r="C500">
        <v>1.3467</v>
      </c>
      <c r="D500">
        <v>10.353249999999999</v>
      </c>
      <c r="E500" s="3">
        <v>45050</v>
      </c>
      <c r="F500">
        <v>2228.17</v>
      </c>
      <c r="G500">
        <v>14.4</v>
      </c>
      <c r="H500">
        <v>3.18</v>
      </c>
      <c r="I500">
        <v>173.6</v>
      </c>
      <c r="J500">
        <v>18.86</v>
      </c>
      <c r="K500">
        <v>49.43</v>
      </c>
    </row>
    <row r="501" spans="2:11" x14ac:dyDescent="0.2">
      <c r="B501" s="3">
        <v>45058</v>
      </c>
      <c r="C501">
        <v>1.355</v>
      </c>
      <c r="D501">
        <v>10.38875</v>
      </c>
      <c r="E501" s="3">
        <v>45049</v>
      </c>
      <c r="F501">
        <v>2238.7600000000002</v>
      </c>
      <c r="G501">
        <v>14.68</v>
      </c>
      <c r="H501">
        <v>3.23</v>
      </c>
      <c r="I501">
        <v>177.47</v>
      </c>
      <c r="J501">
        <v>19</v>
      </c>
      <c r="K501">
        <v>51.17</v>
      </c>
    </row>
    <row r="502" spans="2:11" x14ac:dyDescent="0.2">
      <c r="B502" s="3">
        <v>45057</v>
      </c>
      <c r="C502">
        <v>1.3492999999999999</v>
      </c>
      <c r="D502">
        <v>10.3367</v>
      </c>
      <c r="E502" s="3">
        <v>45048</v>
      </c>
      <c r="F502">
        <v>2235.0300000000002</v>
      </c>
      <c r="G502">
        <v>14.52</v>
      </c>
      <c r="H502">
        <v>3.25</v>
      </c>
      <c r="I502">
        <v>185.16</v>
      </c>
      <c r="J502">
        <v>19</v>
      </c>
      <c r="K502">
        <v>51.34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R8"/>
  <sheetViews>
    <sheetView workbookViewId="0">
      <selection activeCell="B5" sqref="B5"/>
    </sheetView>
  </sheetViews>
  <sheetFormatPr defaultRowHeight="12.75" x14ac:dyDescent="0.2"/>
  <cols>
    <col min="1" max="1" width="11.28515625" bestFit="1" customWidth="1"/>
  </cols>
  <sheetData>
    <row r="1" spans="1:18" x14ac:dyDescent="0.2">
      <c r="B1" t="s">
        <v>16</v>
      </c>
      <c r="D1" t="s">
        <v>17</v>
      </c>
      <c r="F1" t="s">
        <v>18</v>
      </c>
      <c r="M1" t="s">
        <v>19</v>
      </c>
    </row>
    <row r="2" spans="1:18" x14ac:dyDescent="0.2">
      <c r="F2" t="s">
        <v>73</v>
      </c>
      <c r="G2" t="s">
        <v>154</v>
      </c>
      <c r="H2" t="s">
        <v>156</v>
      </c>
      <c r="I2" t="s">
        <v>155</v>
      </c>
      <c r="J2" t="s">
        <v>157</v>
      </c>
      <c r="K2" t="s">
        <v>158</v>
      </c>
      <c r="M2" t="s">
        <v>73</v>
      </c>
      <c r="N2" t="s">
        <v>154</v>
      </c>
      <c r="O2" t="s">
        <v>156</v>
      </c>
      <c r="P2" t="s">
        <v>155</v>
      </c>
      <c r="Q2" t="s">
        <v>157</v>
      </c>
      <c r="R2" t="s">
        <v>158</v>
      </c>
    </row>
    <row r="3" spans="1:18" x14ac:dyDescent="0.2">
      <c r="A3" t="s">
        <v>73</v>
      </c>
      <c r="B3">
        <v>-4.7769764739933052E-2</v>
      </c>
      <c r="D3">
        <v>0.13969162608749203</v>
      </c>
      <c r="F3">
        <v>0.99999999999999989</v>
      </c>
      <c r="G3">
        <v>0.20508800968742685</v>
      </c>
      <c r="H3">
        <v>5.6658005267539377E-2</v>
      </c>
      <c r="I3">
        <v>0.19445340533216135</v>
      </c>
      <c r="J3">
        <v>0.18541049676077243</v>
      </c>
      <c r="K3">
        <v>0.27578666007126212</v>
      </c>
      <c r="M3">
        <v>1.9513750398967682E-2</v>
      </c>
      <c r="N3">
        <v>1.7117538968286813E-2</v>
      </c>
      <c r="O3">
        <v>4.9282505448060652E-3</v>
      </c>
      <c r="P3">
        <v>8.526049606835515E-3</v>
      </c>
      <c r="Q3">
        <v>1.004793902145943E-2</v>
      </c>
      <c r="R3">
        <v>1.1134883560202443E-2</v>
      </c>
    </row>
    <row r="4" spans="1:18" x14ac:dyDescent="0.2">
      <c r="A4" t="s">
        <v>154</v>
      </c>
      <c r="B4">
        <v>1.0366908236657573</v>
      </c>
      <c r="D4">
        <v>0.59749005635095154</v>
      </c>
      <c r="F4">
        <v>0.20508800968742685</v>
      </c>
      <c r="G4">
        <v>0.99999999999999978</v>
      </c>
      <c r="H4">
        <v>6.0656968841182678E-2</v>
      </c>
      <c r="I4">
        <v>0.19206346603723368</v>
      </c>
      <c r="J4">
        <v>0.18208240765457406</v>
      </c>
      <c r="K4">
        <v>0.28958200174632426</v>
      </c>
      <c r="M4">
        <v>1.7117538968286813E-2</v>
      </c>
      <c r="N4">
        <v>0.35699436743826318</v>
      </c>
      <c r="O4">
        <v>2.256693153013176E-2</v>
      </c>
      <c r="P4">
        <v>3.6019474569206004E-2</v>
      </c>
      <c r="Q4">
        <v>4.22056866097726E-2</v>
      </c>
      <c r="R4">
        <v>5.0008554291444109E-2</v>
      </c>
    </row>
    <row r="5" spans="1:18" x14ac:dyDescent="0.2">
      <c r="A5" t="s">
        <v>156</v>
      </c>
      <c r="B5">
        <v>0.30326497459201018</v>
      </c>
      <c r="D5">
        <v>0.62267456400876642</v>
      </c>
      <c r="F5">
        <v>5.6658005267539377E-2</v>
      </c>
      <c r="G5">
        <v>6.0656968841182678E-2</v>
      </c>
      <c r="H5">
        <v>1.0000000000000002</v>
      </c>
      <c r="I5">
        <v>4.3140719206859884E-2</v>
      </c>
      <c r="J5">
        <v>0.14145398714734625</v>
      </c>
      <c r="K5">
        <v>6.6394503740308294E-2</v>
      </c>
      <c r="M5">
        <v>4.9282505448060652E-3</v>
      </c>
      <c r="N5">
        <v>2.256693153013176E-2</v>
      </c>
      <c r="O5">
        <v>0.38772361266350741</v>
      </c>
      <c r="P5">
        <v>8.4316085518575876E-3</v>
      </c>
      <c r="Q5">
        <v>3.4170286424540813E-2</v>
      </c>
      <c r="R5">
        <v>1.1949103042212743E-2</v>
      </c>
    </row>
    <row r="6" spans="1:18" x14ac:dyDescent="0.2">
      <c r="A6" t="s">
        <v>155</v>
      </c>
      <c r="B6">
        <v>5.6346589449036959E-3</v>
      </c>
      <c r="D6">
        <v>0.31387876076942289</v>
      </c>
      <c r="F6">
        <v>0.19445340533216135</v>
      </c>
      <c r="G6">
        <v>0.19206346603723368</v>
      </c>
      <c r="H6">
        <v>4.3140719206859884E-2</v>
      </c>
      <c r="I6">
        <v>1</v>
      </c>
      <c r="J6">
        <v>7.3407330471130322E-2</v>
      </c>
      <c r="K6">
        <v>0.36301984619881089</v>
      </c>
      <c r="M6">
        <v>8.526049606835515E-3</v>
      </c>
      <c r="N6">
        <v>3.6019474569206004E-2</v>
      </c>
      <c r="O6">
        <v>8.4316085518575876E-3</v>
      </c>
      <c r="P6">
        <v>9.8519876462148603E-2</v>
      </c>
      <c r="Q6">
        <v>8.9386855683277564E-3</v>
      </c>
      <c r="R6">
        <v>3.2933231691002186E-2</v>
      </c>
    </row>
    <row r="7" spans="1:18" x14ac:dyDescent="0.2">
      <c r="A7" t="s">
        <v>157</v>
      </c>
      <c r="B7">
        <v>0.29491823703332565</v>
      </c>
      <c r="D7">
        <v>0.38794691305055129</v>
      </c>
      <c r="F7">
        <v>0.18541049676077243</v>
      </c>
      <c r="G7">
        <v>0.18208240765457406</v>
      </c>
      <c r="H7">
        <v>0.14145398714734625</v>
      </c>
      <c r="I7">
        <v>7.3407330471130322E-2</v>
      </c>
      <c r="J7">
        <v>1</v>
      </c>
      <c r="K7">
        <v>8.3991028617510996E-2</v>
      </c>
      <c r="M7">
        <v>1.004793902145943E-2</v>
      </c>
      <c r="N7">
        <v>4.22056866097726E-2</v>
      </c>
      <c r="O7">
        <v>3.4170286424540813E-2</v>
      </c>
      <c r="P7">
        <v>8.9386855683277564E-3</v>
      </c>
      <c r="Q7">
        <v>0.15050280734545202</v>
      </c>
      <c r="R7">
        <v>9.4177520509242576E-3</v>
      </c>
    </row>
    <row r="8" spans="1:18" x14ac:dyDescent="0.2">
      <c r="A8" t="s">
        <v>158</v>
      </c>
      <c r="B8">
        <v>-0.20472345849132184</v>
      </c>
      <c r="D8">
        <v>0.28902942024787909</v>
      </c>
      <c r="F8">
        <v>0.27578666007126212</v>
      </c>
      <c r="G8">
        <v>0.28958200174632426</v>
      </c>
      <c r="H8">
        <v>6.6394503740308294E-2</v>
      </c>
      <c r="I8">
        <v>0.36301984619881089</v>
      </c>
      <c r="J8">
        <v>8.3991028617510996E-2</v>
      </c>
      <c r="K8">
        <v>1.0000000000000002</v>
      </c>
      <c r="M8">
        <v>1.1134883560202443E-2</v>
      </c>
      <c r="N8">
        <v>5.0008554291444109E-2</v>
      </c>
      <c r="O8">
        <v>1.1949103042212743E-2</v>
      </c>
      <c r="P8">
        <v>3.2933231691002186E-2</v>
      </c>
      <c r="Q8">
        <v>9.4177520509242576E-3</v>
      </c>
      <c r="R8">
        <v>8.3538005768825113E-2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N15"/>
  <sheetViews>
    <sheetView workbookViewId="0">
      <selection activeCell="J2" sqref="J2"/>
    </sheetView>
  </sheetViews>
  <sheetFormatPr defaultRowHeight="12.75" x14ac:dyDescent="0.2"/>
  <cols>
    <col min="1" max="1" width="10.140625" bestFit="1" customWidth="1"/>
    <col min="3" max="3" width="10.140625" bestFit="1" customWidth="1"/>
    <col min="9" max="9" width="11" bestFit="1" customWidth="1"/>
    <col min="10" max="10" width="10" bestFit="1" customWidth="1"/>
  </cols>
  <sheetData>
    <row r="1" spans="1:14" x14ac:dyDescent="0.2">
      <c r="A1" t="s">
        <v>13</v>
      </c>
      <c r="B1" t="s">
        <v>73</v>
      </c>
      <c r="C1" t="s">
        <v>154</v>
      </c>
      <c r="D1" t="s">
        <v>156</v>
      </c>
      <c r="E1" t="s">
        <v>155</v>
      </c>
      <c r="F1" t="s">
        <v>157</v>
      </c>
      <c r="G1" t="s">
        <v>158</v>
      </c>
      <c r="H1" t="s">
        <v>96</v>
      </c>
      <c r="I1" t="s">
        <v>97</v>
      </c>
      <c r="J1" t="s">
        <v>146</v>
      </c>
      <c r="K1" t="s">
        <v>33</v>
      </c>
      <c r="L1" t="s">
        <v>159</v>
      </c>
      <c r="M1" t="s">
        <v>189</v>
      </c>
      <c r="N1" t="s">
        <v>37</v>
      </c>
    </row>
    <row r="2" spans="1:14" x14ac:dyDescent="0.2">
      <c r="A2" s="3">
        <v>45737</v>
      </c>
      <c r="B2">
        <v>0</v>
      </c>
      <c r="C2">
        <v>200000</v>
      </c>
      <c r="D2">
        <v>200000</v>
      </c>
      <c r="E2">
        <v>200000</v>
      </c>
      <c r="F2">
        <v>200000</v>
      </c>
      <c r="G2">
        <v>200000</v>
      </c>
      <c r="H2">
        <v>-1</v>
      </c>
      <c r="I2">
        <v>62653346</v>
      </c>
      <c r="J2">
        <v>0</v>
      </c>
      <c r="K2">
        <v>10288275.538059011</v>
      </c>
      <c r="L2">
        <v>0</v>
      </c>
      <c r="M2">
        <v>0</v>
      </c>
      <c r="N2">
        <v>1000000652.058607</v>
      </c>
    </row>
    <row r="3" spans="1:14" x14ac:dyDescent="0.2">
      <c r="A3" s="3">
        <v>45740</v>
      </c>
      <c r="B3">
        <v>0</v>
      </c>
      <c r="C3">
        <v>230000</v>
      </c>
      <c r="D3">
        <v>1200000</v>
      </c>
      <c r="E3">
        <v>230000</v>
      </c>
      <c r="F3">
        <v>600000</v>
      </c>
      <c r="G3">
        <v>400000</v>
      </c>
      <c r="H3">
        <v>-2</v>
      </c>
      <c r="I3">
        <v>93857758</v>
      </c>
      <c r="J3">
        <v>0</v>
      </c>
      <c r="K3">
        <v>16016628.159178855</v>
      </c>
      <c r="L3">
        <v>0</v>
      </c>
      <c r="M3">
        <v>0</v>
      </c>
      <c r="N3">
        <v>500001017.58126557</v>
      </c>
    </row>
    <row r="4" spans="1:14" x14ac:dyDescent="0.2">
      <c r="A4" s="3">
        <v>45741</v>
      </c>
      <c r="B4">
        <v>0</v>
      </c>
      <c r="C4">
        <v>230000</v>
      </c>
      <c r="D4">
        <v>1200000</v>
      </c>
      <c r="E4">
        <v>230000</v>
      </c>
      <c r="F4">
        <v>600000</v>
      </c>
      <c r="G4">
        <v>400000</v>
      </c>
      <c r="H4">
        <v>-2</v>
      </c>
      <c r="I4">
        <v>93857758</v>
      </c>
      <c r="J4">
        <v>0</v>
      </c>
      <c r="K4">
        <v>15938241.16061401</v>
      </c>
      <c r="L4">
        <v>0</v>
      </c>
      <c r="M4">
        <v>0</v>
      </c>
      <c r="N4">
        <v>1019.0176569525589</v>
      </c>
    </row>
    <row r="5" spans="1:14" x14ac:dyDescent="0.2">
      <c r="A5" s="3">
        <v>45742</v>
      </c>
      <c r="B5">
        <v>0</v>
      </c>
      <c r="C5">
        <v>230000</v>
      </c>
      <c r="D5">
        <v>1200000</v>
      </c>
      <c r="E5">
        <v>230000</v>
      </c>
      <c r="F5">
        <v>600000</v>
      </c>
      <c r="G5">
        <v>400000</v>
      </c>
      <c r="H5">
        <v>-2</v>
      </c>
      <c r="I5">
        <v>100151232.32980315</v>
      </c>
      <c r="J5">
        <v>0</v>
      </c>
      <c r="K5">
        <v>15860167.719695317</v>
      </c>
      <c r="L5">
        <v>0</v>
      </c>
      <c r="M5">
        <v>0</v>
      </c>
      <c r="N5">
        <v>1017.7100119328981</v>
      </c>
    </row>
    <row r="6" spans="1:14" x14ac:dyDescent="0.2">
      <c r="A6" s="3">
        <v>45743</v>
      </c>
      <c r="B6">
        <v>0</v>
      </c>
      <c r="C6">
        <v>230000</v>
      </c>
      <c r="D6">
        <v>1200000</v>
      </c>
      <c r="E6">
        <v>230000</v>
      </c>
      <c r="F6">
        <v>600000</v>
      </c>
      <c r="G6">
        <v>400000</v>
      </c>
      <c r="H6">
        <v>-2</v>
      </c>
      <c r="I6">
        <v>100151232.32980315</v>
      </c>
      <c r="J6">
        <v>0</v>
      </c>
      <c r="K6">
        <v>15783393.285506506</v>
      </c>
      <c r="L6">
        <v>0</v>
      </c>
      <c r="M6">
        <v>0</v>
      </c>
      <c r="N6">
        <v>1017.7743478514844</v>
      </c>
    </row>
    <row r="7" spans="1:14" x14ac:dyDescent="0.2">
      <c r="A7" s="3">
        <v>45744</v>
      </c>
      <c r="B7">
        <v>0</v>
      </c>
      <c r="C7">
        <v>230000</v>
      </c>
      <c r="D7">
        <v>1200000</v>
      </c>
      <c r="E7">
        <v>230000</v>
      </c>
      <c r="F7">
        <v>600000</v>
      </c>
      <c r="G7">
        <v>400000</v>
      </c>
      <c r="H7">
        <v>-2</v>
      </c>
      <c r="I7">
        <v>100151232.32980315</v>
      </c>
      <c r="J7">
        <v>0</v>
      </c>
      <c r="K7">
        <v>15783393.285506506</v>
      </c>
      <c r="L7">
        <v>0</v>
      </c>
      <c r="M7">
        <v>0</v>
      </c>
      <c r="N7">
        <v>0</v>
      </c>
    </row>
    <row r="8" spans="1:14" x14ac:dyDescent="0.2">
      <c r="A8" s="3">
        <v>45747</v>
      </c>
      <c r="B8">
        <v>0</v>
      </c>
      <c r="C8">
        <v>230000</v>
      </c>
      <c r="D8">
        <v>1200000</v>
      </c>
      <c r="E8">
        <v>230000</v>
      </c>
      <c r="F8">
        <v>600000</v>
      </c>
      <c r="G8">
        <v>400000</v>
      </c>
      <c r="H8">
        <v>-2</v>
      </c>
      <c r="I8">
        <v>100151232.32980315</v>
      </c>
      <c r="J8">
        <v>0</v>
      </c>
      <c r="K8">
        <v>15783393.285506506</v>
      </c>
      <c r="L8">
        <v>0</v>
      </c>
      <c r="M8">
        <v>0</v>
      </c>
      <c r="N8">
        <v>0</v>
      </c>
    </row>
    <row r="9" spans="1:14" x14ac:dyDescent="0.2">
      <c r="A9" s="3">
        <v>45748</v>
      </c>
      <c r="B9">
        <v>0</v>
      </c>
      <c r="C9">
        <v>230000</v>
      </c>
      <c r="D9">
        <v>1200000</v>
      </c>
      <c r="E9">
        <v>230000</v>
      </c>
      <c r="F9">
        <v>600000</v>
      </c>
      <c r="G9">
        <v>400000</v>
      </c>
      <c r="H9">
        <v>-2</v>
      </c>
      <c r="I9">
        <v>100151232.32980315</v>
      </c>
      <c r="J9">
        <v>0</v>
      </c>
      <c r="K9">
        <v>15783393.285506506</v>
      </c>
      <c r="L9">
        <v>0</v>
      </c>
      <c r="M9">
        <v>0</v>
      </c>
      <c r="N9">
        <v>0</v>
      </c>
    </row>
    <row r="10" spans="1:14" x14ac:dyDescent="0.2">
      <c r="A10" s="3">
        <v>45749</v>
      </c>
      <c r="B10">
        <v>0</v>
      </c>
      <c r="C10">
        <v>230000</v>
      </c>
      <c r="D10">
        <v>1200000</v>
      </c>
      <c r="E10">
        <v>230000</v>
      </c>
      <c r="F10">
        <v>600000</v>
      </c>
      <c r="G10">
        <v>400000</v>
      </c>
      <c r="H10">
        <v>-2</v>
      </c>
      <c r="I10">
        <v>100151232.32980315</v>
      </c>
      <c r="J10">
        <v>0</v>
      </c>
      <c r="K10">
        <v>15783393.285506506</v>
      </c>
      <c r="L10">
        <v>0</v>
      </c>
      <c r="M10">
        <v>0</v>
      </c>
      <c r="N10">
        <v>0</v>
      </c>
    </row>
    <row r="11" spans="1:14" x14ac:dyDescent="0.2">
      <c r="A11" s="3">
        <v>45750</v>
      </c>
      <c r="B11">
        <v>0</v>
      </c>
      <c r="C11">
        <v>230000</v>
      </c>
      <c r="D11">
        <v>1200000</v>
      </c>
      <c r="E11">
        <v>230000</v>
      </c>
      <c r="F11">
        <v>600000</v>
      </c>
      <c r="G11">
        <v>400000</v>
      </c>
      <c r="H11">
        <v>-2</v>
      </c>
      <c r="I11">
        <v>100151232.32980315</v>
      </c>
      <c r="J11">
        <v>0</v>
      </c>
      <c r="K11">
        <v>15783393.285506506</v>
      </c>
      <c r="L11">
        <v>0</v>
      </c>
      <c r="M11">
        <v>0</v>
      </c>
      <c r="N11">
        <v>0</v>
      </c>
    </row>
    <row r="12" spans="1:14" x14ac:dyDescent="0.2">
      <c r="A12" s="3">
        <v>45751</v>
      </c>
      <c r="B12">
        <v>0</v>
      </c>
      <c r="C12">
        <v>230000</v>
      </c>
      <c r="D12">
        <v>1200000</v>
      </c>
      <c r="E12">
        <v>230000</v>
      </c>
      <c r="F12">
        <v>600000</v>
      </c>
      <c r="G12">
        <v>400000</v>
      </c>
      <c r="H12">
        <v>-2</v>
      </c>
      <c r="I12">
        <v>100151232.32980315</v>
      </c>
      <c r="J12">
        <v>0</v>
      </c>
      <c r="K12">
        <v>15783393.285506506</v>
      </c>
      <c r="L12">
        <v>0</v>
      </c>
      <c r="M12">
        <v>0</v>
      </c>
      <c r="N12">
        <v>0</v>
      </c>
    </row>
    <row r="13" spans="1:14" x14ac:dyDescent="0.2">
      <c r="A13" s="3">
        <v>45754</v>
      </c>
      <c r="B13">
        <v>0</v>
      </c>
      <c r="C13">
        <v>230000</v>
      </c>
      <c r="D13">
        <v>1200000</v>
      </c>
      <c r="E13">
        <v>230000</v>
      </c>
      <c r="F13">
        <v>600000</v>
      </c>
      <c r="G13">
        <v>400000</v>
      </c>
      <c r="H13">
        <v>-2</v>
      </c>
      <c r="I13">
        <v>100151232.32980315</v>
      </c>
      <c r="J13">
        <v>0</v>
      </c>
      <c r="K13">
        <v>15783393.285506506</v>
      </c>
      <c r="L13">
        <v>0</v>
      </c>
      <c r="M13">
        <v>0</v>
      </c>
      <c r="N13">
        <v>0</v>
      </c>
    </row>
    <row r="14" spans="1:14" x14ac:dyDescent="0.2">
      <c r="A14" s="3">
        <v>45755</v>
      </c>
      <c r="B14">
        <v>0</v>
      </c>
      <c r="C14">
        <v>230000</v>
      </c>
      <c r="D14">
        <v>1200000</v>
      </c>
      <c r="E14">
        <v>230000</v>
      </c>
      <c r="F14">
        <v>600000</v>
      </c>
      <c r="G14">
        <v>400000</v>
      </c>
      <c r="H14">
        <v>-2</v>
      </c>
      <c r="I14">
        <v>100151232.32980315</v>
      </c>
      <c r="J14">
        <v>0</v>
      </c>
      <c r="K14">
        <v>15783393.285506506</v>
      </c>
      <c r="L14">
        <v>0</v>
      </c>
      <c r="M14">
        <v>0</v>
      </c>
      <c r="N14">
        <v>0</v>
      </c>
    </row>
    <row r="15" spans="1:14" x14ac:dyDescent="0.2">
      <c r="A15" s="3">
        <v>45756</v>
      </c>
      <c r="B15">
        <v>0</v>
      </c>
      <c r="C15">
        <v>230000</v>
      </c>
      <c r="D15">
        <v>1200000</v>
      </c>
      <c r="E15">
        <v>230000</v>
      </c>
      <c r="F15">
        <v>600000</v>
      </c>
      <c r="G15">
        <v>400000</v>
      </c>
      <c r="H15">
        <v>-2</v>
      </c>
      <c r="I15">
        <v>100151232.32980315</v>
      </c>
      <c r="J15">
        <v>0</v>
      </c>
      <c r="K15">
        <v>15783393.285506506</v>
      </c>
      <c r="L15">
        <v>0</v>
      </c>
      <c r="M15">
        <v>0</v>
      </c>
      <c r="N15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sheetPr codeName="Sheet9"/>
  <dimension ref="A1:Z35"/>
  <sheetViews>
    <sheetView tabSelected="1" topLeftCell="D1" zoomScale="110" zoomScaleNormal="110" workbookViewId="0">
      <selection activeCell="S28" sqref="S28"/>
    </sheetView>
  </sheetViews>
  <sheetFormatPr defaultRowHeight="12.75" x14ac:dyDescent="0.2"/>
  <cols>
    <col min="2" max="2" width="10.5703125" bestFit="1" customWidth="1"/>
    <col min="3" max="3" width="18" customWidth="1"/>
    <col min="4" max="4" width="20.42578125" customWidth="1"/>
    <col min="5" max="5" width="12.7109375" bestFit="1" customWidth="1"/>
    <col min="6" max="6" width="11.7109375" bestFit="1" customWidth="1"/>
    <col min="7" max="7" width="12" bestFit="1" customWidth="1"/>
    <col min="8" max="8" width="11" bestFit="1" customWidth="1"/>
    <col min="9" max="9" width="12" bestFit="1" customWidth="1"/>
    <col min="10" max="10" width="16.28515625" bestFit="1" customWidth="1"/>
    <col min="11" max="11" width="10.5703125" bestFit="1" customWidth="1"/>
    <col min="12" max="12" width="13.28515625" bestFit="1" customWidth="1"/>
    <col min="17" max="17" width="10.42578125" bestFit="1" customWidth="1"/>
    <col min="18" max="18" width="12.85546875" customWidth="1"/>
    <col min="19" max="19" width="12.7109375" customWidth="1"/>
    <col min="20" max="20" width="11.28515625" customWidth="1"/>
    <col min="21" max="21" width="15" customWidth="1"/>
    <col min="22" max="22" width="12.5703125" customWidth="1"/>
    <col min="24" max="24" width="13.28515625" bestFit="1" customWidth="1"/>
    <col min="25" max="25" width="12" bestFit="1" customWidth="1"/>
  </cols>
  <sheetData>
    <row r="1" spans="1:26" ht="15" x14ac:dyDescent="0.25">
      <c r="A1" s="28" t="s">
        <v>99</v>
      </c>
      <c r="B1" s="28"/>
      <c r="C1" s="28"/>
      <c r="D1" s="28"/>
      <c r="E1" s="28"/>
      <c r="F1" s="28"/>
      <c r="G1" s="28"/>
      <c r="H1" s="28"/>
      <c r="I1" s="8"/>
      <c r="J1" s="13" t="s">
        <v>100</v>
      </c>
      <c r="K1" s="14"/>
      <c r="L1" s="15" t="s">
        <v>101</v>
      </c>
      <c r="M1" s="15" t="s">
        <v>102</v>
      </c>
      <c r="N1" s="15"/>
      <c r="O1" s="15">
        <v>3</v>
      </c>
      <c r="P1" s="29">
        <v>1</v>
      </c>
      <c r="Q1" s="29"/>
      <c r="R1" s="29"/>
      <c r="S1" s="29"/>
      <c r="T1" s="15">
        <v>15</v>
      </c>
      <c r="U1" s="15"/>
      <c r="V1" s="15">
        <v>16</v>
      </c>
      <c r="W1" s="8"/>
      <c r="X1" s="15">
        <v>10</v>
      </c>
      <c r="Y1" s="8"/>
      <c r="Z1" s="10"/>
    </row>
    <row r="2" spans="1:26" x14ac:dyDescent="0.2">
      <c r="A2" s="16"/>
      <c r="B2" s="20" t="s">
        <v>133</v>
      </c>
      <c r="C2" s="16"/>
      <c r="D2" s="16"/>
      <c r="E2" s="16"/>
      <c r="F2" s="16"/>
      <c r="G2" s="16"/>
      <c r="H2" s="16"/>
      <c r="I2" s="8"/>
      <c r="J2" s="13"/>
      <c r="K2" s="14" t="s">
        <v>103</v>
      </c>
      <c r="L2" s="28" t="s">
        <v>131</v>
      </c>
      <c r="M2" s="28"/>
      <c r="N2" s="28" t="s">
        <v>132</v>
      </c>
      <c r="O2" s="28"/>
      <c r="P2" s="28" t="s">
        <v>104</v>
      </c>
      <c r="Q2" s="28"/>
      <c r="R2" s="28" t="s">
        <v>105</v>
      </c>
      <c r="S2" s="28"/>
      <c r="T2" s="13" t="s">
        <v>106</v>
      </c>
      <c r="U2" s="13" t="s">
        <v>107</v>
      </c>
      <c r="V2" s="14" t="s">
        <v>108</v>
      </c>
      <c r="W2" s="8"/>
      <c r="X2" s="13" t="s">
        <v>109</v>
      </c>
      <c r="Y2" s="8"/>
      <c r="Z2" s="10"/>
    </row>
    <row r="3" spans="1:26" x14ac:dyDescent="0.2">
      <c r="A3" s="17"/>
      <c r="B3" s="17" t="s">
        <v>110</v>
      </c>
      <c r="C3" s="17" t="s">
        <v>111</v>
      </c>
      <c r="D3" s="17" t="s">
        <v>112</v>
      </c>
      <c r="E3" s="17"/>
      <c r="F3" s="17"/>
      <c r="G3" s="17"/>
      <c r="H3" s="17"/>
      <c r="I3" s="8"/>
      <c r="J3" s="13" t="s">
        <v>113</v>
      </c>
      <c r="K3" s="14"/>
      <c r="L3" s="13" t="s">
        <v>33</v>
      </c>
      <c r="M3" s="13" t="s">
        <v>97</v>
      </c>
      <c r="N3" s="13" t="s">
        <v>33</v>
      </c>
      <c r="O3" s="13" t="s">
        <v>97</v>
      </c>
      <c r="P3" s="13" t="s">
        <v>114</v>
      </c>
      <c r="Q3" s="13" t="s">
        <v>115</v>
      </c>
      <c r="R3" s="13" t="s">
        <v>114</v>
      </c>
      <c r="S3" s="13" t="s">
        <v>115</v>
      </c>
      <c r="T3" s="13"/>
      <c r="U3" s="13"/>
      <c r="V3" s="14"/>
      <c r="W3" s="8"/>
      <c r="X3" s="13" t="s">
        <v>97</v>
      </c>
      <c r="Y3" s="8"/>
      <c r="Z3" s="10"/>
    </row>
    <row r="4" spans="1:26" x14ac:dyDescent="0.2">
      <c r="A4" s="17"/>
      <c r="B4" s="18">
        <v>45737</v>
      </c>
      <c r="C4" s="17" t="s">
        <v>97</v>
      </c>
      <c r="D4" s="17">
        <v>100</v>
      </c>
      <c r="E4" s="17"/>
      <c r="F4" s="17"/>
      <c r="G4" s="17"/>
      <c r="H4" s="17"/>
      <c r="I4" s="8"/>
      <c r="J4" s="13" t="s">
        <v>116</v>
      </c>
      <c r="K4" s="10">
        <f>B15</f>
        <v>45737</v>
      </c>
      <c r="L4" s="8">
        <f>Calculations!E17</f>
        <v>2.3134730000000001</v>
      </c>
      <c r="M4" s="8">
        <f>Calculations!E32</f>
        <v>2.5466259999999998</v>
      </c>
      <c r="N4" s="8">
        <f>Calculations!H17</f>
        <v>2.374952</v>
      </c>
      <c r="O4" s="8">
        <f>Calculations!I32</f>
        <v>2.518564</v>
      </c>
      <c r="P4" s="8">
        <f>Calculations!K7</f>
        <v>7.0469999999999997</v>
      </c>
      <c r="Q4" s="8">
        <f>Calculations!L7</f>
        <v>7.0838999999999999</v>
      </c>
      <c r="R4" s="8">
        <f>Calculations!I44</f>
        <v>0.41</v>
      </c>
      <c r="S4" s="8">
        <f>Calculations!J44</f>
        <v>0.73</v>
      </c>
      <c r="T4" s="8">
        <f>Calculations!E82</f>
        <v>24968.49</v>
      </c>
      <c r="U4">
        <v>24955</v>
      </c>
      <c r="V4" s="8">
        <f>(Calculations!$P$6*Calculations!N66*Calculations!N59+Calculations!$P$7*Calculations!P66*Calculations!P59+Calculations!$P$8*Calculations!O66*Calculations!O59+Calculations!$P$9*Calculations!Q66*Calculations!Q59+Calculations!R66*Calculations!$P$10*Calculations!R59)/Answer!D15</f>
        <v>1.2718877265030122</v>
      </c>
      <c r="W4" s="8"/>
      <c r="X4" s="9">
        <f>transactions!H3/transactions!G3+SUM(transactions!H5:H9)</f>
        <v>108654.0707669009</v>
      </c>
      <c r="Y4" s="8"/>
      <c r="Z4" s="10"/>
    </row>
    <row r="5" spans="1:26" x14ac:dyDescent="0.2">
      <c r="A5" s="8"/>
      <c r="B5" s="10"/>
      <c r="C5" s="8"/>
      <c r="D5" s="8"/>
      <c r="E5" s="8"/>
      <c r="F5" s="8"/>
      <c r="G5" s="8"/>
      <c r="H5" s="8"/>
      <c r="I5" s="8"/>
      <c r="J5" s="13" t="s">
        <v>117</v>
      </c>
      <c r="K5" s="10">
        <f>B16</f>
        <v>45740</v>
      </c>
      <c r="L5" s="8">
        <f>Calculations!E18</f>
        <v>2.3073969999999999</v>
      </c>
      <c r="M5" s="8">
        <f>Calculations!E33</f>
        <v>2.5468039999999998</v>
      </c>
      <c r="N5" s="8">
        <f>Calculations!H18</f>
        <v>2.3520560000000001</v>
      </c>
      <c r="O5" s="8">
        <f>Calculations!I33</f>
        <v>2.7131069999999999</v>
      </c>
      <c r="P5" s="8">
        <f>Calculations!K8</f>
        <v>7.0481999999999996</v>
      </c>
      <c r="Q5" s="8">
        <f>Calculations!L8</f>
        <v>7.0644999999999998</v>
      </c>
      <c r="R5" s="8">
        <f>Calculations!I45</f>
        <v>0.43</v>
      </c>
      <c r="S5" s="8">
        <f>Calculations!J45</f>
        <v>0.6</v>
      </c>
      <c r="T5" s="8">
        <f>Calculations!E83</f>
        <v>25304.11</v>
      </c>
      <c r="U5">
        <v>25290</v>
      </c>
      <c r="V5" s="8">
        <f>(Calculations!$P$6*Calculations!N67*Calculations!N60+Calculations!$P$7*Calculations!P67*Calculations!P60+Calculations!$P$8*Calculations!O67*Calculations!O60+Calculations!$P$9*Calculations!Q67*Calculations!Q60+Calculations!R67*Calculations!$P$10*Calculations!R60)/Answer!D16</f>
        <v>1.2095254481394615</v>
      </c>
      <c r="W5" s="8"/>
      <c r="X5" s="9">
        <f>transactions!H13/transactions!G13+SUM(transactions!H15:H19)</f>
        <v>54387.96457091839</v>
      </c>
      <c r="Y5" s="8"/>
      <c r="Z5" s="10"/>
    </row>
    <row r="6" spans="1:26" x14ac:dyDescent="0.2">
      <c r="A6" s="8"/>
      <c r="B6" s="10"/>
      <c r="C6" s="8"/>
      <c r="D6" s="8"/>
      <c r="E6" s="8"/>
      <c r="F6" s="8"/>
      <c r="G6" s="8"/>
      <c r="H6" s="8"/>
      <c r="I6" s="8"/>
      <c r="J6" s="13" t="s">
        <v>118</v>
      </c>
      <c r="K6" s="10">
        <f>B17</f>
        <v>45741</v>
      </c>
      <c r="L6" s="8">
        <f>Calculations!E19</f>
        <v>2.310508</v>
      </c>
      <c r="M6" s="8">
        <f>Calculations!E34</f>
        <v>2.5365509999999998</v>
      </c>
      <c r="N6" s="8">
        <f>Calculations!H19</f>
        <v>2.3571040000000001</v>
      </c>
      <c r="O6" s="8">
        <f>Calculations!I34</f>
        <v>2.7336049999999998</v>
      </c>
      <c r="P6" s="8">
        <f>Calculations!K9</f>
        <v>7.0243000000000002</v>
      </c>
      <c r="Q6" s="8">
        <f>Calculations!L9</f>
        <v>7.0355999999999996</v>
      </c>
      <c r="R6" s="8">
        <f>Calculations!I46</f>
        <v>0.51</v>
      </c>
      <c r="S6" s="8">
        <f>Calculations!J46</f>
        <v>0.65</v>
      </c>
      <c r="T6" s="8">
        <f>Calculations!E84</f>
        <v>25339.51</v>
      </c>
      <c r="U6">
        <v>25325</v>
      </c>
      <c r="V6" s="8">
        <f>(Calculations!$P$6*Calculations!N68*Calculations!N61+Calculations!$P$7*Calculations!P68*Calculations!P61+Calculations!$P$8*Calculations!O68*Calculations!O61+Calculations!$P$9*Calculations!Q68*Calculations!Q61+Calculations!R68*Calculations!$P$10*Calculations!R61)/Answer!D17</f>
        <v>1.1994729201522307</v>
      </c>
      <c r="W6" s="8"/>
      <c r="X6" s="8"/>
      <c r="Y6" s="8"/>
      <c r="Z6" s="10"/>
    </row>
    <row r="7" spans="1:26" x14ac:dyDescent="0.2">
      <c r="A7" s="8"/>
      <c r="B7" s="10"/>
      <c r="C7" s="8"/>
      <c r="D7" s="8"/>
      <c r="E7" s="8"/>
      <c r="F7" s="8"/>
      <c r="G7" s="8"/>
      <c r="H7" s="8"/>
      <c r="I7" s="8"/>
      <c r="J7" s="13" t="s">
        <v>119</v>
      </c>
      <c r="K7" s="10">
        <f>B18</f>
        <v>45742</v>
      </c>
      <c r="L7" s="8">
        <f>Calculations!E20</f>
        <v>2.3073969999999999</v>
      </c>
      <c r="M7" s="8">
        <f>Calculations!E35</f>
        <v>2.7007289999999999</v>
      </c>
      <c r="N7" s="8">
        <f>Calculations!H20</f>
        <v>2.3471700000000002</v>
      </c>
      <c r="O7" s="8">
        <f>Calculations!I35</f>
        <v>2.7129050000000001</v>
      </c>
      <c r="P7" s="8">
        <f>Calculations!K10</f>
        <v>7.0125999999999999</v>
      </c>
      <c r="Q7" s="8">
        <f>Calculations!L10</f>
        <v>7.0888999999999998</v>
      </c>
      <c r="R7" s="8">
        <f>Calculations!I47</f>
        <v>0.49</v>
      </c>
      <c r="S7" s="8">
        <f>Calculations!J47</f>
        <v>0.6</v>
      </c>
      <c r="T7" s="8">
        <f>Calculations!E85</f>
        <v>25161.06</v>
      </c>
      <c r="U7">
        <v>25140</v>
      </c>
      <c r="V7" s="8">
        <f>(Calculations!$P$6*Calculations!N69*Calculations!N62+Calculations!$P$7*Calculations!P69*Calculations!P62+Calculations!$P$8*Calculations!O69*Calculations!O62+Calculations!$P$9*Calculations!Q69*Calculations!Q62+Calculations!R69*Calculations!$P$10*Calculations!R62)/Answer!D18</f>
        <v>1.1802725252327448</v>
      </c>
      <c r="W7" s="8"/>
      <c r="X7" s="8"/>
      <c r="Y7" s="8"/>
      <c r="Z7" s="10"/>
    </row>
    <row r="8" spans="1:26" x14ac:dyDescent="0.2">
      <c r="A8" s="8"/>
      <c r="B8" s="10"/>
      <c r="C8" s="8"/>
      <c r="D8" s="8"/>
      <c r="E8" s="8"/>
      <c r="F8" s="8"/>
      <c r="G8" s="8"/>
      <c r="H8" s="8"/>
      <c r="I8" s="8"/>
      <c r="J8" s="13" t="s">
        <v>120</v>
      </c>
      <c r="K8" s="10">
        <f>B19</f>
        <v>45743</v>
      </c>
      <c r="L8" s="8">
        <f>Calculations!E21</f>
        <v>2.3073969999999999</v>
      </c>
      <c r="M8" s="8">
        <f>Calculations!E36</f>
        <v>2.5570590000000002</v>
      </c>
      <c r="N8" s="8">
        <f>Calculations!H21</f>
        <v>2.3466360000000002</v>
      </c>
      <c r="O8" s="8">
        <f>Calculations!I36</f>
        <v>2.7335020000000001</v>
      </c>
      <c r="P8" s="8">
        <f>Calculations!K11</f>
        <v>6.9851999999999999</v>
      </c>
      <c r="Q8" s="8">
        <f>Calculations!L11</f>
        <v>7.0011999999999999</v>
      </c>
      <c r="R8" s="8">
        <f>Calculations!I48</f>
        <v>0.55000000000000004</v>
      </c>
      <c r="S8" s="8">
        <f>Calculations!J48</f>
        <v>0.57999999999999996</v>
      </c>
      <c r="T8" s="8">
        <f>Calculations!E86</f>
        <v>25161.06</v>
      </c>
      <c r="U8">
        <v>25140</v>
      </c>
      <c r="V8" s="8">
        <f>(Calculations!$P$6*Calculations!N70*Calculations!N63+Calculations!$P$7*Calculations!P70*Calculations!P63+Calculations!$P$8*Calculations!O70*Calculations!O63+Calculations!$P$9*Calculations!Q70*Calculations!Q63+Calculations!R70*Calculations!$P$10*Calculations!R63)/Answer!D19</f>
        <v>1.174824364010211</v>
      </c>
      <c r="W8" s="8"/>
      <c r="X8" s="8"/>
      <c r="Y8" s="8"/>
      <c r="Z8" s="10"/>
    </row>
    <row r="9" spans="1:26" x14ac:dyDescent="0.2">
      <c r="A9" s="8"/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10"/>
    </row>
    <row r="10" spans="1:26" x14ac:dyDescent="0.2">
      <c r="A10" s="8"/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10"/>
      <c r="R10" s="8"/>
      <c r="S10" s="8"/>
      <c r="T10" s="8"/>
      <c r="U10" s="8"/>
      <c r="V10" s="8"/>
      <c r="W10" s="8"/>
      <c r="X10" s="8"/>
      <c r="Y10" s="8"/>
      <c r="Z10" s="10"/>
    </row>
    <row r="11" spans="1:26" x14ac:dyDescent="0.2">
      <c r="A11" s="8"/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10"/>
      <c r="R11" s="8"/>
      <c r="S11" s="8"/>
      <c r="T11" s="8"/>
      <c r="U11" s="8"/>
      <c r="V11" s="8"/>
      <c r="W11" s="8"/>
      <c r="X11" s="8"/>
      <c r="Y11" s="8"/>
      <c r="Z11" s="10"/>
    </row>
    <row r="12" spans="1:26" ht="15" x14ac:dyDescent="0.25">
      <c r="A12" s="13"/>
      <c r="B12" s="14"/>
      <c r="C12" s="15">
        <v>6</v>
      </c>
      <c r="D12" s="15">
        <v>4</v>
      </c>
      <c r="E12" s="15">
        <v>5</v>
      </c>
      <c r="F12" s="15">
        <v>7</v>
      </c>
      <c r="G12" s="15"/>
      <c r="H12" s="15">
        <v>8</v>
      </c>
      <c r="I12" s="15"/>
      <c r="J12" s="15">
        <v>11</v>
      </c>
      <c r="K12" s="15">
        <v>12</v>
      </c>
      <c r="L12" s="15">
        <v>9</v>
      </c>
      <c r="M12" s="15"/>
      <c r="N12" s="15"/>
      <c r="O12" s="15"/>
      <c r="P12" s="15"/>
      <c r="Q12" s="21"/>
      <c r="R12" s="15"/>
      <c r="S12" s="15"/>
      <c r="T12" s="15"/>
      <c r="U12" s="15"/>
      <c r="V12" s="15"/>
      <c r="W12" s="15">
        <v>13</v>
      </c>
      <c r="X12" s="15">
        <v>14</v>
      </c>
      <c r="Y12" s="19"/>
      <c r="Z12" s="19"/>
    </row>
    <row r="13" spans="1:26" x14ac:dyDescent="0.2">
      <c r="A13" s="13"/>
      <c r="B13" s="14" t="s">
        <v>103</v>
      </c>
      <c r="C13" s="13" t="s">
        <v>121</v>
      </c>
      <c r="D13" s="13" t="s">
        <v>122</v>
      </c>
      <c r="E13" s="13" t="s">
        <v>122</v>
      </c>
      <c r="F13" s="13" t="s">
        <v>123</v>
      </c>
      <c r="G13" s="13" t="s">
        <v>124</v>
      </c>
      <c r="H13" s="13" t="s">
        <v>125</v>
      </c>
      <c r="I13" s="13" t="s">
        <v>125</v>
      </c>
      <c r="J13" s="13" t="s">
        <v>126</v>
      </c>
      <c r="K13" s="13" t="s">
        <v>127</v>
      </c>
      <c r="L13" s="13" t="s">
        <v>128</v>
      </c>
      <c r="M13" s="13"/>
      <c r="N13" s="13"/>
      <c r="O13" s="13"/>
      <c r="P13" s="13"/>
      <c r="Q13" s="14"/>
      <c r="R13" s="13"/>
      <c r="S13" s="14"/>
      <c r="T13" s="13" t="s">
        <v>129</v>
      </c>
      <c r="U13" s="13"/>
      <c r="V13" s="13"/>
      <c r="W13" s="13" t="s">
        <v>76</v>
      </c>
      <c r="X13" s="13" t="s">
        <v>130</v>
      </c>
      <c r="Y13" s="13"/>
      <c r="Z13" s="14"/>
    </row>
    <row r="14" spans="1:26" x14ac:dyDescent="0.2">
      <c r="A14" s="13" t="s">
        <v>113</v>
      </c>
      <c r="B14" s="14"/>
      <c r="C14" s="13" t="s">
        <v>33</v>
      </c>
      <c r="D14" s="13" t="s">
        <v>97</v>
      </c>
      <c r="E14" s="13" t="s">
        <v>33</v>
      </c>
      <c r="F14" s="13" t="s">
        <v>33</v>
      </c>
      <c r="G14" s="13" t="s">
        <v>97</v>
      </c>
      <c r="H14" s="13" t="s">
        <v>33</v>
      </c>
      <c r="I14" s="13" t="s">
        <v>97</v>
      </c>
      <c r="J14" s="13" t="s">
        <v>33</v>
      </c>
      <c r="K14" s="13" t="s">
        <v>33</v>
      </c>
      <c r="L14" s="13" t="s">
        <v>33</v>
      </c>
      <c r="M14" s="13"/>
      <c r="N14" s="13"/>
      <c r="O14" s="13"/>
      <c r="P14" s="13"/>
      <c r="Q14" s="14"/>
      <c r="R14" s="13"/>
      <c r="S14" s="14"/>
      <c r="T14" s="13"/>
      <c r="U14" s="13"/>
      <c r="V14" s="13"/>
      <c r="W14" s="13" t="s">
        <v>97</v>
      </c>
      <c r="X14" s="13" t="s">
        <v>33</v>
      </c>
      <c r="Y14" s="13"/>
      <c r="Z14" s="14"/>
    </row>
    <row r="15" spans="1:26" x14ac:dyDescent="0.2">
      <c r="A15" s="13" t="s">
        <v>116</v>
      </c>
      <c r="B15" s="10">
        <v>45737</v>
      </c>
      <c r="C15" s="9">
        <f>transactions!J2</f>
        <v>1000000000</v>
      </c>
      <c r="D15" s="9">
        <f>Calculations!S66</f>
        <v>74840000</v>
      </c>
      <c r="E15" s="9">
        <f>D15*(P4+Q4)/2</f>
        <v>528778278</v>
      </c>
      <c r="F15" s="9">
        <f>transactions!J2+transactions!J3+transactions!J10</f>
        <v>10287623.479452055</v>
      </c>
      <c r="G15" s="9">
        <f>transactions!F3+SUM(transactions!J5:J9)</f>
        <v>62653346</v>
      </c>
      <c r="H15" s="9">
        <f>L4*F15/(365*100)</f>
        <v>652.05860695557215</v>
      </c>
      <c r="I15" s="9">
        <f>M4*G15/(100*365)</f>
        <v>4371.3599975505749</v>
      </c>
      <c r="J15" s="9">
        <f>F15+H15+((P4+Q4)/2)*(D15+G15+I15)</f>
        <v>981771522.6592536</v>
      </c>
      <c r="K15" s="11">
        <v>100</v>
      </c>
      <c r="L15" s="9">
        <f>transactions!I10</f>
        <v>54794.520547945205</v>
      </c>
      <c r="M15" s="8"/>
      <c r="N15" s="8"/>
      <c r="O15" s="8"/>
      <c r="P15" s="8"/>
      <c r="Q15" s="10"/>
      <c r="R15" s="8"/>
      <c r="S15" s="8"/>
      <c r="T15" s="8">
        <v>0</v>
      </c>
      <c r="U15" s="8"/>
      <c r="V15" s="8"/>
      <c r="W15" s="8">
        <v>0</v>
      </c>
      <c r="X15" s="9">
        <v>0</v>
      </c>
      <c r="Y15" s="8"/>
      <c r="Z15" s="8"/>
    </row>
    <row r="16" spans="1:26" x14ac:dyDescent="0.2">
      <c r="A16" s="13" t="s">
        <v>117</v>
      </c>
      <c r="B16" s="10">
        <v>45740</v>
      </c>
      <c r="C16" s="9">
        <f>transactions!J12</f>
        <v>500000000</v>
      </c>
      <c r="D16" s="9">
        <f>Calculations!S67</f>
        <v>109219600</v>
      </c>
      <c r="E16" s="9">
        <f t="shared" ref="E16:E19" si="0">D16*(P5+Q5)/2</f>
        <v>770691724.46000004</v>
      </c>
      <c r="F16" s="9">
        <f>transactions!J12+transactions!J13+F15+H15</f>
        <v>16096803.538059011</v>
      </c>
      <c r="G16" s="9">
        <f>G15+I15+transactions!F13+SUM(transactions!J15:J19)</f>
        <v>93862129.359997541</v>
      </c>
      <c r="H16" s="9">
        <f t="shared" ref="H16:H19" si="1">L5*F16/(365*100)</f>
        <v>1017.5812655700478</v>
      </c>
      <c r="I16" s="9">
        <f t="shared" ref="I16:I19" si="2">M5*G16/(100*365)</f>
        <v>6549.2725069194294</v>
      </c>
      <c r="J16" s="9">
        <f>F16+H16+((P5+Q5)/2)*(D16+G16+I16)</f>
        <v>1449159796.0477977</v>
      </c>
      <c r="K16" s="11">
        <f>K15*(1+Calculations!E73)</f>
        <v>97.799139333375123</v>
      </c>
      <c r="L16" s="9">
        <f>transactions!I21</f>
        <v>81192.960145712525</v>
      </c>
      <c r="M16" s="8"/>
      <c r="N16" s="8"/>
      <c r="O16" s="8"/>
      <c r="P16" s="8"/>
      <c r="Q16" s="10"/>
      <c r="R16" s="8"/>
      <c r="S16" s="8"/>
      <c r="T16" s="8">
        <v>0</v>
      </c>
      <c r="U16" s="8"/>
      <c r="V16" s="8"/>
      <c r="W16" s="8">
        <v>0</v>
      </c>
      <c r="X16" s="9">
        <f>Calculations!V95</f>
        <v>-8163001.0449107736</v>
      </c>
      <c r="Y16" s="8"/>
      <c r="Z16" s="8"/>
    </row>
    <row r="17" spans="1:26" x14ac:dyDescent="0.2">
      <c r="A17" s="13" t="s">
        <v>118</v>
      </c>
      <c r="B17" s="10">
        <v>45741</v>
      </c>
      <c r="C17" s="8">
        <f>dailyHoldings!J17</f>
        <v>0</v>
      </c>
      <c r="D17" s="9">
        <f>Calculations!S68</f>
        <v>109158200</v>
      </c>
      <c r="E17" s="9">
        <f t="shared" si="0"/>
        <v>767376688.08999991</v>
      </c>
      <c r="F17" s="9">
        <f>F16+H16</f>
        <v>16097821.119324582</v>
      </c>
      <c r="G17" s="9">
        <f>G16+I16</f>
        <v>93868678.632504463</v>
      </c>
      <c r="H17" s="9">
        <f t="shared" si="1"/>
        <v>1019.0176569525589</v>
      </c>
      <c r="I17" s="9">
        <f t="shared" si="2"/>
        <v>6523.3613877796661</v>
      </c>
      <c r="J17" s="9">
        <f t="shared" ref="J17:J19" si="3">F17+H17+((P6+Q6)/2)*(D17+G17+I17)</f>
        <v>1443413504.4839442</v>
      </c>
      <c r="K17" s="11">
        <f>K16*(1+Calculations!E74)</f>
        <v>97.411340575200796</v>
      </c>
      <c r="L17" s="9">
        <f>transactions!I23</f>
        <v>79406.016221797137</v>
      </c>
      <c r="M17" s="8"/>
      <c r="N17" s="8"/>
      <c r="O17" s="8"/>
      <c r="P17" s="8"/>
      <c r="Q17" s="10"/>
      <c r="R17" s="8"/>
      <c r="S17" s="8"/>
      <c r="T17" s="8">
        <f>Calculations!$I$91</f>
        <v>-341.6276422098378</v>
      </c>
      <c r="U17" s="8"/>
      <c r="V17" s="8"/>
      <c r="W17" s="8">
        <v>0</v>
      </c>
      <c r="X17" s="9">
        <f>Calculations!V96</f>
        <v>-51683606.470281012</v>
      </c>
      <c r="Y17" s="8"/>
      <c r="Z17" s="8"/>
    </row>
    <row r="18" spans="1:26" x14ac:dyDescent="0.2">
      <c r="A18" s="13" t="s">
        <v>119</v>
      </c>
      <c r="B18" s="10">
        <v>45742</v>
      </c>
      <c r="C18" s="8">
        <f>dailyHoldings!J18</f>
        <v>0</v>
      </c>
      <c r="D18" s="9">
        <f>Calculations!S69</f>
        <v>105190000</v>
      </c>
      <c r="E18" s="9">
        <f t="shared" si="0"/>
        <v>741668392.5</v>
      </c>
      <c r="F18" s="9">
        <f t="shared" ref="F18:F19" si="4">F17+H17</f>
        <v>16098840.136981534</v>
      </c>
      <c r="G18" s="9">
        <f>G17+I17+transactions!J25</f>
        <v>100195313.37477423</v>
      </c>
      <c r="H18" s="9">
        <f t="shared" si="1"/>
        <v>1017.7100119328981</v>
      </c>
      <c r="I18" s="9">
        <f t="shared" si="2"/>
        <v>7413.7092738449492</v>
      </c>
      <c r="J18" s="9">
        <f t="shared" si="3"/>
        <v>1464272628.3348453</v>
      </c>
      <c r="K18" s="11">
        <f>K17*(1+Calculations!E75)</f>
        <v>98.819055835746923</v>
      </c>
      <c r="L18" s="9">
        <f>transactions!I24</f>
        <v>79091.150930627075</v>
      </c>
      <c r="M18" s="8"/>
      <c r="N18" s="8"/>
      <c r="O18" s="8"/>
      <c r="P18" s="8"/>
      <c r="Q18" s="10"/>
      <c r="R18" s="8"/>
      <c r="S18" s="8"/>
      <c r="T18" s="8">
        <f>Calculations!$I$91</f>
        <v>-341.6276422098378</v>
      </c>
      <c r="U18" s="8"/>
      <c r="V18" s="8"/>
      <c r="W18" s="8">
        <f>T17*(U7-U6)*Calculations!$N$91</f>
        <v>6320111.3808819996</v>
      </c>
      <c r="X18" s="9">
        <f>Calculations!V97</f>
        <v>-20851810.071105465</v>
      </c>
      <c r="Y18" s="8"/>
      <c r="Z18" s="8"/>
    </row>
    <row r="19" spans="1:26" x14ac:dyDescent="0.2">
      <c r="A19" s="13" t="s">
        <v>120</v>
      </c>
      <c r="B19" s="10">
        <v>45743</v>
      </c>
      <c r="C19" s="8">
        <f>dailyHoldings!J19</f>
        <v>0</v>
      </c>
      <c r="D19" s="9">
        <f>Calculations!S70</f>
        <v>103516200</v>
      </c>
      <c r="E19" s="9">
        <f t="shared" si="0"/>
        <v>723909489.84000003</v>
      </c>
      <c r="F19" s="9">
        <f t="shared" si="4"/>
        <v>16099857.846993467</v>
      </c>
      <c r="G19" s="9">
        <f t="shared" ref="G18:G19" si="5">G18+I18</f>
        <v>100202727.08404808</v>
      </c>
      <c r="H19" s="9">
        <f t="shared" si="1"/>
        <v>1017.7743478514844</v>
      </c>
      <c r="I19" s="9">
        <f t="shared" si="2"/>
        <v>7019.8434278029845</v>
      </c>
      <c r="J19" s="9">
        <f t="shared" si="3"/>
        <v>1440797167.6745656</v>
      </c>
      <c r="K19" s="11">
        <f>K18*(1+Calculations!E76)</f>
        <v>97.234772408694042</v>
      </c>
      <c r="L19" s="9">
        <f>transactions!I27</f>
        <v>80234.116621087422</v>
      </c>
      <c r="M19" s="8"/>
      <c r="N19" s="8"/>
      <c r="O19" s="8"/>
      <c r="P19" s="8"/>
      <c r="Q19" s="10"/>
      <c r="R19" s="8"/>
      <c r="S19" s="8"/>
      <c r="T19" s="8">
        <f>Calculations!$I$91</f>
        <v>-341.6276422098378</v>
      </c>
      <c r="U19" s="8"/>
      <c r="V19" s="8"/>
      <c r="W19" s="8">
        <f>T18*(U8-U7)*Calculations!$N$91</f>
        <v>0</v>
      </c>
      <c r="X19" s="9">
        <f>Calculations!V98</f>
        <v>-105982639.87256396</v>
      </c>
      <c r="Y19" s="8"/>
      <c r="Z19" s="8"/>
    </row>
    <row r="20" spans="1:26" x14ac:dyDescent="0.2">
      <c r="Q20" s="3"/>
      <c r="X20" s="9"/>
    </row>
    <row r="21" spans="1:26" x14ac:dyDescent="0.2">
      <c r="Q21" s="3"/>
    </row>
    <row r="22" spans="1:26" x14ac:dyDescent="0.2">
      <c r="Q22" s="3"/>
    </row>
    <row r="23" spans="1:26" x14ac:dyDescent="0.2">
      <c r="Q23" s="3"/>
    </row>
    <row r="24" spans="1:26" x14ac:dyDescent="0.2">
      <c r="C24" s="12"/>
      <c r="D24" s="12"/>
      <c r="Q24" s="3"/>
    </row>
    <row r="25" spans="1:26" x14ac:dyDescent="0.2">
      <c r="C25" s="22"/>
      <c r="D25" s="12"/>
      <c r="Q25" s="3"/>
    </row>
    <row r="26" spans="1:26" x14ac:dyDescent="0.2">
      <c r="C26" s="3"/>
      <c r="Q26" s="3"/>
    </row>
    <row r="27" spans="1:26" x14ac:dyDescent="0.2">
      <c r="C27" s="3"/>
      <c r="Q27" s="3"/>
    </row>
    <row r="28" spans="1:26" x14ac:dyDescent="0.2">
      <c r="C28" s="3"/>
      <c r="Q28" s="3"/>
    </row>
    <row r="29" spans="1:26" x14ac:dyDescent="0.2">
      <c r="C29" s="3"/>
      <c r="Q29" s="3"/>
    </row>
    <row r="30" spans="1:26" x14ac:dyDescent="0.2">
      <c r="C30" s="3"/>
      <c r="Q30" s="3"/>
    </row>
    <row r="31" spans="1:26" x14ac:dyDescent="0.2">
      <c r="C31" s="3"/>
    </row>
    <row r="32" spans="1:26" x14ac:dyDescent="0.2">
      <c r="C32" s="3"/>
    </row>
    <row r="33" spans="3:3" x14ac:dyDescent="0.2">
      <c r="C33" s="3"/>
    </row>
    <row r="34" spans="3:3" x14ac:dyDescent="0.2">
      <c r="C34" s="3"/>
    </row>
    <row r="35" spans="3:3" x14ac:dyDescent="0.2">
      <c r="C35" s="3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sheetPr codeName="Sheet10"/>
  <dimension ref="A2:AA582"/>
  <sheetViews>
    <sheetView topLeftCell="A67" workbookViewId="0">
      <selection activeCell="N91" sqref="N91"/>
    </sheetView>
  </sheetViews>
  <sheetFormatPr defaultRowHeight="12.75" x14ac:dyDescent="0.2"/>
  <cols>
    <col min="1" max="1" width="3.5703125" bestFit="1" customWidth="1"/>
    <col min="2" max="2" width="24.28515625" bestFit="1" customWidth="1"/>
    <col min="3" max="3" width="11" bestFit="1" customWidth="1"/>
    <col min="4" max="4" width="13.28515625" bestFit="1" customWidth="1"/>
    <col min="5" max="5" width="12.7109375" bestFit="1" customWidth="1"/>
    <col min="6" max="6" width="13.28515625" bestFit="1" customWidth="1"/>
    <col min="7" max="7" width="10.28515625" bestFit="1" customWidth="1"/>
    <col min="8" max="8" width="13.28515625" bestFit="1" customWidth="1"/>
    <col min="9" max="9" width="16.7109375" bestFit="1" customWidth="1"/>
    <col min="10" max="10" width="13.85546875" bestFit="1" customWidth="1"/>
    <col min="11" max="11" width="12.85546875" bestFit="1" customWidth="1"/>
    <col min="12" max="12" width="17.85546875" bestFit="1" customWidth="1"/>
    <col min="13" max="13" width="13.5703125" bestFit="1" customWidth="1"/>
    <col min="14" max="14" width="13.28515625" bestFit="1" customWidth="1"/>
    <col min="15" max="15" width="10.85546875" bestFit="1" customWidth="1"/>
    <col min="16" max="17" width="9" bestFit="1" customWidth="1"/>
    <col min="18" max="19" width="14.7109375" bestFit="1" customWidth="1"/>
    <col min="22" max="22" width="11.7109375" bestFit="1" customWidth="1"/>
  </cols>
  <sheetData>
    <row r="2" spans="1:18" x14ac:dyDescent="0.2">
      <c r="A2" t="s">
        <v>134</v>
      </c>
    </row>
    <row r="3" spans="1:18" x14ac:dyDescent="0.2">
      <c r="B3" t="str">
        <f>_xll.RDP.HistoricalPricing("CADSEK=","BID;ASK","START:"&amp;Answer!$K$4&amp;" END:"&amp;Answer!$K$8&amp;" INTERVAL:P1D SOURCE:RFV",,"SORT:ASC CH:Fd RH:Timestamp",D6)</f>
        <v>Updated at 18:04:43</v>
      </c>
    </row>
    <row r="4" spans="1:18" x14ac:dyDescent="0.2">
      <c r="C4" s="12"/>
      <c r="D4" s="12"/>
      <c r="E4" s="12"/>
    </row>
    <row r="5" spans="1:18" x14ac:dyDescent="0.2">
      <c r="C5" s="3"/>
      <c r="D5" t="str">
        <f>_xll.RDP.HistoricalPricing("SEKCAD=R","BID;ASK","START:21-Mar-2025 END:27-Mar-2025 INTERVAL:P1D SOURCE:RFV",,"SORT:ASC CH:Fd RH:Timestamp",E6)</f>
        <v>Updated at 18:04:43</v>
      </c>
      <c r="I5" t="str">
        <f>_xll.RDP.HistoricalPricing("CADSEK=","BID;ASK","START:21-Mar-2025 END:27-Mar-2025 INTERVAL:P1D SOURCE:RFV",,"SORT:ASC CH:Fd RH:Timestamp",J6)</f>
        <v>Updated at 18:04:43</v>
      </c>
      <c r="P5" s="23" t="s">
        <v>162</v>
      </c>
      <c r="Q5" s="12"/>
      <c r="R5" s="12"/>
    </row>
    <row r="6" spans="1:18" x14ac:dyDescent="0.2">
      <c r="C6" s="3"/>
      <c r="D6" s="12" t="s">
        <v>98</v>
      </c>
      <c r="E6" s="12" t="s">
        <v>22</v>
      </c>
      <c r="F6" s="12" t="s">
        <v>23</v>
      </c>
      <c r="G6" s="12" t="s">
        <v>23</v>
      </c>
      <c r="J6" s="12" t="s">
        <v>98</v>
      </c>
      <c r="K6" s="12" t="s">
        <v>22</v>
      </c>
      <c r="L6" s="12" t="s">
        <v>23</v>
      </c>
      <c r="O6" s="5" t="s">
        <v>154</v>
      </c>
      <c r="P6" s="12">
        <f>S103</f>
        <v>1.9276261700189048</v>
      </c>
      <c r="Q6" s="12"/>
    </row>
    <row r="7" spans="1:18" x14ac:dyDescent="0.2">
      <c r="C7" s="3"/>
      <c r="D7" s="3">
        <v>45737</v>
      </c>
      <c r="E7" s="25">
        <v>7.0469999999999997</v>
      </c>
      <c r="F7">
        <v>7.0838999999999999</v>
      </c>
      <c r="G7">
        <v>0.14169999999999999</v>
      </c>
      <c r="J7" s="3">
        <v>45737</v>
      </c>
      <c r="K7">
        <v>7.0469999999999997</v>
      </c>
      <c r="L7">
        <v>7.0838999999999999</v>
      </c>
      <c r="O7" s="5" t="s">
        <v>155</v>
      </c>
      <c r="P7">
        <f>U103</f>
        <v>0.89841905169823277</v>
      </c>
    </row>
    <row r="8" spans="1:18" x14ac:dyDescent="0.2">
      <c r="C8" s="3"/>
      <c r="D8" s="3">
        <v>45740</v>
      </c>
      <c r="E8" s="25">
        <v>7.0481999999999996</v>
      </c>
      <c r="F8">
        <v>7.0644999999999998</v>
      </c>
      <c r="G8">
        <v>0.14199999999999999</v>
      </c>
      <c r="J8" s="3">
        <v>45740</v>
      </c>
      <c r="K8">
        <v>7.0481999999999996</v>
      </c>
      <c r="L8">
        <v>7.0644999999999998</v>
      </c>
      <c r="O8" s="5" t="s">
        <v>156</v>
      </c>
      <c r="P8">
        <f>W103</f>
        <v>0.82988736733140378</v>
      </c>
    </row>
    <row r="9" spans="1:18" x14ac:dyDescent="0.2">
      <c r="C9" s="3"/>
      <c r="D9" s="3">
        <v>45741</v>
      </c>
      <c r="E9" s="25">
        <v>7.0243000000000002</v>
      </c>
      <c r="F9">
        <v>7.0355999999999996</v>
      </c>
      <c r="G9">
        <v>0.14230000000000001</v>
      </c>
      <c r="J9" s="3">
        <v>45741</v>
      </c>
      <c r="K9">
        <v>7.0243000000000002</v>
      </c>
      <c r="L9" s="12">
        <v>7.0355999999999996</v>
      </c>
      <c r="M9" s="12"/>
      <c r="O9" s="5" t="s">
        <v>157</v>
      </c>
      <c r="P9">
        <f>Y103</f>
        <v>0.58166204319013004</v>
      </c>
    </row>
    <row r="10" spans="1:18" x14ac:dyDescent="0.2">
      <c r="D10" s="3">
        <v>45742</v>
      </c>
      <c r="E10" s="25">
        <v>7.0125999999999999</v>
      </c>
      <c r="F10">
        <v>7.0888999999999998</v>
      </c>
      <c r="G10">
        <v>0.14219999999999999</v>
      </c>
      <c r="J10" s="3">
        <v>45742</v>
      </c>
      <c r="K10">
        <v>7.0125999999999999</v>
      </c>
      <c r="L10" s="25">
        <v>7.0888999999999998</v>
      </c>
      <c r="O10" s="5" t="s">
        <v>158</v>
      </c>
      <c r="P10">
        <f>AA103</f>
        <v>1.0521756516403464</v>
      </c>
    </row>
    <row r="11" spans="1:18" x14ac:dyDescent="0.2">
      <c r="D11" s="3">
        <v>45743</v>
      </c>
      <c r="E11" s="25">
        <v>6.9851999999999999</v>
      </c>
      <c r="F11">
        <v>7.0011999999999999</v>
      </c>
      <c r="G11">
        <v>0.1431</v>
      </c>
      <c r="J11" s="3">
        <v>45743</v>
      </c>
      <c r="K11">
        <v>6.9851999999999999</v>
      </c>
      <c r="L11" s="25">
        <v>7.0011999999999999</v>
      </c>
      <c r="O11" s="3"/>
    </row>
    <row r="12" spans="1:18" x14ac:dyDescent="0.2">
      <c r="L12" s="3"/>
    </row>
    <row r="13" spans="1:18" x14ac:dyDescent="0.2">
      <c r="H13" s="1">
        <f>Answer!F19*Calculations!G11</f>
        <v>2303889.6579047651</v>
      </c>
      <c r="L13" s="3"/>
    </row>
    <row r="14" spans="1:18" x14ac:dyDescent="0.2">
      <c r="A14" t="s">
        <v>135</v>
      </c>
      <c r="L14" s="3"/>
    </row>
    <row r="15" spans="1:18" x14ac:dyDescent="0.2">
      <c r="C15" t="str">
        <f>_xll.RDP.HistoricalPricing("SEKONZ=R;SEK1MZ=R","ZERO_YLD1;ZERO_YLD1","START:21-Mar-2025 END:27-Mar-2025 INTERVAL:P1D SOURCE:RFV",,"SORT:ASC CH:Fd RH:Timestamp",D16)</f>
        <v>Updated at 18:04:43</v>
      </c>
    </row>
    <row r="16" spans="1:18" x14ac:dyDescent="0.2">
      <c r="D16" s="12" t="s">
        <v>98</v>
      </c>
      <c r="E16" s="12" t="s">
        <v>137</v>
      </c>
      <c r="F16" s="12" t="s">
        <v>137</v>
      </c>
      <c r="G16" s="12" t="s">
        <v>98</v>
      </c>
      <c r="H16" s="12" t="s">
        <v>137</v>
      </c>
      <c r="I16" s="12" t="s">
        <v>137</v>
      </c>
    </row>
    <row r="17" spans="1:9" x14ac:dyDescent="0.2">
      <c r="D17" s="3">
        <v>45737</v>
      </c>
      <c r="E17">
        <v>2.3134730000000001</v>
      </c>
      <c r="F17">
        <v>2.3134730000000001</v>
      </c>
      <c r="G17" s="3">
        <v>45737</v>
      </c>
      <c r="H17">
        <v>2.374952</v>
      </c>
      <c r="I17">
        <v>2.374952</v>
      </c>
    </row>
    <row r="18" spans="1:9" x14ac:dyDescent="0.2">
      <c r="D18" s="3">
        <v>45740</v>
      </c>
      <c r="E18">
        <v>2.3073969999999999</v>
      </c>
      <c r="F18">
        <v>2.3073969999999999</v>
      </c>
      <c r="G18" s="3">
        <v>45740</v>
      </c>
      <c r="H18">
        <v>2.3520560000000001</v>
      </c>
      <c r="I18">
        <v>2.3520560000000001</v>
      </c>
    </row>
    <row r="19" spans="1:9" x14ac:dyDescent="0.2">
      <c r="D19" s="3">
        <v>45741</v>
      </c>
      <c r="E19">
        <v>2.310508</v>
      </c>
      <c r="F19">
        <v>2.310508</v>
      </c>
      <c r="G19" s="3">
        <v>45741</v>
      </c>
      <c r="H19">
        <v>2.3571040000000001</v>
      </c>
      <c r="I19">
        <v>2.3571040000000001</v>
      </c>
    </row>
    <row r="20" spans="1:9" x14ac:dyDescent="0.2">
      <c r="D20" s="3">
        <v>45742</v>
      </c>
      <c r="E20">
        <v>2.3073969999999999</v>
      </c>
      <c r="F20">
        <v>2.3073969999999999</v>
      </c>
      <c r="G20" s="3">
        <v>45742</v>
      </c>
      <c r="H20">
        <v>2.3471700000000002</v>
      </c>
      <c r="I20">
        <v>2.3471700000000002</v>
      </c>
    </row>
    <row r="21" spans="1:9" x14ac:dyDescent="0.2">
      <c r="D21" s="3">
        <v>45743</v>
      </c>
      <c r="E21">
        <v>2.3073969999999999</v>
      </c>
      <c r="F21">
        <v>2.3073969999999999</v>
      </c>
      <c r="G21" s="3">
        <v>45743</v>
      </c>
      <c r="H21">
        <v>2.3466360000000002</v>
      </c>
      <c r="I21">
        <v>2.3466360000000002</v>
      </c>
    </row>
    <row r="28" spans="1:9" x14ac:dyDescent="0.2">
      <c r="A28" t="s">
        <v>136</v>
      </c>
    </row>
    <row r="30" spans="1:9" x14ac:dyDescent="0.2">
      <c r="C30" t="str">
        <f>_xll.RDP.HistoricalPricing("CADONZ=R","ZERO_YLD1","START:21-Mar-2025 END:27-Mar-2025 INTERVAL:P1D SOURCE:RFV",,"SORT:ASC CH:Fd RH:Timestamp",D31)</f>
        <v>Updated at 18:04:43</v>
      </c>
      <c r="D30" s="12"/>
      <c r="E30" s="12"/>
      <c r="G30" t="str">
        <f>_xll.RDP.HistoricalPricing("CAD1MZ=R","ZERO_YLD1","START:21-Mar-2025 END:27-Mar-2025 INTERVAL:P1D SOURCE:RFV",,"SORT:ASC CH:Fd RH:Timestamp",H31)</f>
        <v>Updated at 18:04:43</v>
      </c>
    </row>
    <row r="31" spans="1:9" x14ac:dyDescent="0.2">
      <c r="D31" s="22" t="s">
        <v>98</v>
      </c>
      <c r="E31" s="12" t="s">
        <v>137</v>
      </c>
      <c r="H31" s="12" t="s">
        <v>98</v>
      </c>
      <c r="I31" s="12" t="s">
        <v>137</v>
      </c>
    </row>
    <row r="32" spans="1:9" x14ac:dyDescent="0.2">
      <c r="D32" s="3">
        <v>45737</v>
      </c>
      <c r="E32">
        <v>2.5466259999999998</v>
      </c>
      <c r="H32" s="3">
        <v>45737</v>
      </c>
      <c r="I32">
        <v>2.518564</v>
      </c>
    </row>
    <row r="33" spans="2:10" x14ac:dyDescent="0.2">
      <c r="D33" s="3">
        <v>45740</v>
      </c>
      <c r="E33">
        <v>2.5468039999999998</v>
      </c>
      <c r="H33" s="3">
        <v>45740</v>
      </c>
      <c r="I33">
        <v>2.7131069999999999</v>
      </c>
    </row>
    <row r="34" spans="2:10" x14ac:dyDescent="0.2">
      <c r="D34" s="3">
        <v>45741</v>
      </c>
      <c r="E34">
        <v>2.5365509999999998</v>
      </c>
      <c r="H34" s="3">
        <v>45741</v>
      </c>
      <c r="I34">
        <v>2.7336049999999998</v>
      </c>
    </row>
    <row r="35" spans="2:10" x14ac:dyDescent="0.2">
      <c r="D35" s="3">
        <v>45742</v>
      </c>
      <c r="E35">
        <v>2.7007289999999999</v>
      </c>
      <c r="H35" s="3">
        <v>45742</v>
      </c>
      <c r="I35">
        <v>2.7129050000000001</v>
      </c>
    </row>
    <row r="36" spans="2:10" x14ac:dyDescent="0.2">
      <c r="D36" s="3">
        <v>45743</v>
      </c>
      <c r="E36">
        <v>2.5570590000000002</v>
      </c>
      <c r="H36" s="3">
        <v>45743</v>
      </c>
      <c r="I36">
        <v>2.7335020000000001</v>
      </c>
    </row>
    <row r="40" spans="2:10" x14ac:dyDescent="0.2">
      <c r="B40" t="s">
        <v>138</v>
      </c>
    </row>
    <row r="42" spans="2:10" x14ac:dyDescent="0.2">
      <c r="G42" t="str">
        <f>_xll.RDP.HistoricalPricing("SEKCAD1M=R","BID;ASK","START:21-Mar-2025 END:27-Apr-2025 INTERVAL:P1D SOURCE:RFV",,"SORT:ASC CH:Fd RH:Timestamp",H43)</f>
        <v>Updated at 19:38:07</v>
      </c>
    </row>
    <row r="43" spans="2:10" x14ac:dyDescent="0.2">
      <c r="D43" s="12"/>
      <c r="E43" s="12"/>
      <c r="F43" s="12"/>
      <c r="H43" s="12" t="s">
        <v>98</v>
      </c>
      <c r="I43" s="12" t="s">
        <v>22</v>
      </c>
      <c r="J43" s="12" t="s">
        <v>23</v>
      </c>
    </row>
    <row r="44" spans="2:10" x14ac:dyDescent="0.2">
      <c r="D44" s="3"/>
      <c r="H44" s="3">
        <v>45737</v>
      </c>
      <c r="I44">
        <v>0.41</v>
      </c>
      <c r="J44">
        <v>0.73</v>
      </c>
    </row>
    <row r="45" spans="2:10" x14ac:dyDescent="0.2">
      <c r="D45" s="3"/>
      <c r="H45" s="3">
        <v>45740</v>
      </c>
      <c r="I45">
        <v>0.43</v>
      </c>
      <c r="J45">
        <v>0.6</v>
      </c>
    </row>
    <row r="46" spans="2:10" x14ac:dyDescent="0.2">
      <c r="D46" s="3"/>
      <c r="H46" s="3">
        <v>45741</v>
      </c>
      <c r="I46">
        <v>0.51</v>
      </c>
      <c r="J46">
        <v>0.65</v>
      </c>
    </row>
    <row r="47" spans="2:10" x14ac:dyDescent="0.2">
      <c r="D47" s="3"/>
      <c r="H47" s="3">
        <v>45742</v>
      </c>
      <c r="I47">
        <v>0.49</v>
      </c>
      <c r="J47">
        <v>0.6</v>
      </c>
    </row>
    <row r="48" spans="2:10" x14ac:dyDescent="0.2">
      <c r="D48" s="3"/>
      <c r="H48" s="3">
        <v>45743</v>
      </c>
      <c r="I48">
        <v>0.55000000000000004</v>
      </c>
      <c r="J48">
        <v>0.57999999999999996</v>
      </c>
    </row>
    <row r="49" spans="2:23" x14ac:dyDescent="0.2">
      <c r="H49" s="3">
        <v>45744</v>
      </c>
      <c r="I49">
        <v>0.37</v>
      </c>
      <c r="J49">
        <v>0.68</v>
      </c>
    </row>
    <row r="50" spans="2:23" x14ac:dyDescent="0.2">
      <c r="H50" s="3">
        <v>45747</v>
      </c>
      <c r="I50">
        <v>0.35</v>
      </c>
      <c r="J50">
        <v>0.62</v>
      </c>
    </row>
    <row r="51" spans="2:23" x14ac:dyDescent="0.2">
      <c r="H51" s="3">
        <v>45748</v>
      </c>
      <c r="I51">
        <v>0.48</v>
      </c>
      <c r="J51">
        <v>0.52</v>
      </c>
    </row>
    <row r="52" spans="2:23" x14ac:dyDescent="0.2">
      <c r="H52" s="3">
        <v>45749</v>
      </c>
      <c r="I52">
        <v>0.38</v>
      </c>
      <c r="J52">
        <v>0.67</v>
      </c>
    </row>
    <row r="53" spans="2:23" x14ac:dyDescent="0.2">
      <c r="H53" s="3">
        <v>45750</v>
      </c>
      <c r="I53">
        <v>0.39</v>
      </c>
      <c r="J53">
        <v>0.54</v>
      </c>
    </row>
    <row r="54" spans="2:23" x14ac:dyDescent="0.2">
      <c r="H54" s="3">
        <v>45751</v>
      </c>
      <c r="I54">
        <v>0.34</v>
      </c>
      <c r="J54">
        <v>0.52</v>
      </c>
      <c r="S54" s="24"/>
    </row>
    <row r="55" spans="2:23" x14ac:dyDescent="0.2">
      <c r="H55" s="3">
        <v>45754</v>
      </c>
      <c r="I55">
        <v>0.3</v>
      </c>
      <c r="J55">
        <v>0.56999999999999995</v>
      </c>
    </row>
    <row r="56" spans="2:23" x14ac:dyDescent="0.2">
      <c r="H56" s="3">
        <v>45755</v>
      </c>
      <c r="I56">
        <v>0.23</v>
      </c>
      <c r="J56">
        <v>0.56000000000000005</v>
      </c>
    </row>
    <row r="57" spans="2:23" x14ac:dyDescent="0.2">
      <c r="H57" s="3">
        <v>45756</v>
      </c>
      <c r="I57">
        <v>0.3</v>
      </c>
      <c r="J57">
        <v>0.56000000000000005</v>
      </c>
      <c r="L57" t="s">
        <v>139</v>
      </c>
      <c r="P57" s="5"/>
    </row>
    <row r="58" spans="2:23" x14ac:dyDescent="0.2">
      <c r="B58" s="3"/>
      <c r="L58" t="s">
        <v>25</v>
      </c>
      <c r="M58" s="5" t="s">
        <v>153</v>
      </c>
      <c r="N58" s="5" t="s">
        <v>154</v>
      </c>
      <c r="O58" s="5" t="s">
        <v>156</v>
      </c>
      <c r="P58" s="5" t="s">
        <v>155</v>
      </c>
      <c r="Q58" s="5" t="s">
        <v>157</v>
      </c>
      <c r="R58" s="5" t="s">
        <v>158</v>
      </c>
      <c r="S58" s="5" t="s">
        <v>14</v>
      </c>
    </row>
    <row r="59" spans="2:23" x14ac:dyDescent="0.2">
      <c r="B59" s="3"/>
      <c r="L59" s="3">
        <v>45737</v>
      </c>
      <c r="M59">
        <v>24968.49</v>
      </c>
      <c r="N59">
        <v>137.66999999999999</v>
      </c>
      <c r="O59">
        <v>5.47</v>
      </c>
      <c r="P59">
        <v>159.84</v>
      </c>
      <c r="Q59">
        <v>38.83</v>
      </c>
      <c r="R59">
        <v>37.86</v>
      </c>
      <c r="S59" s="3"/>
      <c r="U59" s="3"/>
      <c r="W59" s="3"/>
    </row>
    <row r="60" spans="2:23" x14ac:dyDescent="0.2">
      <c r="B60" s="3"/>
      <c r="L60" s="3">
        <v>45740</v>
      </c>
      <c r="M60">
        <v>25304.11</v>
      </c>
      <c r="N60">
        <v>143.1</v>
      </c>
      <c r="O60">
        <v>5.47</v>
      </c>
      <c r="P60">
        <v>158.82</v>
      </c>
      <c r="Q60">
        <v>40.590000000000003</v>
      </c>
      <c r="R60">
        <v>38.56</v>
      </c>
      <c r="S60" s="3"/>
      <c r="U60" s="3"/>
      <c r="W60" s="3"/>
    </row>
    <row r="61" spans="2:23" x14ac:dyDescent="0.2">
      <c r="B61" s="3"/>
      <c r="L61" s="3">
        <v>45741</v>
      </c>
      <c r="M61">
        <v>25339.51</v>
      </c>
      <c r="N61">
        <v>139.07</v>
      </c>
      <c r="O61">
        <v>5.46</v>
      </c>
      <c r="P61">
        <v>159.87</v>
      </c>
      <c r="Q61">
        <v>41.47</v>
      </c>
      <c r="R61">
        <v>38.799999999999997</v>
      </c>
      <c r="S61" s="3"/>
      <c r="U61" s="3"/>
      <c r="W61" s="3"/>
    </row>
    <row r="62" spans="2:23" x14ac:dyDescent="0.2">
      <c r="B62" s="3"/>
      <c r="L62" s="3">
        <v>45742</v>
      </c>
      <c r="M62">
        <v>25161.06</v>
      </c>
      <c r="N62">
        <v>125.3</v>
      </c>
      <c r="O62">
        <v>5.46</v>
      </c>
      <c r="P62">
        <v>158.30000000000001</v>
      </c>
      <c r="Q62">
        <v>41.07</v>
      </c>
      <c r="R62">
        <v>38.299999999999997</v>
      </c>
      <c r="S62" s="3"/>
      <c r="U62" s="3"/>
      <c r="W62" s="3"/>
    </row>
    <row r="63" spans="2:23" x14ac:dyDescent="0.2">
      <c r="L63" s="3">
        <v>45743</v>
      </c>
      <c r="M63">
        <v>25161.06</v>
      </c>
      <c r="N63">
        <v>120.91</v>
      </c>
      <c r="O63">
        <v>5.45</v>
      </c>
      <c r="P63">
        <v>156.63</v>
      </c>
      <c r="Q63">
        <v>40.869999999999997</v>
      </c>
      <c r="R63">
        <v>37.9</v>
      </c>
      <c r="S63" s="3"/>
      <c r="U63" s="3"/>
      <c r="W63" s="3"/>
    </row>
    <row r="64" spans="2:23" x14ac:dyDescent="0.2">
      <c r="B64" s="3"/>
    </row>
    <row r="65" spans="1:19" x14ac:dyDescent="0.2">
      <c r="B65" s="3"/>
      <c r="L65" s="5" t="s">
        <v>165</v>
      </c>
    </row>
    <row r="66" spans="1:19" x14ac:dyDescent="0.2">
      <c r="B66" s="3"/>
      <c r="L66" s="3">
        <v>45737</v>
      </c>
      <c r="M66">
        <v>0</v>
      </c>
      <c r="N66" s="1">
        <v>200000</v>
      </c>
      <c r="O66" s="1">
        <v>200000</v>
      </c>
      <c r="P66" s="1">
        <v>200000</v>
      </c>
      <c r="Q66" s="1">
        <v>200000</v>
      </c>
      <c r="R66" s="1">
        <v>200000</v>
      </c>
      <c r="S66" s="1">
        <f>N59*N66+P52*O66+P59*P66+Q59*Q66+R59*R66</f>
        <v>74840000</v>
      </c>
    </row>
    <row r="67" spans="1:19" x14ac:dyDescent="0.2">
      <c r="B67" s="3"/>
      <c r="L67" s="3">
        <v>45740</v>
      </c>
      <c r="M67">
        <v>0</v>
      </c>
      <c r="N67" s="1">
        <v>230000</v>
      </c>
      <c r="O67" s="1">
        <v>1200000</v>
      </c>
      <c r="P67" s="1">
        <v>230000</v>
      </c>
      <c r="Q67" s="1">
        <v>600000</v>
      </c>
      <c r="R67" s="1">
        <v>400000</v>
      </c>
      <c r="S67" s="1">
        <f t="shared" ref="S67:S70" si="0">N60*N67+P53*O67+P60*P67+Q60*Q67+R60*R67</f>
        <v>109219600</v>
      </c>
    </row>
    <row r="68" spans="1:19" x14ac:dyDescent="0.2">
      <c r="B68" s="3"/>
      <c r="L68" s="3">
        <v>45741</v>
      </c>
      <c r="M68">
        <v>0</v>
      </c>
      <c r="N68" s="1">
        <v>230000</v>
      </c>
      <c r="O68" s="1">
        <v>1200000</v>
      </c>
      <c r="P68" s="1">
        <v>230000</v>
      </c>
      <c r="Q68" s="1">
        <v>600000</v>
      </c>
      <c r="R68" s="1">
        <v>400000</v>
      </c>
      <c r="S68" s="1">
        <f t="shared" si="0"/>
        <v>109158200</v>
      </c>
    </row>
    <row r="69" spans="1:19" x14ac:dyDescent="0.2">
      <c r="L69" s="3">
        <v>45742</v>
      </c>
      <c r="M69">
        <v>0</v>
      </c>
      <c r="N69" s="1">
        <v>230000</v>
      </c>
      <c r="O69" s="1">
        <v>1200000</v>
      </c>
      <c r="P69" s="1">
        <v>230000</v>
      </c>
      <c r="Q69" s="1">
        <v>600000</v>
      </c>
      <c r="R69" s="1">
        <v>400000</v>
      </c>
      <c r="S69" s="1">
        <f t="shared" si="0"/>
        <v>105190000</v>
      </c>
    </row>
    <row r="70" spans="1:19" x14ac:dyDescent="0.2">
      <c r="A70" s="5" t="s">
        <v>140</v>
      </c>
      <c r="L70" s="3">
        <v>45743</v>
      </c>
      <c r="M70">
        <v>0</v>
      </c>
      <c r="N70" s="1">
        <v>230000</v>
      </c>
      <c r="O70" s="1">
        <v>1200000</v>
      </c>
      <c r="P70" s="1">
        <v>230000</v>
      </c>
      <c r="Q70" s="1">
        <v>600000</v>
      </c>
      <c r="R70" s="1">
        <v>400000</v>
      </c>
      <c r="S70" s="1">
        <f t="shared" si="0"/>
        <v>103516200</v>
      </c>
    </row>
    <row r="71" spans="1:19" x14ac:dyDescent="0.2">
      <c r="C71" s="5" t="s">
        <v>141</v>
      </c>
      <c r="D71" s="5" t="s">
        <v>14</v>
      </c>
      <c r="E71" s="5" t="s">
        <v>142</v>
      </c>
      <c r="L71" s="3"/>
    </row>
    <row r="72" spans="1:19" x14ac:dyDescent="0.2">
      <c r="B72" s="3">
        <v>45737</v>
      </c>
      <c r="C72" cm="1">
        <f t="array" ref="C72:C76">Answer!C15:C19</f>
        <v>1000000000</v>
      </c>
      <c r="D72" s="1">
        <f>Answer!J15</f>
        <v>981771522.6592536</v>
      </c>
      <c r="E72">
        <f>(D72-C72)/C72</f>
        <v>-1.8228477340746403E-2</v>
      </c>
    </row>
    <row r="73" spans="1:19" x14ac:dyDescent="0.2">
      <c r="B73" s="3">
        <v>45740</v>
      </c>
      <c r="C73">
        <v>500000000</v>
      </c>
      <c r="D73" s="1">
        <f>Answer!J16</f>
        <v>1449159796.0477977</v>
      </c>
      <c r="E73">
        <f>(D73-(D72+C73))/(D72+C73)</f>
        <v>-2.2008606666248688E-2</v>
      </c>
    </row>
    <row r="74" spans="1:19" x14ac:dyDescent="0.2">
      <c r="B74" s="3">
        <v>45741</v>
      </c>
      <c r="C74">
        <v>0</v>
      </c>
      <c r="D74" s="1">
        <f>Answer!J17</f>
        <v>1443413504.4839442</v>
      </c>
      <c r="E74">
        <f t="shared" ref="E74:E76" si="1">(D74-(D73+C74))/(D73+C74)</f>
        <v>-3.9652573715645446E-3</v>
      </c>
    </row>
    <row r="75" spans="1:19" x14ac:dyDescent="0.2">
      <c r="B75" s="3">
        <v>45742</v>
      </c>
      <c r="C75">
        <v>0</v>
      </c>
      <c r="D75" s="1">
        <f>Answer!J18</f>
        <v>1464272628.3348453</v>
      </c>
      <c r="E75">
        <f t="shared" si="1"/>
        <v>1.4451246150948806E-2</v>
      </c>
    </row>
    <row r="76" spans="1:19" x14ac:dyDescent="0.2">
      <c r="B76" s="3">
        <v>45743</v>
      </c>
      <c r="C76">
        <v>0</v>
      </c>
      <c r="D76" s="1">
        <f>Answer!J19</f>
        <v>1440797167.6745656</v>
      </c>
      <c r="E76">
        <f t="shared" si="1"/>
        <v>-1.6032165189740509E-2</v>
      </c>
    </row>
    <row r="79" spans="1:19" x14ac:dyDescent="0.2">
      <c r="B79" s="23" t="s">
        <v>143</v>
      </c>
      <c r="J79" s="23" t="s">
        <v>144</v>
      </c>
      <c r="K79" s="5" t="s">
        <v>146</v>
      </c>
      <c r="M79" s="23" t="s">
        <v>71</v>
      </c>
    </row>
    <row r="80" spans="1:19" x14ac:dyDescent="0.2">
      <c r="C80" t="str">
        <f>_xll.RDP.HistoricalPricing(".GSPTSE","TRDPRC_1","START:21-Mar-2025 END:27-Mar-2025 INTERVAL:P1D SOURCE:RFV",,"SORT:ASC CH:Fd RH:Timestamp",D81)</f>
        <v>Updated at 18:04:43</v>
      </c>
      <c r="K80" s="24" t="s">
        <v>145</v>
      </c>
    </row>
    <row r="81" spans="4:22" x14ac:dyDescent="0.2">
      <c r="D81" s="12" t="s">
        <v>98</v>
      </c>
      <c r="E81" s="12" t="s">
        <v>92</v>
      </c>
      <c r="J81" s="22">
        <v>45737</v>
      </c>
      <c r="K81">
        <v>24955</v>
      </c>
      <c r="L81" s="12"/>
      <c r="M81" s="12" t="str">
        <f>_xll.RDP.HistoricalPricing("CADSEK1M=R","MID_PRICE","START:21-Mar-2025 END:27-Mar-2025 INTERVAL:P1D SOURCE:RFV",,"SORT:ASC CH:Fd RH:Timestamp",N82)</f>
        <v>Updated at 18:04:43</v>
      </c>
      <c r="N81" s="12"/>
      <c r="O81" s="12"/>
    </row>
    <row r="82" spans="4:22" x14ac:dyDescent="0.2">
      <c r="D82" s="22">
        <v>45737</v>
      </c>
      <c r="E82">
        <v>24968.49</v>
      </c>
      <c r="H82" s="12"/>
      <c r="J82" s="3">
        <v>45740</v>
      </c>
      <c r="K82">
        <v>25290</v>
      </c>
      <c r="M82" s="3"/>
      <c r="N82" s="22" t="s">
        <v>98</v>
      </c>
      <c r="O82" s="12" t="s">
        <v>160</v>
      </c>
      <c r="P82" s="12"/>
    </row>
    <row r="83" spans="4:22" x14ac:dyDescent="0.2">
      <c r="D83" s="3">
        <v>45740</v>
      </c>
      <c r="E83">
        <v>25304.11</v>
      </c>
      <c r="J83" s="3">
        <v>45741</v>
      </c>
      <c r="K83">
        <v>25325</v>
      </c>
      <c r="M83" s="3"/>
      <c r="N83" s="3">
        <v>45737</v>
      </c>
      <c r="O83" s="25">
        <v>-28.52</v>
      </c>
    </row>
    <row r="84" spans="4:22" x14ac:dyDescent="0.2">
      <c r="D84" s="3">
        <v>45741</v>
      </c>
      <c r="E84">
        <v>25339.51</v>
      </c>
      <c r="J84" s="3">
        <v>45742</v>
      </c>
      <c r="K84">
        <v>25140</v>
      </c>
      <c r="M84" s="3"/>
      <c r="N84" s="3">
        <v>45740</v>
      </c>
      <c r="O84" s="25">
        <v>-25.535</v>
      </c>
    </row>
    <row r="85" spans="4:22" x14ac:dyDescent="0.2">
      <c r="D85" s="3">
        <v>45742</v>
      </c>
      <c r="E85">
        <v>25161.06</v>
      </c>
      <c r="J85" s="3">
        <v>45743</v>
      </c>
      <c r="K85">
        <v>25140</v>
      </c>
      <c r="M85" s="3"/>
      <c r="N85" s="3">
        <v>45741</v>
      </c>
      <c r="O85" s="25">
        <v>-29.004999999999999</v>
      </c>
    </row>
    <row r="86" spans="4:22" x14ac:dyDescent="0.2">
      <c r="D86" s="3">
        <v>45743</v>
      </c>
      <c r="E86">
        <v>25161.06</v>
      </c>
      <c r="N86" s="3">
        <v>45742</v>
      </c>
      <c r="O86" s="25">
        <v>-26.86</v>
      </c>
    </row>
    <row r="87" spans="4:22" x14ac:dyDescent="0.2">
      <c r="N87" s="3">
        <v>45743</v>
      </c>
      <c r="O87" s="25">
        <v>-24.94</v>
      </c>
    </row>
    <row r="89" spans="4:22" x14ac:dyDescent="0.2">
      <c r="I89" s="23" t="s">
        <v>170</v>
      </c>
    </row>
    <row r="90" spans="4:22" x14ac:dyDescent="0.2">
      <c r="I90" s="5" t="s">
        <v>171</v>
      </c>
      <c r="J90" s="5" t="s">
        <v>166</v>
      </c>
      <c r="K90" s="5" t="s">
        <v>162</v>
      </c>
      <c r="L90" s="5" t="s">
        <v>167</v>
      </c>
      <c r="M90" s="5" t="s">
        <v>168</v>
      </c>
      <c r="N90" s="5" t="s">
        <v>169</v>
      </c>
    </row>
    <row r="91" spans="4:22" x14ac:dyDescent="0.2">
      <c r="I91">
        <f>-J91*K91*L91/(M91*N91)</f>
        <v>-341.6276422098378</v>
      </c>
      <c r="J91">
        <v>0.5</v>
      </c>
      <c r="K91">
        <f>Answer!V6</f>
        <v>1.1994729201522307</v>
      </c>
      <c r="L91" s="1">
        <f>Answer!J17</f>
        <v>1443413504.4839442</v>
      </c>
      <c r="M91">
        <f>Answer!T6</f>
        <v>25339.51</v>
      </c>
      <c r="N91">
        <v>100</v>
      </c>
    </row>
    <row r="93" spans="4:22" x14ac:dyDescent="0.2">
      <c r="I93" s="23" t="s">
        <v>172</v>
      </c>
      <c r="J93" s="5" t="s">
        <v>179</v>
      </c>
      <c r="K93" s="5" t="s">
        <v>180</v>
      </c>
      <c r="L93" s="5" t="s">
        <v>173</v>
      </c>
      <c r="M93" s="5" t="s">
        <v>174</v>
      </c>
      <c r="N93" s="5" t="s">
        <v>175</v>
      </c>
      <c r="O93" s="5" t="s">
        <v>176</v>
      </c>
      <c r="P93" s="5" t="s">
        <v>177</v>
      </c>
      <c r="Q93" s="5" t="s">
        <v>178</v>
      </c>
      <c r="R93" s="5" t="s">
        <v>181</v>
      </c>
      <c r="S93" s="5" t="s">
        <v>182</v>
      </c>
      <c r="T93" s="5" t="s">
        <v>186</v>
      </c>
      <c r="U93" s="5" t="s">
        <v>187</v>
      </c>
      <c r="V93" s="5" t="s">
        <v>188</v>
      </c>
    </row>
    <row r="94" spans="4:22" x14ac:dyDescent="0.2">
      <c r="I94" s="22">
        <v>45737</v>
      </c>
      <c r="J94" s="30">
        <f>(K7+L7)/2*EXP((Q94/100-P94/100)*N94)</f>
        <v>7.0646160628581933</v>
      </c>
      <c r="K94" s="31">
        <f>(K7+L7)/2*EXP((Q94/100-P94/100)*O94)</f>
        <v>7.0654500000000002</v>
      </c>
      <c r="L94" s="27">
        <f>transactions!$F$3</f>
        <v>140000000</v>
      </c>
      <c r="M94" s="27">
        <f>transactions!$F$13</f>
        <v>70000000</v>
      </c>
      <c r="N94" s="5">
        <f>30/365</f>
        <v>8.2191780821917804E-2</v>
      </c>
      <c r="P94">
        <f>Answer!O4</f>
        <v>2.518564</v>
      </c>
      <c r="Q94">
        <f>Answer!N4</f>
        <v>2.374952</v>
      </c>
      <c r="T94">
        <f>R94+S94</f>
        <v>0</v>
      </c>
    </row>
    <row r="95" spans="4:22" x14ac:dyDescent="0.2">
      <c r="I95" s="3">
        <v>45740</v>
      </c>
      <c r="J95" s="30">
        <f t="shared" ref="J95:J98" si="2">(K8+L8)/2*EXP((Q95/100-P95/100)*N95/365)</f>
        <v>7.0563423615069008</v>
      </c>
      <c r="K95" s="31">
        <f t="shared" ref="K95:K98" si="3">(K8+L8)/2*EXP((Q95/100-P95/100)*O95/365)</f>
        <v>7.0563442630110238</v>
      </c>
      <c r="L95" s="27">
        <f>transactions!$F$3</f>
        <v>140000000</v>
      </c>
      <c r="M95" s="27">
        <f>transactions!$F$13</f>
        <v>70000000</v>
      </c>
      <c r="N95">
        <f>29/265</f>
        <v>0.10943396226415095</v>
      </c>
      <c r="O95">
        <f>N94</f>
        <v>8.2191780821917804E-2</v>
      </c>
      <c r="P95">
        <f>Answer!O5</f>
        <v>2.7131069999999999</v>
      </c>
      <c r="Q95">
        <f>Answer!N5</f>
        <v>2.3520560000000001</v>
      </c>
      <c r="R95" s="1">
        <f>(J95-$J$94)*EXP(-$Q95/100*N95)*L95</f>
        <v>-1155340.5720669983</v>
      </c>
      <c r="S95" s="1"/>
      <c r="T95">
        <f t="shared" ref="T95:T98" si="4">R95+S95</f>
        <v>-1155340.5720669983</v>
      </c>
      <c r="U95">
        <f>(K7+L7)/2</f>
        <v>7.0654500000000002</v>
      </c>
      <c r="V95" s="1">
        <f>U95*T95</f>
        <v>-8163001.0449107736</v>
      </c>
    </row>
    <row r="96" spans="4:22" x14ac:dyDescent="0.2">
      <c r="I96" s="3">
        <v>45741</v>
      </c>
      <c r="J96" s="30">
        <f t="shared" si="2"/>
        <v>7.0299444372377238</v>
      </c>
      <c r="K96" s="31">
        <f t="shared" si="3"/>
        <v>7.0299420644435644</v>
      </c>
      <c r="L96" s="27">
        <f>transactions!$F$3</f>
        <v>140000000</v>
      </c>
      <c r="M96" s="27">
        <f>transactions!$F$13</f>
        <v>70000000</v>
      </c>
      <c r="N96">
        <f>28/365</f>
        <v>7.6712328767123292E-2</v>
      </c>
      <c r="O96">
        <f>N95</f>
        <v>0.10943396226415095</v>
      </c>
      <c r="P96">
        <f>Answer!O6</f>
        <v>2.7336049999999998</v>
      </c>
      <c r="Q96">
        <f>Answer!N6</f>
        <v>2.3571040000000001</v>
      </c>
      <c r="R96" s="1">
        <f t="shared" ref="R96:S98" si="5">(J96-$J$94)*EXP(-$Q96/100*N96)*L96</f>
        <v>-4845258.516241529</v>
      </c>
      <c r="S96" s="1">
        <f>(K96-$K$94)*EXP(-$Q96/100*O96)*M96</f>
        <v>-2479152.329348756</v>
      </c>
      <c r="T96">
        <f t="shared" si="4"/>
        <v>-7324410.845590285</v>
      </c>
      <c r="U96">
        <f t="shared" ref="U96:U98" si="6">(K8+L8)/2</f>
        <v>7.0563500000000001</v>
      </c>
      <c r="V96" s="1">
        <f t="shared" ref="V96:V98" si="7">U96*T96</f>
        <v>-51683606.470281012</v>
      </c>
    </row>
    <row r="97" spans="2:27" x14ac:dyDescent="0.2">
      <c r="I97" s="3">
        <v>45742</v>
      </c>
      <c r="J97" s="30">
        <f t="shared" si="2"/>
        <v>7.0507447738759552</v>
      </c>
      <c r="K97" s="31">
        <f t="shared" si="3"/>
        <v>7.0507445803158806</v>
      </c>
      <c r="L97" s="27">
        <f>transactions!$F$3</f>
        <v>140000000</v>
      </c>
      <c r="M97" s="27">
        <f>transactions!$F$13</f>
        <v>70000000</v>
      </c>
      <c r="N97">
        <f>27/365</f>
        <v>7.3972602739726029E-2</v>
      </c>
      <c r="O97">
        <f t="shared" ref="O97:O98" si="8">N96</f>
        <v>7.6712328767123292E-2</v>
      </c>
      <c r="P97">
        <f>Answer!O7</f>
        <v>2.7129050000000001</v>
      </c>
      <c r="Q97">
        <f>Answer!N7</f>
        <v>2.3471700000000002</v>
      </c>
      <c r="R97" s="1">
        <f t="shared" si="5"/>
        <v>-1938611.5946655141</v>
      </c>
      <c r="S97" s="1">
        <f>(K97-$K$94)*EXP(-$Q97/100*O97)*M97</f>
        <v>-1027527.5771785913</v>
      </c>
      <c r="T97">
        <f t="shared" si="4"/>
        <v>-2966139.1718441052</v>
      </c>
      <c r="U97">
        <f t="shared" si="6"/>
        <v>7.0299499999999995</v>
      </c>
      <c r="V97" s="1">
        <f t="shared" si="7"/>
        <v>-20851810.071105465</v>
      </c>
    </row>
    <row r="98" spans="2:27" x14ac:dyDescent="0.2">
      <c r="I98" s="3">
        <v>45743</v>
      </c>
      <c r="J98" s="30">
        <f t="shared" si="2"/>
        <v>6.9931947201210329</v>
      </c>
      <c r="K98" s="31">
        <f t="shared" si="3"/>
        <v>6.9931945170488445</v>
      </c>
      <c r="L98" s="27">
        <f>transactions!$F$3</f>
        <v>140000000</v>
      </c>
      <c r="M98" s="27">
        <f>transactions!$F$13</f>
        <v>70000000</v>
      </c>
      <c r="N98">
        <f>26/365</f>
        <v>7.1232876712328766E-2</v>
      </c>
      <c r="O98">
        <f t="shared" si="8"/>
        <v>7.3972602739726029E-2</v>
      </c>
      <c r="P98">
        <f>Answer!O8</f>
        <v>2.7335020000000001</v>
      </c>
      <c r="Q98">
        <f>Answer!N8</f>
        <v>2.3466360000000002</v>
      </c>
      <c r="R98" s="1">
        <f t="shared" si="5"/>
        <v>-9982287.8732209466</v>
      </c>
      <c r="S98" s="1">
        <f t="shared" ref="S97:S98" si="9">(K98-$K$94)*EXP(-$Q98/100*O98)*M98</f>
        <v>-5049111.6052124053</v>
      </c>
      <c r="T98">
        <f t="shared" si="4"/>
        <v>-15031399.478433352</v>
      </c>
      <c r="U98">
        <f t="shared" si="6"/>
        <v>7.0507499999999999</v>
      </c>
      <c r="V98" s="1">
        <f t="shared" si="7"/>
        <v>-105982639.87256396</v>
      </c>
    </row>
    <row r="99" spans="2:27" x14ac:dyDescent="0.2">
      <c r="B99" s="23" t="s">
        <v>162</v>
      </c>
    </row>
    <row r="100" spans="2:27" x14ac:dyDescent="0.2">
      <c r="D100" s="5" t="s">
        <v>147</v>
      </c>
      <c r="F100" s="5" t="s">
        <v>148</v>
      </c>
      <c r="H100" s="5" t="s">
        <v>149</v>
      </c>
      <c r="J100" s="5" t="s">
        <v>150</v>
      </c>
      <c r="L100" s="5" t="s">
        <v>151</v>
      </c>
      <c r="N100" s="5" t="s">
        <v>152</v>
      </c>
    </row>
    <row r="101" spans="2:27" x14ac:dyDescent="0.2">
      <c r="C101" s="12" t="s">
        <v>98</v>
      </c>
      <c r="D101" s="32" t="s">
        <v>185</v>
      </c>
      <c r="E101" s="12" t="s">
        <v>98</v>
      </c>
      <c r="F101" s="32" t="s">
        <v>185</v>
      </c>
      <c r="G101" s="12" t="s">
        <v>98</v>
      </c>
      <c r="H101" s="32" t="s">
        <v>185</v>
      </c>
      <c r="I101" s="12" t="s">
        <v>98</v>
      </c>
      <c r="J101" s="32" t="s">
        <v>185</v>
      </c>
      <c r="K101" s="12" t="s">
        <v>98</v>
      </c>
      <c r="L101" s="32" t="s">
        <v>185</v>
      </c>
      <c r="M101" s="12" t="s">
        <v>98</v>
      </c>
      <c r="N101" s="32" t="s">
        <v>185</v>
      </c>
    </row>
    <row r="102" spans="2:27" x14ac:dyDescent="0.2">
      <c r="C102" s="3">
        <v>45756</v>
      </c>
      <c r="D102" s="33">
        <f>LN(Assets!H4/Assets!H5)</f>
        <v>1.596516280305826E-2</v>
      </c>
      <c r="E102" s="33"/>
      <c r="F102" s="33">
        <f>LN(Assets!J4/Assets!J5)</f>
        <v>8.7351281819550888E-2</v>
      </c>
      <c r="G102" s="33"/>
      <c r="H102" s="33">
        <f>LN(Assets!L4/Assets!L5)</f>
        <v>1.5636423769755103E-2</v>
      </c>
      <c r="I102" s="33"/>
      <c r="J102" s="33">
        <f>LN(Assets!N4/Assets!N5)</f>
        <v>5.0293484050019585E-3</v>
      </c>
      <c r="K102" s="33"/>
      <c r="L102" s="33">
        <f>LN(Assets!P4/Assets!P5)</f>
        <v>-3.824960358436872E-2</v>
      </c>
      <c r="M102" s="33"/>
      <c r="N102" s="33">
        <f>LN(Assets!R4/Assets!R5)</f>
        <v>3.5643808892816126E-2</v>
      </c>
      <c r="P102" s="23" t="s">
        <v>162</v>
      </c>
      <c r="Q102" s="5"/>
      <c r="S102" s="5" t="s">
        <v>148</v>
      </c>
      <c r="U102" s="5" t="s">
        <v>149</v>
      </c>
      <c r="W102" s="5" t="s">
        <v>150</v>
      </c>
      <c r="Y102" s="5" t="s">
        <v>151</v>
      </c>
      <c r="AA102" s="5" t="s">
        <v>152</v>
      </c>
    </row>
    <row r="103" spans="2:27" x14ac:dyDescent="0.2">
      <c r="C103" s="3">
        <v>45755</v>
      </c>
      <c r="D103" s="33">
        <f>LN(Assets!H5/Assets!H6)</f>
        <v>-1.5543107175985293E-2</v>
      </c>
      <c r="E103" s="33"/>
      <c r="F103" s="33">
        <f>LN(Assets!J5/Assets!J6)</f>
        <v>-2.149101528711557E-2</v>
      </c>
      <c r="G103" s="33"/>
      <c r="H103" s="33">
        <f>LN(Assets!L5/Assets!L6)</f>
        <v>3.0290975035868157E-2</v>
      </c>
      <c r="I103" s="33"/>
      <c r="J103" s="33">
        <f>LN(Assets!N5/Assets!N6)</f>
        <v>0</v>
      </c>
      <c r="K103" s="33"/>
      <c r="L103" s="33">
        <f>LN(Assets!P5/Assets!P6)</f>
        <v>1.1973264601454165E-2</v>
      </c>
      <c r="M103" s="33"/>
      <c r="N103" s="33">
        <f>LN(Assets!R5/Assets!R6)</f>
        <v>7.5884413317565637E-3</v>
      </c>
      <c r="S103">
        <f>_xlfn.COVARIANCE.S(F102:F581,$D$102:$D$581)/_xlfn.VAR.S($D$102:$D$581)</f>
        <v>1.9276261700189048</v>
      </c>
      <c r="U103">
        <f>_xlfn.COVARIANCE.S(H102:H581,$D$102:$D$581)/_xlfn.VAR.S($D$102:$D$581)</f>
        <v>0.89841905169823277</v>
      </c>
      <c r="W103">
        <f>_xlfn.COVARIANCE.S(J102:J581,$D$102:$D$581)/_xlfn.VAR.S($D$102:$D$581)</f>
        <v>0.82988736733140378</v>
      </c>
      <c r="Y103" s="5">
        <f>_xlfn.COVARIANCE.S(L102:L581,$D$102:$D$581)/_xlfn.VAR.S($D$102:$D$581)</f>
        <v>0.58166204319013004</v>
      </c>
      <c r="AA103" s="5">
        <f>_xlfn.COVARIANCE.S(N102:N581,$D$102:$D$581)/_xlfn.VAR.S($D$102:$D$581)</f>
        <v>1.0521756516403464</v>
      </c>
    </row>
    <row r="104" spans="2:27" x14ac:dyDescent="0.2">
      <c r="C104" s="3">
        <v>45754</v>
      </c>
      <c r="D104" s="33">
        <f>LN(Assets!H6/Assets!H7)</f>
        <v>-1.4505737495754316E-2</v>
      </c>
      <c r="E104" s="33"/>
      <c r="F104" s="33">
        <f>LN(Assets!J6/Assets!J7)</f>
        <v>6.2823083779154076E-2</v>
      </c>
      <c r="G104" s="33"/>
      <c r="H104" s="33">
        <f>LN(Assets!L6/Assets!L7)</f>
        <v>-1.5987092513484732E-2</v>
      </c>
      <c r="I104" s="33"/>
      <c r="J104" s="33">
        <f>LN(Assets!N6/Assets!N7)</f>
        <v>-1.6792615197199141E-3</v>
      </c>
      <c r="K104" s="33"/>
      <c r="L104" s="33">
        <f>LN(Assets!P6/Assets!P7)</f>
        <v>-5.3934918683968512E-3</v>
      </c>
      <c r="M104" s="33"/>
      <c r="N104" s="33">
        <f>LN(Assets!R6/Assets!R7)</f>
        <v>-4.5272769807384768E-2</v>
      </c>
    </row>
    <row r="105" spans="2:27" x14ac:dyDescent="0.2">
      <c r="C105" s="3">
        <v>45751</v>
      </c>
      <c r="D105" s="33">
        <f>LN(Assets!H7/Assets!H8)</f>
        <v>-4.8076510917039648E-2</v>
      </c>
      <c r="E105" s="33"/>
      <c r="F105" s="33">
        <f>LN(Assets!J7/Assets!J8)</f>
        <v>-3.3345132731032151E-2</v>
      </c>
      <c r="G105" s="33"/>
      <c r="H105" s="33">
        <f>LN(Assets!L7/Assets!L8)</f>
        <v>-3.0798464981557326E-2</v>
      </c>
      <c r="I105" s="33"/>
      <c r="J105" s="33">
        <f>LN(Assets!N7/Assets!N8)</f>
        <v>-1.1676529661835742E-2</v>
      </c>
      <c r="K105" s="33"/>
      <c r="L105" s="33">
        <f>LN(Assets!P7/Assets!P8)</f>
        <v>-4.3068857185822859E-2</v>
      </c>
      <c r="M105" s="33"/>
      <c r="N105" s="33">
        <f>LN(Assets!R7/Assets!R8)</f>
        <v>-1.9322879497244701E-2</v>
      </c>
    </row>
    <row r="106" spans="2:27" x14ac:dyDescent="0.2">
      <c r="C106" s="3">
        <v>45750</v>
      </c>
      <c r="D106" s="33">
        <f>LN(Assets!H8/Assets!H9)</f>
        <v>-3.9140865484635912E-2</v>
      </c>
      <c r="E106" s="33"/>
      <c r="F106" s="33">
        <f>LN(Assets!J8/Assets!J9)</f>
        <v>-0.19260061122052979</v>
      </c>
      <c r="G106" s="33"/>
      <c r="H106" s="33">
        <f>LN(Assets!L8/Assets!L9)</f>
        <v>1.4316813499661098E-2</v>
      </c>
      <c r="I106" s="33"/>
      <c r="J106" s="33">
        <f>LN(Assets!N8/Assets!N9)</f>
        <v>-3.3112613036559201E-3</v>
      </c>
      <c r="K106" s="33"/>
      <c r="L106" s="33">
        <f>LN(Assets!P8/Assets!P9)</f>
        <v>-1.626052087178018E-2</v>
      </c>
      <c r="M106" s="33"/>
      <c r="N106" s="33">
        <f>LN(Assets!R8/Assets!R9)</f>
        <v>-5.9599178979063389E-2</v>
      </c>
    </row>
    <row r="107" spans="2:27" x14ac:dyDescent="0.2">
      <c r="C107" s="3">
        <v>45749</v>
      </c>
      <c r="D107" s="33">
        <f>LN(Assets!H9/Assets!H10)</f>
        <v>1.0882010330812077E-2</v>
      </c>
      <c r="E107" s="33"/>
      <c r="F107" s="33">
        <f>LN(Assets!J9/Assets!J10)</f>
        <v>4.1995695276489081E-2</v>
      </c>
      <c r="G107" s="33"/>
      <c r="H107" s="33">
        <f>LN(Assets!L9/Assets!L10)</f>
        <v>2.7345453890528622E-2</v>
      </c>
      <c r="I107" s="33"/>
      <c r="J107" s="33">
        <f>LN(Assets!N9/Assets!N10)</f>
        <v>0.10077965560886018</v>
      </c>
      <c r="K107" s="33"/>
      <c r="L107" s="33">
        <f>LN(Assets!P9/Assets!P10)</f>
        <v>3.0174198932522742E-2</v>
      </c>
      <c r="M107" s="33"/>
      <c r="N107" s="33">
        <f>LN(Assets!R9/Assets!R10)</f>
        <v>2.3690692720658796E-2</v>
      </c>
    </row>
    <row r="108" spans="2:27" x14ac:dyDescent="0.2">
      <c r="C108" s="3">
        <v>45748</v>
      </c>
      <c r="D108" s="33">
        <f>LN(Assets!H10/Assets!H11)</f>
        <v>4.63577174755912E-3</v>
      </c>
      <c r="E108" s="33"/>
      <c r="F108" s="33">
        <f>LN(Assets!J10/Assets!J11)</f>
        <v>-3.883500026397633E-3</v>
      </c>
      <c r="G108" s="33"/>
      <c r="H108" s="33">
        <f>LN(Assets!L10/Assets!L11)</f>
        <v>-1.3388100101442039E-2</v>
      </c>
      <c r="I108" s="33"/>
      <c r="J108" s="33">
        <f>LN(Assets!N10/Assets!N11)</f>
        <v>1.8298266770761572E-3</v>
      </c>
      <c r="K108" s="33"/>
      <c r="L108" s="33">
        <f>LN(Assets!P10/Assets!P11)</f>
        <v>3.8983268061342925E-2</v>
      </c>
      <c r="M108" s="33"/>
      <c r="N108" s="33">
        <f>LN(Assets!R10/Assets!R11)</f>
        <v>-8.2633250811365569E-4</v>
      </c>
    </row>
    <row r="109" spans="2:27" x14ac:dyDescent="0.2">
      <c r="C109" s="3">
        <v>45747</v>
      </c>
      <c r="D109" s="33">
        <f>LN(Assets!H11/Assets!H12)</f>
        <v>6.3752501961644005E-3</v>
      </c>
      <c r="E109" s="33"/>
      <c r="F109" s="33">
        <f>LN(Assets!J11/Assets!J12)</f>
        <v>-4.17517946802217E-2</v>
      </c>
      <c r="G109" s="33"/>
      <c r="H109" s="33">
        <f>LN(Assets!L11/Assets!L12)</f>
        <v>2.17912413731512E-2</v>
      </c>
      <c r="I109" s="33"/>
      <c r="J109" s="33">
        <f>LN(Assets!N11/Assets!N12)</f>
        <v>0</v>
      </c>
      <c r="K109" s="33"/>
      <c r="L109" s="33">
        <f>LN(Assets!P11/Assets!P12)</f>
        <v>-3.0876404396590628E-2</v>
      </c>
      <c r="M109" s="33"/>
      <c r="N109" s="33">
        <f>LN(Assets!R11/Assets!R12)</f>
        <v>4.1385077690858935E-3</v>
      </c>
    </row>
    <row r="110" spans="2:27" x14ac:dyDescent="0.2">
      <c r="C110" s="3">
        <v>45744</v>
      </c>
      <c r="D110" s="33">
        <f>LN(Assets!H12/Assets!H13)</f>
        <v>-1.6102443647130777E-2</v>
      </c>
      <c r="E110" s="33"/>
      <c r="F110" s="33">
        <f>LN(Assets!J12/Assets!J13)</f>
        <v>-2.1315639654146432E-2</v>
      </c>
      <c r="G110" s="33"/>
      <c r="H110" s="33">
        <f>LN(Assets!L12/Assets!L13)</f>
        <v>-8.9140295898650322E-3</v>
      </c>
      <c r="I110" s="33"/>
      <c r="J110" s="33">
        <f>LN(Assets!N12/Assets!N13)</f>
        <v>1.8331810816609117E-3</v>
      </c>
      <c r="K110" s="33"/>
      <c r="L110" s="33">
        <f>LN(Assets!P12/Assets!P13)</f>
        <v>2.1782080932898098E-2</v>
      </c>
      <c r="M110" s="33"/>
      <c r="N110" s="33">
        <f>LN(Assets!R12/Assets!R13)</f>
        <v>-4.6721066124374024E-2</v>
      </c>
    </row>
    <row r="111" spans="2:27" x14ac:dyDescent="0.2">
      <c r="C111" s="3">
        <v>45743</v>
      </c>
      <c r="D111" s="33">
        <f>LN(Assets!H13/Assets!H14)</f>
        <v>0</v>
      </c>
      <c r="E111" s="33"/>
      <c r="F111" s="33">
        <f>LN(Assets!J13/Assets!J14)</f>
        <v>-3.5664394715867263E-2</v>
      </c>
      <c r="G111" s="33"/>
      <c r="H111" s="33">
        <f>LN(Assets!L13/Assets!L14)</f>
        <v>-1.0605630796395846E-2</v>
      </c>
      <c r="I111" s="33"/>
      <c r="J111" s="33">
        <f>LN(Assets!N13/Assets!N14)</f>
        <v>-1.8331810816609605E-3</v>
      </c>
      <c r="K111" s="33"/>
      <c r="L111" s="33">
        <f>LN(Assets!P13/Assets!P14)</f>
        <v>-4.8816303922813243E-3</v>
      </c>
      <c r="M111" s="33"/>
      <c r="N111" s="33">
        <f>LN(Assets!R13/Assets!R14)</f>
        <v>-1.0498784098219582E-2</v>
      </c>
    </row>
    <row r="112" spans="2:27" x14ac:dyDescent="0.2">
      <c r="C112" s="3">
        <v>45742</v>
      </c>
      <c r="D112" s="33">
        <f>LN(Assets!H14/Assets!H15)</f>
        <v>-7.0672763790151335E-3</v>
      </c>
      <c r="E112" s="33"/>
      <c r="F112" s="33">
        <f>LN(Assets!J14/Assets!J15)</f>
        <v>-0.10426654158849688</v>
      </c>
      <c r="G112" s="33"/>
      <c r="H112" s="33">
        <f>LN(Assets!L14/Assets!L15)</f>
        <v>-9.8690180898340554E-3</v>
      </c>
      <c r="I112" s="33"/>
      <c r="J112" s="33">
        <f>LN(Assets!N14/Assets!N15)</f>
        <v>0</v>
      </c>
      <c r="K112" s="33"/>
      <c r="L112" s="33">
        <f>LN(Assets!P14/Assets!P15)</f>
        <v>-9.6923462898226478E-3</v>
      </c>
      <c r="M112" s="33"/>
      <c r="N112" s="33">
        <f>LN(Assets!R14/Assets!R15)</f>
        <v>-1.2970350442627404E-2</v>
      </c>
    </row>
    <row r="113" spans="3:14" x14ac:dyDescent="0.2">
      <c r="C113" s="3">
        <v>45741</v>
      </c>
      <c r="D113" s="33">
        <f>LN(Assets!H15/Assets!H16)</f>
        <v>1.398004556764652E-3</v>
      </c>
      <c r="E113" s="33"/>
      <c r="F113" s="33">
        <f>LN(Assets!J15/Assets!J16)</f>
        <v>-2.8566283071885752E-2</v>
      </c>
      <c r="G113" s="33"/>
      <c r="H113" s="33">
        <f>LN(Assets!L15/Assets!L16)</f>
        <v>6.5894995097357601E-3</v>
      </c>
      <c r="I113" s="33"/>
      <c r="J113" s="33">
        <f>LN(Assets!N15/Assets!N16)</f>
        <v>-1.829826677076116E-3</v>
      </c>
      <c r="K113" s="33"/>
      <c r="L113" s="33">
        <f>LN(Assets!P15/Assets!P16)</f>
        <v>2.1448543407483475E-2</v>
      </c>
      <c r="M113" s="33"/>
      <c r="N113" s="33">
        <f>LN(Assets!R15/Assets!R16)</f>
        <v>6.2047768868828696E-3</v>
      </c>
    </row>
    <row r="114" spans="3:14" x14ac:dyDescent="0.2">
      <c r="C114" s="3">
        <v>45740</v>
      </c>
      <c r="D114" s="33">
        <f>LN(Assets!H16/Assets!H17)</f>
        <v>1.3352203236629169E-2</v>
      </c>
      <c r="E114" s="33"/>
      <c r="F114" s="33">
        <f>LN(Assets!J16/Assets!J17)</f>
        <v>3.8684169487553516E-2</v>
      </c>
      <c r="G114" s="33"/>
      <c r="H114" s="33">
        <f>LN(Assets!L16/Assets!L17)</f>
        <v>-6.4018294331785516E-3</v>
      </c>
      <c r="I114" s="33"/>
      <c r="J114" s="33">
        <f>LN(Assets!N16/Assets!N17)</f>
        <v>0</v>
      </c>
      <c r="K114" s="33"/>
      <c r="L114" s="33">
        <f>LN(Assets!P16/Assets!P17)</f>
        <v>4.4328587107230547E-2</v>
      </c>
      <c r="M114" s="33"/>
      <c r="N114" s="33">
        <f>LN(Assets!R16/Assets!R17)</f>
        <v>1.8320323961168141E-2</v>
      </c>
    </row>
    <row r="115" spans="3:14" x14ac:dyDescent="0.2">
      <c r="C115" s="3">
        <v>45737</v>
      </c>
      <c r="D115" s="33">
        <f>LN(Assets!H17/Assets!H18)</f>
        <v>-3.667896541164636E-3</v>
      </c>
      <c r="E115" s="33"/>
      <c r="F115" s="33">
        <f>LN(Assets!J17/Assets!J18)</f>
        <v>5.0245873050926799E-3</v>
      </c>
      <c r="G115" s="33"/>
      <c r="H115" s="33">
        <f>LN(Assets!L17/Assets!L18)</f>
        <v>1.4366976797538289E-2</v>
      </c>
      <c r="I115" s="33"/>
      <c r="J115" s="33">
        <f>LN(Assets!N17/Assets!N18)</f>
        <v>1.8298266770761572E-3</v>
      </c>
      <c r="K115" s="33"/>
      <c r="L115" s="33">
        <f>LN(Assets!P17/Assets!P18)</f>
        <v>1.2960264351112253E-2</v>
      </c>
      <c r="M115" s="33"/>
      <c r="N115" s="33">
        <f>LN(Assets!R17/Assets!R18)</f>
        <v>1.8506284197792279E-3</v>
      </c>
    </row>
    <row r="116" spans="3:14" x14ac:dyDescent="0.2">
      <c r="C116" s="3">
        <v>45736</v>
      </c>
      <c r="D116" s="33">
        <f>LN(Assets!H18/Assets!H19)</f>
        <v>-3.5787346941697343E-4</v>
      </c>
      <c r="E116" s="33"/>
      <c r="F116" s="33">
        <f>LN(Assets!J18/Assets!J19)</f>
        <v>3.8701064284085214E-2</v>
      </c>
      <c r="G116" s="33"/>
      <c r="H116" s="33">
        <f>LN(Assets!L18/Assets!L19)</f>
        <v>-1.1484949866896957E-2</v>
      </c>
      <c r="I116" s="33"/>
      <c r="J116" s="33">
        <f>LN(Assets!N18/Assets!N19)</f>
        <v>-1.829826677076116E-3</v>
      </c>
      <c r="K116" s="33"/>
      <c r="L116" s="33">
        <f>LN(Assets!P18/Assets!P19)</f>
        <v>8.9099121929294266E-3</v>
      </c>
      <c r="M116" s="33"/>
      <c r="N116" s="33">
        <f>LN(Assets!R18/Assets!R19)</f>
        <v>3.1804956574478941E-3</v>
      </c>
    </row>
    <row r="117" spans="3:14" x14ac:dyDescent="0.2">
      <c r="C117" s="3">
        <v>45735</v>
      </c>
      <c r="D117" s="33">
        <f>LN(Assets!H19/Assets!H20)</f>
        <v>1.4591437476194022E-2</v>
      </c>
      <c r="E117" s="33"/>
      <c r="F117" s="33">
        <f>LN(Assets!J19/Assets!J20)</f>
        <v>5.1461052145741648E-2</v>
      </c>
      <c r="G117" s="33"/>
      <c r="H117" s="33">
        <f>LN(Assets!L19/Assets!L20)</f>
        <v>1.6447739209025883E-2</v>
      </c>
      <c r="I117" s="33"/>
      <c r="J117" s="33">
        <f>LN(Assets!N19/Assets!N20)</f>
        <v>1.8298266770761572E-3</v>
      </c>
      <c r="K117" s="33"/>
      <c r="L117" s="33">
        <f>LN(Assets!P19/Assets!P20)</f>
        <v>2.4245226501879848E-2</v>
      </c>
      <c r="M117" s="33"/>
      <c r="N117" s="33">
        <f>LN(Assets!R19/Assets!R20)</f>
        <v>9.6026344708831785E-3</v>
      </c>
    </row>
    <row r="118" spans="3:14" x14ac:dyDescent="0.2">
      <c r="C118" s="3">
        <v>45734</v>
      </c>
      <c r="D118" s="33">
        <f>LN(Assets!H20/Assets!H21)</f>
        <v>-3.1941072004860621E-3</v>
      </c>
      <c r="E118" s="33"/>
      <c r="F118" s="33">
        <f>LN(Assets!J20/Assets!J21)</f>
        <v>-4.6135010490681756E-2</v>
      </c>
      <c r="G118" s="33"/>
      <c r="H118" s="33">
        <f>LN(Assets!L20/Assets!L21)</f>
        <v>-1.7764477650518869E-2</v>
      </c>
      <c r="I118" s="33"/>
      <c r="J118" s="33">
        <f>LN(Assets!N20/Assets!N21)</f>
        <v>0</v>
      </c>
      <c r="K118" s="33"/>
      <c r="L118" s="33">
        <f>LN(Assets!P20/Assets!P21)</f>
        <v>-4.4569010985183503E-2</v>
      </c>
      <c r="M118" s="33"/>
      <c r="N118" s="33">
        <f>LN(Assets!R20/Assets!R21)</f>
        <v>4.297616069298466E-3</v>
      </c>
    </row>
    <row r="119" spans="3:14" x14ac:dyDescent="0.2">
      <c r="C119" s="3">
        <v>45733</v>
      </c>
      <c r="D119" s="33">
        <f>LN(Assets!H21/Assets!H22)</f>
        <v>9.3927321079678543E-3</v>
      </c>
      <c r="E119" s="33"/>
      <c r="F119" s="33">
        <f>LN(Assets!J21/Assets!J22)</f>
        <v>-4.4150182091167202E-3</v>
      </c>
      <c r="G119" s="33"/>
      <c r="H119" s="33">
        <f>LN(Assets!L21/Assets!L22)</f>
        <v>4.3872019756683857E-4</v>
      </c>
      <c r="I119" s="33"/>
      <c r="J119" s="33">
        <f>LN(Assets!N21/Assets!N22)</f>
        <v>-1.829826677076116E-3</v>
      </c>
      <c r="K119" s="33"/>
      <c r="L119" s="33">
        <f>LN(Assets!P21/Assets!P22)</f>
        <v>6.4691647529129441E-3</v>
      </c>
      <c r="M119" s="33"/>
      <c r="N119" s="33">
        <f>LN(Assets!R21/Assets!R22)</f>
        <v>-7.775880445623099E-3</v>
      </c>
    </row>
    <row r="120" spans="3:14" x14ac:dyDescent="0.2">
      <c r="C120" s="3">
        <v>45730</v>
      </c>
      <c r="D120" s="33">
        <f>LN(Assets!H22/Assets!H23)</f>
        <v>1.4364242192418138E-2</v>
      </c>
      <c r="E120" s="33"/>
      <c r="F120" s="33">
        <f>LN(Assets!J22/Assets!J23)</f>
        <v>5.3350142533833737E-2</v>
      </c>
      <c r="G120" s="33"/>
      <c r="H120" s="33">
        <f>LN(Assets!L22/Assets!L23)</f>
        <v>2.4495164682286255E-2</v>
      </c>
      <c r="I120" s="33"/>
      <c r="J120" s="33">
        <f>LN(Assets!N22/Assets!N23)</f>
        <v>7.3394824880457484E-3</v>
      </c>
      <c r="K120" s="33"/>
      <c r="L120" s="33">
        <f>LN(Assets!P22/Assets!P23)</f>
        <v>-9.8166636944756521E-3</v>
      </c>
      <c r="M120" s="33"/>
      <c r="N120" s="33">
        <f>LN(Assets!R22/Assets!R23)</f>
        <v>3.2300270308707482E-2</v>
      </c>
    </row>
    <row r="121" spans="3:14" x14ac:dyDescent="0.2">
      <c r="C121" s="3">
        <v>45729</v>
      </c>
      <c r="D121" s="33">
        <f>LN(Assets!H23/Assets!H24)</f>
        <v>-9.0531371361895572E-3</v>
      </c>
      <c r="E121" s="33"/>
      <c r="F121" s="33">
        <f>LN(Assets!J23/Assets!J24)</f>
        <v>-3.1232822604140557E-2</v>
      </c>
      <c r="G121" s="33"/>
      <c r="H121" s="33">
        <f>LN(Assets!L23/Assets!L24)</f>
        <v>-1.7954260859053377E-2</v>
      </c>
      <c r="I121" s="33"/>
      <c r="J121" s="33">
        <f>LN(Assets!N23/Assets!N24)</f>
        <v>0</v>
      </c>
      <c r="K121" s="33"/>
      <c r="L121" s="33">
        <f>LN(Assets!P23/Assets!P24)</f>
        <v>-3.386727516708328E-2</v>
      </c>
      <c r="M121" s="33"/>
      <c r="N121" s="33">
        <f>LN(Assets!R23/Assets!R24)</f>
        <v>-1.9291724324087907E-3</v>
      </c>
    </row>
    <row r="122" spans="3:14" x14ac:dyDescent="0.2">
      <c r="C122" s="3">
        <v>45728</v>
      </c>
      <c r="D122" s="33">
        <f>LN(Assets!H24/Assets!H25)</f>
        <v>7.1968446423160198E-3</v>
      </c>
      <c r="E122" s="33"/>
      <c r="F122" s="33">
        <f>LN(Assets!J24/Assets!J25)</f>
        <v>3.1793787478409441E-2</v>
      </c>
      <c r="G122" s="33"/>
      <c r="H122" s="33">
        <f>LN(Assets!L24/Assets!L25)</f>
        <v>-3.2129047703223076E-3</v>
      </c>
      <c r="I122" s="33"/>
      <c r="J122" s="33">
        <f>LN(Assets!N24/Assets!N25)</f>
        <v>0</v>
      </c>
      <c r="K122" s="33"/>
      <c r="L122" s="33">
        <f>LN(Assets!P24/Assets!P25)</f>
        <v>3.9021925755747609E-2</v>
      </c>
      <c r="M122" s="33"/>
      <c r="N122" s="33">
        <f>LN(Assets!R24/Assets!R25)</f>
        <v>-1.5300844955300598E-2</v>
      </c>
    </row>
    <row r="123" spans="3:14" x14ac:dyDescent="0.2">
      <c r="C123" s="3">
        <v>45727</v>
      </c>
      <c r="D123" s="33">
        <f>LN(Assets!H25/Assets!H26)</f>
        <v>-5.4498580359956606E-3</v>
      </c>
      <c r="E123" s="33"/>
      <c r="F123" s="33">
        <f>LN(Assets!J25/Assets!J26)</f>
        <v>6.2515185361117054E-2</v>
      </c>
      <c r="G123" s="33"/>
      <c r="H123" s="33">
        <f>LN(Assets!L25/Assets!L26)</f>
        <v>-1.1568774868455513E-2</v>
      </c>
      <c r="I123" s="33"/>
      <c r="J123" s="33">
        <f>LN(Assets!N25/Assets!N26)</f>
        <v>0</v>
      </c>
      <c r="K123" s="33"/>
      <c r="L123" s="33">
        <f>LN(Assets!P25/Assets!P26)</f>
        <v>-1.2071547642003775E-2</v>
      </c>
      <c r="M123" s="33"/>
      <c r="N123" s="33">
        <f>LN(Assets!R25/Assets!R26)</f>
        <v>-1.7471214458536364E-2</v>
      </c>
    </row>
    <row r="124" spans="3:14" x14ac:dyDescent="0.2">
      <c r="C124" s="3">
        <v>45726</v>
      </c>
      <c r="D124" s="33">
        <f>LN(Assets!H26/Assets!H27)</f>
        <v>-1.5387119926448499E-2</v>
      </c>
      <c r="E124" s="33"/>
      <c r="F124" s="33">
        <f>LN(Assets!J26/Assets!J27)</f>
        <v>-7.0737799844846391E-2</v>
      </c>
      <c r="G124" s="33"/>
      <c r="H124" s="33">
        <f>LN(Assets!L26/Assets!L27)</f>
        <v>-7.4948475584831744E-3</v>
      </c>
      <c r="I124" s="33"/>
      <c r="J124" s="33">
        <f>LN(Assets!N26/Assets!N27)</f>
        <v>-1.8399269220072938E-3</v>
      </c>
      <c r="K124" s="33"/>
      <c r="L124" s="33">
        <f>LN(Assets!P26/Assets!P27)</f>
        <v>1.6473989039673773E-2</v>
      </c>
      <c r="M124" s="33"/>
      <c r="N124" s="33">
        <f>LN(Assets!R26/Assets!R27)</f>
        <v>-8.4903667365283497E-3</v>
      </c>
    </row>
    <row r="125" spans="3:14" x14ac:dyDescent="0.2">
      <c r="C125" s="3">
        <v>45723</v>
      </c>
      <c r="D125" s="33">
        <f>LN(Assets!H27/Assets!H28)</f>
        <v>7.0819138854871181E-3</v>
      </c>
      <c r="E125" s="33"/>
      <c r="F125" s="33">
        <f>LN(Assets!J27/Assets!J28)</f>
        <v>7.3728871595816994E-2</v>
      </c>
      <c r="G125" s="33"/>
      <c r="H125" s="33">
        <f>LN(Assets!L27/Assets!L28)</f>
        <v>2.619636530730008E-2</v>
      </c>
      <c r="I125" s="33"/>
      <c r="J125" s="33">
        <f>LN(Assets!N27/Assets!N28)</f>
        <v>-1.8365478073013922E-3</v>
      </c>
      <c r="K125" s="33"/>
      <c r="L125" s="33">
        <f>LN(Assets!P27/Assets!P28)</f>
        <v>4.7298932979220595E-2</v>
      </c>
      <c r="M125" s="33"/>
      <c r="N125" s="33">
        <f>LN(Assets!R27/Assets!R28)</f>
        <v>2.0553239185803453E-2</v>
      </c>
    </row>
    <row r="126" spans="3:14" x14ac:dyDescent="0.2">
      <c r="C126" s="3">
        <v>45722</v>
      </c>
      <c r="D126" s="33">
        <f>LN(Assets!H28/Assets!H29)</f>
        <v>-1.1597776821935081E-2</v>
      </c>
      <c r="E126" s="33"/>
      <c r="F126" s="33">
        <f>LN(Assets!J28/Assets!J29)</f>
        <v>-0.10964778597685303</v>
      </c>
      <c r="G126" s="33"/>
      <c r="H126" s="33">
        <f>LN(Assets!L28/Assets!L29)</f>
        <v>-1.4527186899948025E-2</v>
      </c>
      <c r="I126" s="33"/>
      <c r="J126" s="33">
        <f>LN(Assets!N28/Assets!N29)</f>
        <v>-1.8331810816609605E-3</v>
      </c>
      <c r="K126" s="33"/>
      <c r="L126" s="33">
        <f>LN(Assets!P28/Assets!P29)</f>
        <v>1.094402167931721E-2</v>
      </c>
      <c r="M126" s="33"/>
      <c r="N126" s="33">
        <f>LN(Assets!R28/Assets!R29)</f>
        <v>-6.1836465354121678E-3</v>
      </c>
    </row>
    <row r="127" spans="3:14" x14ac:dyDescent="0.2">
      <c r="C127" s="3">
        <v>45721</v>
      </c>
      <c r="D127" s="33">
        <f>LN(Assets!H29/Assets!H30)</f>
        <v>1.2087645421634041E-2</v>
      </c>
      <c r="E127" s="33"/>
      <c r="F127" s="33">
        <f>LN(Assets!J29/Assets!J30)</f>
        <v>-1.3030316487447355E-3</v>
      </c>
      <c r="G127" s="33"/>
      <c r="H127" s="33">
        <f>LN(Assets!L29/Assets!L30)</f>
        <v>2.5738923658818115E-2</v>
      </c>
      <c r="I127" s="33"/>
      <c r="J127" s="33">
        <f>LN(Assets!N29/Assets!N30)</f>
        <v>5.5096558109696998E-3</v>
      </c>
      <c r="K127" s="33"/>
      <c r="L127" s="33">
        <f>LN(Assets!P29/Assets!P30)</f>
        <v>-5.2133469703321842E-3</v>
      </c>
      <c r="M127" s="33"/>
      <c r="N127" s="33">
        <f>LN(Assets!R29/Assets!R30)</f>
        <v>7.8030800877150813E-3</v>
      </c>
    </row>
    <row r="128" spans="3:14" x14ac:dyDescent="0.2">
      <c r="C128" s="3">
        <v>45720</v>
      </c>
      <c r="D128" s="33">
        <f>LN(Assets!H30/Assets!H31)</f>
        <v>-1.7331039594682289E-2</v>
      </c>
      <c r="E128" s="33"/>
      <c r="F128" s="33">
        <f>LN(Assets!J30/Assets!J31)</f>
        <v>-2.9733551690319913E-2</v>
      </c>
      <c r="G128" s="33"/>
      <c r="H128" s="33">
        <f>LN(Assets!L30/Assets!L31)</f>
        <v>-3.1342225581201449E-2</v>
      </c>
      <c r="I128" s="33"/>
      <c r="J128" s="33">
        <f>LN(Assets!N30/Assets!N31)</f>
        <v>-1.8399269220072938E-3</v>
      </c>
      <c r="K128" s="33"/>
      <c r="L128" s="33">
        <f>LN(Assets!P30/Assets!P31)</f>
        <v>-7.0902942250245186E-3</v>
      </c>
      <c r="M128" s="33"/>
      <c r="N128" s="33">
        <f>LN(Assets!R30/Assets!R31)</f>
        <v>2.163332374257654E-3</v>
      </c>
    </row>
    <row r="129" spans="3:14" x14ac:dyDescent="0.2">
      <c r="C129" s="3">
        <v>45719</v>
      </c>
      <c r="D129" s="33">
        <f>LN(Assets!H31/Assets!H32)</f>
        <v>-1.5552643857158399E-2</v>
      </c>
      <c r="E129" s="33"/>
      <c r="F129" s="33">
        <f>LN(Assets!J31/Assets!J32)</f>
        <v>-0.13863952248850048</v>
      </c>
      <c r="G129" s="33"/>
      <c r="H129" s="33">
        <f>LN(Assets!L31/Assets!L32)</f>
        <v>2.1207972685092238E-2</v>
      </c>
      <c r="I129" s="33"/>
      <c r="J129" s="33">
        <f>LN(Assets!N31/Assets!N32)</f>
        <v>0</v>
      </c>
      <c r="K129" s="33"/>
      <c r="L129" s="33">
        <f>LN(Assets!P31/Assets!P32)</f>
        <v>-2.1715535135080179E-3</v>
      </c>
      <c r="M129" s="33"/>
      <c r="N129" s="33">
        <f>LN(Assets!R31/Assets!R32)</f>
        <v>-1.1305638589548054E-2</v>
      </c>
    </row>
    <row r="130" spans="3:14" x14ac:dyDescent="0.2">
      <c r="C130" s="3">
        <v>45716</v>
      </c>
      <c r="D130" s="33">
        <f>LN(Assets!H32/Assets!H33)</f>
        <v>1.0498953464411407E-2</v>
      </c>
      <c r="E130" s="33"/>
      <c r="F130" s="33">
        <f>LN(Assets!J32/Assets!J33)</f>
        <v>-9.4060737298537513E-3</v>
      </c>
      <c r="G130" s="33"/>
      <c r="H130" s="33">
        <f>LN(Assets!L32/Assets!L33)</f>
        <v>-1.8223452655904162E-2</v>
      </c>
      <c r="I130" s="33"/>
      <c r="J130" s="33">
        <f>LN(Assets!N32/Assets!N33)</f>
        <v>0</v>
      </c>
      <c r="K130" s="33"/>
      <c r="L130" s="33">
        <f>LN(Assets!P32/Assets!P33)</f>
        <v>-1.8003979521750528E-2</v>
      </c>
      <c r="M130" s="33"/>
      <c r="N130" s="33">
        <f>LN(Assets!R32/Assets!R33)</f>
        <v>-1.8719085556957384E-3</v>
      </c>
    </row>
    <row r="131" spans="3:14" x14ac:dyDescent="0.2">
      <c r="C131" s="3">
        <v>45715</v>
      </c>
      <c r="D131" s="33">
        <f>LN(Assets!H33/Assets!H34)</f>
        <v>-7.9324032671704483E-3</v>
      </c>
      <c r="E131" s="33"/>
      <c r="F131" s="33">
        <f>LN(Assets!J33/Assets!J34)</f>
        <v>-2.6450542280573152E-2</v>
      </c>
      <c r="G131" s="33"/>
      <c r="H131" s="33">
        <f>LN(Assets!L33/Assets!L34)</f>
        <v>5.0641306703075373E-2</v>
      </c>
      <c r="I131" s="33"/>
      <c r="J131" s="33">
        <f>LN(Assets!N33/Assets!N34)</f>
        <v>0</v>
      </c>
      <c r="K131" s="33"/>
      <c r="L131" s="33">
        <f>LN(Assets!P33/Assets!P34)</f>
        <v>-4.1216058012177509E-2</v>
      </c>
      <c r="M131" s="33"/>
      <c r="N131" s="33">
        <f>LN(Assets!R33/Assets!R34)</f>
        <v>-1.6954048478068372E-2</v>
      </c>
    </row>
    <row r="132" spans="3:14" x14ac:dyDescent="0.2">
      <c r="C132" s="3">
        <v>45714</v>
      </c>
      <c r="D132" s="33">
        <f>LN(Assets!H34/Assets!H35)</f>
        <v>4.9227980016239041E-3</v>
      </c>
      <c r="E132" s="33"/>
      <c r="F132" s="33">
        <f>LN(Assets!J34/Assets!J35)</f>
        <v>5.3290376745763167E-2</v>
      </c>
      <c r="G132" s="33"/>
      <c r="H132" s="33">
        <f>LN(Assets!L34/Assets!L35)</f>
        <v>-7.1146803163029048E-3</v>
      </c>
      <c r="I132" s="33"/>
      <c r="J132" s="33">
        <f>LN(Assets!N34/Assets!N35)</f>
        <v>3.6832454162965891E-3</v>
      </c>
      <c r="K132" s="33"/>
      <c r="L132" s="33">
        <f>LN(Assets!P34/Assets!P35)</f>
        <v>1.8311278881910555E-2</v>
      </c>
      <c r="M132" s="33"/>
      <c r="N132" s="33">
        <f>LN(Assets!R34/Assets!R35)</f>
        <v>-5.2397290432049303E-3</v>
      </c>
    </row>
    <row r="133" spans="3:14" x14ac:dyDescent="0.2">
      <c r="C133" s="3">
        <v>45713</v>
      </c>
      <c r="D133" s="33">
        <f>LN(Assets!H35/Assets!H36)</f>
        <v>2.0939238602633351E-3</v>
      </c>
      <c r="E133" s="33"/>
      <c r="F133" s="33">
        <f>LN(Assets!J35/Assets!J36)</f>
        <v>-4.0595384733431779E-2</v>
      </c>
      <c r="G133" s="33"/>
      <c r="H133" s="33">
        <f>LN(Assets!L35/Assets!L36)</f>
        <v>1.540256568327892E-2</v>
      </c>
      <c r="I133" s="33"/>
      <c r="J133" s="33">
        <f>LN(Assets!N35/Assets!N36)</f>
        <v>-5.5197932235979217E-3</v>
      </c>
      <c r="K133" s="33"/>
      <c r="L133" s="33">
        <f>LN(Assets!P35/Assets!P36)</f>
        <v>8.6263768498979591E-3</v>
      </c>
      <c r="M133" s="33"/>
      <c r="N133" s="33">
        <f>LN(Assets!R35/Assets!R36)</f>
        <v>-3.1307095750953682E-3</v>
      </c>
    </row>
    <row r="134" spans="3:14" x14ac:dyDescent="0.2">
      <c r="C134" s="3">
        <v>45712</v>
      </c>
      <c r="D134" s="33">
        <f>LN(Assets!H36/Assets!H37)</f>
        <v>1.6819657328205194E-4</v>
      </c>
      <c r="E134" s="33"/>
      <c r="F134" s="33">
        <f>LN(Assets!J36/Assets!J37)</f>
        <v>-7.0917945851386027E-2</v>
      </c>
      <c r="G134" s="33"/>
      <c r="H134" s="33">
        <f>LN(Assets!L36/Assets!L37)</f>
        <v>-2.4209201633311115E-2</v>
      </c>
      <c r="I134" s="33"/>
      <c r="J134" s="33">
        <f>LN(Assets!N36/Assets!N37)</f>
        <v>3.6764747293086273E-3</v>
      </c>
      <c r="K134" s="33"/>
      <c r="L134" s="33">
        <f>LN(Assets!P36/Assets!P37)</f>
        <v>-1.8468466138714904E-2</v>
      </c>
      <c r="M134" s="33"/>
      <c r="N134" s="33">
        <f>LN(Assets!R36/Assets!R37)</f>
        <v>5.747142255567851E-3</v>
      </c>
    </row>
    <row r="135" spans="3:14" x14ac:dyDescent="0.2">
      <c r="C135" s="3">
        <v>45709</v>
      </c>
      <c r="D135" s="33">
        <f>LN(Assets!H37/Assets!H38)</f>
        <v>-1.449065852350378E-2</v>
      </c>
      <c r="E135" s="33"/>
      <c r="F135" s="33">
        <f>LN(Assets!J37/Assets!J38)</f>
        <v>-4.290078443890593E-2</v>
      </c>
      <c r="G135" s="33"/>
      <c r="H135" s="33">
        <f>LN(Assets!L37/Assets!L38)</f>
        <v>-1.4782850077644464E-2</v>
      </c>
      <c r="I135" s="33"/>
      <c r="J135" s="33">
        <f>LN(Assets!N37/Assets!N38)</f>
        <v>-3.6764747293087483E-3</v>
      </c>
      <c r="K135" s="33"/>
      <c r="L135" s="33">
        <f>LN(Assets!P37/Assets!P38)</f>
        <v>-7.7022203620924629E-3</v>
      </c>
      <c r="M135" s="33"/>
      <c r="N135" s="33">
        <f>LN(Assets!R37/Assets!R38)</f>
        <v>-1.8944383867262125E-2</v>
      </c>
    </row>
    <row r="136" spans="3:14" x14ac:dyDescent="0.2">
      <c r="C136" s="3">
        <v>45708</v>
      </c>
      <c r="D136" s="33">
        <f>LN(Assets!H38/Assets!H39)</f>
        <v>-4.3832480820617439E-3</v>
      </c>
      <c r="E136" s="33"/>
      <c r="F136" s="33">
        <f>LN(Assets!J38/Assets!J39)</f>
        <v>-5.5655274695455045E-2</v>
      </c>
      <c r="G136" s="33"/>
      <c r="H136" s="33">
        <f>LN(Assets!L38/Assets!L39)</f>
        <v>-1.6006391264313653E-2</v>
      </c>
      <c r="I136" s="33"/>
      <c r="J136" s="33">
        <f>LN(Assets!N38/Assets!N39)</f>
        <v>1.8365478073013304E-3</v>
      </c>
      <c r="K136" s="33"/>
      <c r="L136" s="33">
        <f>LN(Assets!P38/Assets!P39)</f>
        <v>1.4166366981981759E-2</v>
      </c>
      <c r="M136" s="33"/>
      <c r="N136" s="33">
        <f>LN(Assets!R38/Assets!R39)</f>
        <v>-5.3839381430222074E-3</v>
      </c>
    </row>
    <row r="137" spans="3:14" x14ac:dyDescent="0.2">
      <c r="C137" s="3">
        <v>45707</v>
      </c>
      <c r="D137" s="33">
        <f>LN(Assets!H39/Assets!H40)</f>
        <v>-8.8464169591803232E-4</v>
      </c>
      <c r="E137" s="33"/>
      <c r="F137" s="33">
        <f>LN(Assets!J39/Assets!J40)</f>
        <v>-2.1332203705809803E-3</v>
      </c>
      <c r="G137" s="33"/>
      <c r="H137" s="33">
        <f>LN(Assets!L39/Assets!L40)</f>
        <v>-1.2549086842226123E-2</v>
      </c>
      <c r="I137" s="33"/>
      <c r="J137" s="33">
        <f>LN(Assets!N39/Assets!N40)</f>
        <v>3.6832454162965891E-3</v>
      </c>
      <c r="K137" s="33"/>
      <c r="L137" s="33">
        <f>LN(Assets!P39/Assets!P40)</f>
        <v>-1.2886776276356428E-2</v>
      </c>
      <c r="M137" s="33"/>
      <c r="N137" s="33">
        <f>LN(Assets!R39/Assets!R40)</f>
        <v>-9.6692865311353137E-3</v>
      </c>
    </row>
    <row r="138" spans="3:14" x14ac:dyDescent="0.2">
      <c r="C138" s="3">
        <v>45706</v>
      </c>
      <c r="D138" s="33">
        <f>LN(Assets!H40/Assets!H41)</f>
        <v>6.4777576617225437E-3</v>
      </c>
      <c r="E138" s="33"/>
      <c r="F138" s="33">
        <f>LN(Assets!J40/Assets!J41)</f>
        <v>1.8129470679606383E-3</v>
      </c>
      <c r="G138" s="33"/>
      <c r="H138" s="33">
        <f>LN(Assets!L40/Assets!L41)</f>
        <v>-7.0745581273675201E-3</v>
      </c>
      <c r="I138" s="33"/>
      <c r="J138" s="33">
        <f>LN(Assets!N40/Assets!N41)</f>
        <v>-1.843318494289224E-3</v>
      </c>
      <c r="K138" s="33"/>
      <c r="L138" s="33">
        <f>LN(Assets!P40/Assets!P41)</f>
        <v>-5.1085679427225767E-3</v>
      </c>
      <c r="M138" s="33"/>
      <c r="N138" s="33">
        <f>LN(Assets!R40/Assets!R41)</f>
        <v>-1.9062528566014279E-2</v>
      </c>
    </row>
    <row r="139" spans="3:14" x14ac:dyDescent="0.2">
      <c r="C139" s="3">
        <v>45702</v>
      </c>
      <c r="D139" s="33">
        <f>LN(Assets!H41/Assets!H42)</f>
        <v>-8.4124248058939574E-3</v>
      </c>
      <c r="E139" s="33"/>
      <c r="F139" s="33">
        <f>LN(Assets!J41/Assets!J42)</f>
        <v>1.7117438079409741E-2</v>
      </c>
      <c r="G139" s="33"/>
      <c r="H139" s="33">
        <f>LN(Assets!L41/Assets!L42)</f>
        <v>-4.2208351392447096E-3</v>
      </c>
      <c r="I139" s="33"/>
      <c r="J139" s="33">
        <f>LN(Assets!N41/Assets!N42)</f>
        <v>1.843318494289093E-3</v>
      </c>
      <c r="K139" s="33"/>
      <c r="L139" s="33">
        <f>LN(Assets!P41/Assets!P42)</f>
        <v>-5.8427703368632965E-3</v>
      </c>
      <c r="M139" s="33"/>
      <c r="N139" s="33">
        <f>LN(Assets!R41/Assets!R42)</f>
        <v>-1.1854917795748725E-2</v>
      </c>
    </row>
    <row r="140" spans="3:14" x14ac:dyDescent="0.2">
      <c r="C140" s="3">
        <v>45701</v>
      </c>
      <c r="D140" s="33">
        <f>LN(Assets!H42/Assets!H43)</f>
        <v>5.2827169677801501E-3</v>
      </c>
      <c r="E140" s="33"/>
      <c r="F140" s="33">
        <f>LN(Assets!J42/Assets!J43)</f>
        <v>-2.9815976334525603E-3</v>
      </c>
      <c r="G140" s="33"/>
      <c r="H140" s="33">
        <f>LN(Assets!L42/Assets!L43)</f>
        <v>-2.1797089380995949E-2</v>
      </c>
      <c r="I140" s="33"/>
      <c r="J140" s="33">
        <f>LN(Assets!N42/Assets!N43)</f>
        <v>3.6968618813259814E-3</v>
      </c>
      <c r="K140" s="33"/>
      <c r="L140" s="33">
        <f>LN(Assets!P42/Assets!P43)</f>
        <v>1.2489011570774767E-2</v>
      </c>
      <c r="M140" s="33"/>
      <c r="N140" s="33">
        <f>LN(Assets!R42/Assets!R43)</f>
        <v>7.1455275080504694E-3</v>
      </c>
    </row>
    <row r="141" spans="3:14" x14ac:dyDescent="0.2">
      <c r="C141" s="3">
        <v>45700</v>
      </c>
      <c r="D141" s="33">
        <f>LN(Assets!H43/Assets!H44)</f>
        <v>-2.6846419303865983E-3</v>
      </c>
      <c r="E141" s="33"/>
      <c r="F141" s="33">
        <f>LN(Assets!J43/Assets!J44)</f>
        <v>2.0673418796653766E-2</v>
      </c>
      <c r="G141" s="33"/>
      <c r="H141" s="33">
        <f>LN(Assets!L43/Assets!L44)</f>
        <v>-1.2534695884187004E-3</v>
      </c>
      <c r="I141" s="33"/>
      <c r="J141" s="33">
        <f>LN(Assets!N43/Assets!N44)</f>
        <v>0</v>
      </c>
      <c r="K141" s="33"/>
      <c r="L141" s="33">
        <f>LN(Assets!P43/Assets!P44)</f>
        <v>1.264696170076739E-2</v>
      </c>
      <c r="M141" s="33"/>
      <c r="N141" s="33">
        <f>LN(Assets!R43/Assets!R44)</f>
        <v>-1.3020697406509107E-2</v>
      </c>
    </row>
    <row r="142" spans="3:14" x14ac:dyDescent="0.2">
      <c r="C142" s="3">
        <v>45699</v>
      </c>
      <c r="D142" s="33">
        <f>LN(Assets!H44/Assets!H45)</f>
        <v>-1.0539925472752287E-3</v>
      </c>
      <c r="E142" s="33"/>
      <c r="F142" s="33">
        <f>LN(Assets!J44/Assets!J45)</f>
        <v>-2.9243282871510998E-2</v>
      </c>
      <c r="G142" s="33"/>
      <c r="H142" s="33">
        <f>LN(Assets!L44/Assets!L45)</f>
        <v>-1.4391293947451259E-2</v>
      </c>
      <c r="I142" s="33"/>
      <c r="J142" s="33">
        <f>LN(Assets!N44/Assets!N45)</f>
        <v>0</v>
      </c>
      <c r="K142" s="33"/>
      <c r="L142" s="33">
        <f>LN(Assets!P44/Assets!P45)</f>
        <v>-5.9562522329221828E-3</v>
      </c>
      <c r="M142" s="33"/>
      <c r="N142" s="33">
        <f>LN(Assets!R44/Assets!R45)</f>
        <v>-9.474138641394042E-3</v>
      </c>
    </row>
    <row r="143" spans="3:14" x14ac:dyDescent="0.2">
      <c r="C143" s="3">
        <v>45698</v>
      </c>
      <c r="D143" s="33">
        <f>LN(Assets!H45/Assets!H46)</f>
        <v>8.4518123539443178E-3</v>
      </c>
      <c r="E143" s="33"/>
      <c r="F143" s="33">
        <f>LN(Assets!J45/Assets!J46)</f>
        <v>5.759051413440055E-3</v>
      </c>
      <c r="G143" s="33"/>
      <c r="H143" s="33">
        <f>LN(Assets!L45/Assets!L46)</f>
        <v>2.7843334414730938E-2</v>
      </c>
      <c r="I143" s="33"/>
      <c r="J143" s="33">
        <f>LN(Assets!N45/Assets!N46)</f>
        <v>-1.8501392881613661E-3</v>
      </c>
      <c r="K143" s="33"/>
      <c r="L143" s="33">
        <f>LN(Assets!P45/Assets!P46)</f>
        <v>-1.6897483456153727E-2</v>
      </c>
      <c r="M143" s="33"/>
      <c r="N143" s="33">
        <f>LN(Assets!R45/Assets!R46)</f>
        <v>3.9201370980574336E-2</v>
      </c>
    </row>
    <row r="144" spans="3:14" x14ac:dyDescent="0.2">
      <c r="C144" s="3">
        <v>45695</v>
      </c>
      <c r="D144" s="33">
        <f>LN(Assets!H46/Assets!H47)</f>
        <v>-3.5929685908028287E-3</v>
      </c>
      <c r="E144" s="33"/>
      <c r="F144" s="33">
        <f>LN(Assets!J46/Assets!J47)</f>
        <v>-2.8941268780491872E-2</v>
      </c>
      <c r="G144" s="33"/>
      <c r="H144" s="33">
        <f>LN(Assets!L46/Assets!L47)</f>
        <v>-3.3589128834022798E-2</v>
      </c>
      <c r="I144" s="33"/>
      <c r="J144" s="33">
        <f>LN(Assets!N46/Assets!N47)</f>
        <v>0.4269512219131848</v>
      </c>
      <c r="K144" s="33"/>
      <c r="L144" s="33">
        <f>LN(Assets!P46/Assets!P47)</f>
        <v>9.1813957902908781E-3</v>
      </c>
      <c r="M144" s="33"/>
      <c r="N144" s="33">
        <f>LN(Assets!R46/Assets!R47)</f>
        <v>-6.0728152968311244E-2</v>
      </c>
    </row>
    <row r="145" spans="3:14" x14ac:dyDescent="0.2">
      <c r="C145" s="3">
        <v>45694</v>
      </c>
      <c r="D145" s="33">
        <f>LN(Assets!H47/Assets!H48)</f>
        <v>-1.383444637199424E-3</v>
      </c>
      <c r="E145" s="33"/>
      <c r="F145" s="33">
        <f>LN(Assets!J47/Assets!J48)</f>
        <v>-7.5328292508199168E-2</v>
      </c>
      <c r="G145" s="33"/>
      <c r="H145" s="33">
        <f>LN(Assets!L47/Assets!L48)</f>
        <v>-1.5488896243007413E-2</v>
      </c>
      <c r="I145" s="33"/>
      <c r="J145" s="33">
        <f>LN(Assets!N47/Assets!N48)</f>
        <v>-2.8288562004777137E-3</v>
      </c>
      <c r="K145" s="33"/>
      <c r="L145" s="33">
        <f>LN(Assets!P47/Assets!P48)</f>
        <v>1.679409061296969E-2</v>
      </c>
      <c r="M145" s="33"/>
      <c r="N145" s="33">
        <f>LN(Assets!R47/Assets!R48)</f>
        <v>-2.937959035977664E-2</v>
      </c>
    </row>
    <row r="146" spans="3:14" x14ac:dyDescent="0.2">
      <c r="C146" s="3">
        <v>45693</v>
      </c>
      <c r="D146" s="33">
        <f>LN(Assets!H48/Assets!H49)</f>
        <v>1.1425675027925819E-2</v>
      </c>
      <c r="E146" s="33"/>
      <c r="F146" s="33">
        <f>LN(Assets!J48/Assets!J49)</f>
        <v>8.4124072492498717E-2</v>
      </c>
      <c r="G146" s="33"/>
      <c r="H146" s="33">
        <f>LN(Assets!L48/Assets!L49)</f>
        <v>1.7830132313905043E-2</v>
      </c>
      <c r="I146" s="33"/>
      <c r="J146" s="33">
        <f>LN(Assets!N48/Assets!N49)</f>
        <v>3.1566465967834509E-2</v>
      </c>
      <c r="K146" s="33"/>
      <c r="L146" s="33">
        <f>LN(Assets!P48/Assets!P49)</f>
        <v>-3.305874394668485E-2</v>
      </c>
      <c r="M146" s="33"/>
      <c r="N146" s="33">
        <f>LN(Assets!R48/Assets!R49)</f>
        <v>3.4361216128730207E-2</v>
      </c>
    </row>
    <row r="147" spans="3:14" x14ac:dyDescent="0.2">
      <c r="C147" s="3">
        <v>45692</v>
      </c>
      <c r="D147" s="33">
        <f>LN(Assets!H49/Assets!H50)</f>
        <v>1.4880910944615228E-3</v>
      </c>
      <c r="E147" s="33"/>
      <c r="F147" s="33">
        <f>LN(Assets!J49/Assets!J50)</f>
        <v>7.0796932815079844E-2</v>
      </c>
      <c r="G147" s="33"/>
      <c r="H147" s="33">
        <f>LN(Assets!L49/Assets!L50)</f>
        <v>-2.3412360708976745E-3</v>
      </c>
      <c r="I147" s="33"/>
      <c r="J147" s="33">
        <f>LN(Assets!N49/Assets!N50)</f>
        <v>5.8479698824231204E-3</v>
      </c>
      <c r="K147" s="33"/>
      <c r="L147" s="33">
        <f>LN(Assets!P49/Assets!P50)</f>
        <v>5.9726991028846314E-2</v>
      </c>
      <c r="M147" s="33"/>
      <c r="N147" s="33">
        <f>LN(Assets!R49/Assets!R50)</f>
        <v>-9.4675263383994408E-3</v>
      </c>
    </row>
    <row r="148" spans="3:14" x14ac:dyDescent="0.2">
      <c r="C148" s="3">
        <v>45691</v>
      </c>
      <c r="D148" s="33">
        <f>LN(Assets!H50/Assets!H51)</f>
        <v>-1.1475883827160669E-2</v>
      </c>
      <c r="E148" s="33"/>
      <c r="F148" s="33">
        <f>LN(Assets!J50/Assets!J51)</f>
        <v>-1.867635991758148E-2</v>
      </c>
      <c r="G148" s="33"/>
      <c r="H148" s="33">
        <f>LN(Assets!L50/Assets!L51)</f>
        <v>2.1988000917131507E-2</v>
      </c>
      <c r="I148" s="33"/>
      <c r="J148" s="33">
        <f>LN(Assets!N50/Assets!N51)</f>
        <v>5.8823699030666129E-3</v>
      </c>
      <c r="K148" s="33"/>
      <c r="L148" s="33">
        <f>LN(Assets!P50/Assets!P51)</f>
        <v>-3.1087856511945972E-2</v>
      </c>
      <c r="M148" s="33"/>
      <c r="N148" s="33">
        <f>LN(Assets!R50/Assets!R51)</f>
        <v>-7.2761733994880437E-3</v>
      </c>
    </row>
    <row r="149" spans="3:14" x14ac:dyDescent="0.2">
      <c r="C149" s="3">
        <v>45688</v>
      </c>
      <c r="D149" s="33">
        <f>LN(Assets!H51/Assets!H52)</f>
        <v>-1.0718558599240412E-2</v>
      </c>
      <c r="E149" s="33"/>
      <c r="F149" s="33">
        <f>LN(Assets!J51/Assets!J52)</f>
        <v>7.9123551561195202E-2</v>
      </c>
      <c r="G149" s="33"/>
      <c r="H149" s="33">
        <f>LN(Assets!L51/Assets!L52)</f>
        <v>-1.5830526543779491E-2</v>
      </c>
      <c r="I149" s="33"/>
      <c r="J149" s="33">
        <f>LN(Assets!N51/Assets!N52)</f>
        <v>-5.4532879020250072E-2</v>
      </c>
      <c r="K149" s="33"/>
      <c r="L149" s="33">
        <f>LN(Assets!P51/Assets!P52)</f>
        <v>9.1205843968088559E-3</v>
      </c>
      <c r="M149" s="33"/>
      <c r="N149" s="33">
        <f>LN(Assets!R51/Assets!R52)</f>
        <v>-1.4395419241883905E-2</v>
      </c>
    </row>
    <row r="150" spans="3:14" x14ac:dyDescent="0.2">
      <c r="C150" s="3">
        <v>45687</v>
      </c>
      <c r="D150" s="33">
        <f>LN(Assets!H52/Assets!H53)</f>
        <v>1.3063363462901207E-2</v>
      </c>
      <c r="E150" s="33"/>
      <c r="F150" s="33">
        <f>LN(Assets!J52/Assets!J53)</f>
        <v>0.1339968336382778</v>
      </c>
      <c r="G150" s="33"/>
      <c r="H150" s="33">
        <f>LN(Assets!L52/Assets!L53)</f>
        <v>-2.3526644032752182E-4</v>
      </c>
      <c r="I150" s="33"/>
      <c r="J150" s="33">
        <f>LN(Assets!N52/Assets!N53)</f>
        <v>1.6901810802603254E-2</v>
      </c>
      <c r="K150" s="33"/>
      <c r="L150" s="33">
        <f>LN(Assets!P52/Assets!P53)</f>
        <v>4.986232611372347E-3</v>
      </c>
      <c r="M150" s="33"/>
      <c r="N150" s="33">
        <f>LN(Assets!R52/Assets!R53)</f>
        <v>2.8289437640259887E-2</v>
      </c>
    </row>
    <row r="151" spans="3:14" x14ac:dyDescent="0.2">
      <c r="C151" s="3">
        <v>45686</v>
      </c>
      <c r="D151" s="33">
        <f>LN(Assets!H53/Assets!H54)</f>
        <v>2.1162157712709957E-3</v>
      </c>
      <c r="E151" s="33"/>
      <c r="F151" s="33">
        <f>LN(Assets!J53/Assets!J54)</f>
        <v>6.3642309295847049E-2</v>
      </c>
      <c r="G151" s="33"/>
      <c r="H151" s="33">
        <f>LN(Assets!L53/Assets!L54)</f>
        <v>-4.3218555898507593E-2</v>
      </c>
      <c r="I151" s="33"/>
      <c r="J151" s="33">
        <f>LN(Assets!N53/Assets!N54)</f>
        <v>0</v>
      </c>
      <c r="K151" s="33"/>
      <c r="L151" s="33">
        <f>LN(Assets!P53/Assets!P54)</f>
        <v>2.8981709127766306E-3</v>
      </c>
      <c r="M151" s="33"/>
      <c r="N151" s="33">
        <f>LN(Assets!R53/Assets!R54)</f>
        <v>-6.146591455764897E-3</v>
      </c>
    </row>
    <row r="152" spans="3:14" x14ac:dyDescent="0.2">
      <c r="C152" s="3">
        <v>45685</v>
      </c>
      <c r="D152" s="33">
        <f>LN(Assets!H54/Assets!H55)</f>
        <v>5.1391790260848337E-3</v>
      </c>
      <c r="E152" s="33"/>
      <c r="F152" s="33">
        <f>LN(Assets!J54/Assets!J55)</f>
        <v>7.9124349633053648E-2</v>
      </c>
      <c r="G152" s="33"/>
      <c r="H152" s="33">
        <f>LN(Assets!L54/Assets!L55)</f>
        <v>1.7041025838051754E-2</v>
      </c>
      <c r="I152" s="33"/>
      <c r="J152" s="33">
        <f>LN(Assets!N54/Assets!N55)</f>
        <v>2.8449521322313448E-3</v>
      </c>
      <c r="K152" s="33"/>
      <c r="L152" s="33">
        <f>LN(Assets!P54/Assets!P55)</f>
        <v>-2.6350476380051138E-3</v>
      </c>
      <c r="M152" s="33"/>
      <c r="N152" s="33">
        <f>LN(Assets!R54/Assets!R55)</f>
        <v>2.8932083751920478E-2</v>
      </c>
    </row>
    <row r="153" spans="3:14" x14ac:dyDescent="0.2">
      <c r="C153" s="3">
        <v>45684</v>
      </c>
      <c r="D153" s="33">
        <f>LN(Assets!H55/Assets!H56)</f>
        <v>-7.0665518056082623E-3</v>
      </c>
      <c r="E153" s="33"/>
      <c r="F153" s="33">
        <f>LN(Assets!J55/Assets!J56)</f>
        <v>-0.32905761302115843</v>
      </c>
      <c r="G153" s="33"/>
      <c r="H153" s="33">
        <f>LN(Assets!L55/Assets!L56)</f>
        <v>-1.0146005868787092E-2</v>
      </c>
      <c r="I153" s="33"/>
      <c r="J153" s="33">
        <f>LN(Assets!N55/Assets!N56)</f>
        <v>-3.6367644170874951E-2</v>
      </c>
      <c r="K153" s="33"/>
      <c r="L153" s="33">
        <f>LN(Assets!P55/Assets!P56)</f>
        <v>-4.0990401391653622E-2</v>
      </c>
      <c r="M153" s="33"/>
      <c r="N153" s="33">
        <f>LN(Assets!R55/Assets!R56)</f>
        <v>-3.6324050110071574E-3</v>
      </c>
    </row>
    <row r="154" spans="3:14" x14ac:dyDescent="0.2">
      <c r="C154" s="3">
        <v>45681</v>
      </c>
      <c r="D154" s="33">
        <f>LN(Assets!H56/Assets!H57)</f>
        <v>1.3519948105360899E-3</v>
      </c>
      <c r="E154" s="33"/>
      <c r="F154" s="33">
        <f>LN(Assets!J56/Assets!J57)</f>
        <v>-1.1214645187794024E-2</v>
      </c>
      <c r="G154" s="33"/>
      <c r="H154" s="33">
        <f>LN(Assets!L56/Assets!L57)</f>
        <v>-2.5487822129697086E-3</v>
      </c>
      <c r="I154" s="33"/>
      <c r="J154" s="33">
        <f>LN(Assets!N56/Assets!N57)</f>
        <v>1.6620881236040282E-2</v>
      </c>
      <c r="K154" s="33"/>
      <c r="L154" s="33">
        <f>LN(Assets!P56/Assets!P57)</f>
        <v>1.5014914988392813E-2</v>
      </c>
      <c r="M154" s="33"/>
      <c r="N154" s="33">
        <f>LN(Assets!R56/Assets!R57)</f>
        <v>5.0890695074712281E-3</v>
      </c>
    </row>
    <row r="155" spans="3:14" x14ac:dyDescent="0.2">
      <c r="C155" s="3">
        <v>45680</v>
      </c>
      <c r="D155" s="33">
        <f>LN(Assets!H57/Assets!H58)</f>
        <v>4.8311690760061117E-3</v>
      </c>
      <c r="E155" s="33"/>
      <c r="F155" s="33">
        <f>LN(Assets!J57/Assets!J58)</f>
        <v>-3.8420296992336569E-3</v>
      </c>
      <c r="G155" s="33"/>
      <c r="H155" s="33">
        <f>LN(Assets!L57/Assets!L58)</f>
        <v>3.4565836937531578E-3</v>
      </c>
      <c r="I155" s="33"/>
      <c r="J155" s="33">
        <f>LN(Assets!N57/Assets!N58)</f>
        <v>3.6988569369340411E-2</v>
      </c>
      <c r="K155" s="33"/>
      <c r="L155" s="33">
        <f>LN(Assets!P57/Assets!P58)</f>
        <v>0</v>
      </c>
      <c r="M155" s="33"/>
      <c r="N155" s="33">
        <f>LN(Assets!R57/Assets!R58)</f>
        <v>7.5600896598368118E-3</v>
      </c>
    </row>
    <row r="156" spans="3:14" x14ac:dyDescent="0.2">
      <c r="C156" s="3">
        <v>45679</v>
      </c>
      <c r="D156" s="33">
        <f>LN(Assets!H58/Assets!H59)</f>
        <v>1.1807928653781424E-3</v>
      </c>
      <c r="E156" s="33"/>
      <c r="F156" s="33">
        <f>LN(Assets!J58/Assets!J59)</f>
        <v>4.5749621286433895E-2</v>
      </c>
      <c r="G156" s="33"/>
      <c r="H156" s="33">
        <f>LN(Assets!L58/Assets!L59)</f>
        <v>1.0040588658471608E-2</v>
      </c>
      <c r="I156" s="33"/>
      <c r="J156" s="33">
        <f>LN(Assets!N58/Assets!N59)</f>
        <v>-3.9777971456919081E-2</v>
      </c>
      <c r="K156" s="33"/>
      <c r="L156" s="33">
        <f>LN(Assets!P58/Assets!P59)</f>
        <v>6.1728591070810161E-3</v>
      </c>
      <c r="M156" s="33"/>
      <c r="N156" s="33">
        <f>LN(Assets!R58/Assets!R59)</f>
        <v>5.1540180357853736E-3</v>
      </c>
    </row>
    <row r="157" spans="3:14" x14ac:dyDescent="0.2">
      <c r="C157" s="3">
        <v>45678</v>
      </c>
      <c r="D157" s="33">
        <f>LN(Assets!H59/Assets!H60)</f>
        <v>4.3624647284473865E-3</v>
      </c>
      <c r="E157" s="33"/>
      <c r="F157" s="33">
        <f>LN(Assets!J59/Assets!J60)</f>
        <v>2.9899474195168536E-2</v>
      </c>
      <c r="G157" s="33"/>
      <c r="H157" s="33">
        <f>LN(Assets!L59/Assets!L60)</f>
        <v>1.153348809281724E-2</v>
      </c>
      <c r="I157" s="33"/>
      <c r="J157" s="33">
        <f>LN(Assets!N59/Assets!N60)</f>
        <v>-2.781642961876914E-3</v>
      </c>
      <c r="K157" s="33"/>
      <c r="L157" s="33">
        <f>LN(Assets!P59/Assets!P60)</f>
        <v>-5.7889140945901772E-2</v>
      </c>
      <c r="M157" s="33"/>
      <c r="N157" s="33">
        <f>LN(Assets!R59/Assets!R60)</f>
        <v>6.9136077848182794E-3</v>
      </c>
    </row>
    <row r="158" spans="3:14" x14ac:dyDescent="0.2">
      <c r="C158" s="3">
        <v>45677</v>
      </c>
      <c r="D158" s="33">
        <f>LN(Assets!H60/Assets!H61)</f>
        <v>4.1266392819774662E-3</v>
      </c>
      <c r="E158" s="33"/>
      <c r="F158" s="33">
        <f>LN(Assets!J60/Assets!J61)</f>
        <v>3.3509033091168689E-3</v>
      </c>
      <c r="G158" s="33"/>
      <c r="H158" s="33">
        <f>LN(Assets!L60/Assets!L61)</f>
        <v>-1.8618017524076273E-2</v>
      </c>
      <c r="I158" s="33"/>
      <c r="J158" s="33">
        <f>LN(Assets!N60/Assets!N61)</f>
        <v>3.1032109247728461E-2</v>
      </c>
      <c r="K158" s="33"/>
      <c r="L158" s="33">
        <f>LN(Assets!P60/Assets!P61)</f>
        <v>3.8977256061390977E-2</v>
      </c>
      <c r="M158" s="33"/>
      <c r="N158" s="33">
        <f>LN(Assets!R60/Assets!R61)</f>
        <v>4.7187471142172621E-3</v>
      </c>
    </row>
    <row r="159" spans="3:14" x14ac:dyDescent="0.2">
      <c r="C159" s="3">
        <v>45674</v>
      </c>
      <c r="D159" s="33">
        <f>LN(Assets!H61/Assets!H62)</f>
        <v>8.8841176931922002E-3</v>
      </c>
      <c r="E159" s="33"/>
      <c r="F159" s="33">
        <f>LN(Assets!J61/Assets!J62)</f>
        <v>2.7783861842126525E-2</v>
      </c>
      <c r="G159" s="33"/>
      <c r="H159" s="33">
        <f>LN(Assets!L61/Assets!L62)</f>
        <v>9.4380794973069476E-3</v>
      </c>
      <c r="I159" s="33"/>
      <c r="J159" s="33">
        <f>LN(Assets!N61/Assets!N62)</f>
        <v>-1.7045867272988496E-2</v>
      </c>
      <c r="K159" s="33"/>
      <c r="L159" s="33">
        <f>LN(Assets!P61/Assets!P62)</f>
        <v>3.2418583723875523E-2</v>
      </c>
      <c r="M159" s="33"/>
      <c r="N159" s="33">
        <f>LN(Assets!R61/Assets!R62)</f>
        <v>-8.6752310092918124E-3</v>
      </c>
    </row>
    <row r="160" spans="3:14" x14ac:dyDescent="0.2">
      <c r="C160" s="3">
        <v>45673</v>
      </c>
      <c r="D160" s="33">
        <f>LN(Assets!H62/Assets!H63)</f>
        <v>2.2927148885279768E-3</v>
      </c>
      <c r="E160" s="33"/>
      <c r="F160" s="33">
        <f>LN(Assets!J62/Assets!J63)</f>
        <v>3.5185444840753699E-2</v>
      </c>
      <c r="G160" s="33"/>
      <c r="H160" s="33">
        <f>LN(Assets!L62/Assets!L63)</f>
        <v>4.4351079236795597E-3</v>
      </c>
      <c r="I160" s="33"/>
      <c r="J160" s="33">
        <f>LN(Assets!N62/Assets!N63)</f>
        <v>-3.8678854565111373E-2</v>
      </c>
      <c r="K160" s="33"/>
      <c r="L160" s="33">
        <f>LN(Assets!P62/Assets!P63)</f>
        <v>-2.0192247011764673E-2</v>
      </c>
      <c r="M160" s="33"/>
      <c r="N160" s="33">
        <f>LN(Assets!R62/Assets!R63)</f>
        <v>3.2134498051611688E-3</v>
      </c>
    </row>
    <row r="161" spans="3:14" x14ac:dyDescent="0.2">
      <c r="C161" s="3">
        <v>45672</v>
      </c>
      <c r="D161" s="33">
        <f>LN(Assets!H63/Assets!H64)</f>
        <v>8.1300009469767974E-3</v>
      </c>
      <c r="E161" s="33"/>
      <c r="F161" s="33">
        <f>LN(Assets!J63/Assets!J64)</f>
        <v>3.883082426667353E-2</v>
      </c>
      <c r="G161" s="33"/>
      <c r="H161" s="33">
        <f>LN(Assets!L63/Assets!L64)</f>
        <v>1.2956634788189585E-2</v>
      </c>
      <c r="I161" s="33"/>
      <c r="J161" s="33">
        <f>LN(Assets!N63/Assets!N64)</f>
        <v>3.8678854565111338E-2</v>
      </c>
      <c r="K161" s="33"/>
      <c r="L161" s="33">
        <f>LN(Assets!P63/Assets!P64)</f>
        <v>1.3416093901226792E-2</v>
      </c>
      <c r="M161" s="33"/>
      <c r="N161" s="33">
        <f>LN(Assets!R63/Assets!R64)</f>
        <v>2.1016535361658782E-2</v>
      </c>
    </row>
    <row r="162" spans="3:14" x14ac:dyDescent="0.2">
      <c r="C162" s="3">
        <v>45671</v>
      </c>
      <c r="D162" s="33">
        <f>LN(Assets!H64/Assets!H65)</f>
        <v>2.1276387214799863E-3</v>
      </c>
      <c r="E162" s="33"/>
      <c r="F162" s="33">
        <f>LN(Assets!J64/Assets!J65)</f>
        <v>2.4001972758595148E-2</v>
      </c>
      <c r="G162" s="33"/>
      <c r="H162" s="33">
        <f>LN(Assets!L64/Assets!L65)</f>
        <v>4.3956114730381293E-3</v>
      </c>
      <c r="I162" s="33"/>
      <c r="J162" s="33">
        <f>LN(Assets!N64/Assets!N65)</f>
        <v>-2.7779564107075706E-2</v>
      </c>
      <c r="K162" s="33"/>
      <c r="L162" s="33">
        <f>LN(Assets!P64/Assets!P65)</f>
        <v>-2.1075053985227247E-2</v>
      </c>
      <c r="M162" s="33"/>
      <c r="N162" s="33">
        <f>LN(Assets!R64/Assets!R65)</f>
        <v>1.0676257991341634E-2</v>
      </c>
    </row>
    <row r="163" spans="3:14" x14ac:dyDescent="0.2">
      <c r="C163" s="3">
        <v>45670</v>
      </c>
      <c r="D163" s="33">
        <f>LN(Assets!H65/Assets!H66)</f>
        <v>-9.3871273975587657E-3</v>
      </c>
      <c r="E163" s="33"/>
      <c r="F163" s="33">
        <f>LN(Assets!J65/Assets!J66)</f>
        <v>-3.4420484070437206E-2</v>
      </c>
      <c r="G163" s="33"/>
      <c r="H163" s="33">
        <f>LN(Assets!L65/Assets!L66)</f>
        <v>-2.2881291334733065E-3</v>
      </c>
      <c r="I163" s="33"/>
      <c r="J163" s="33">
        <f>LN(Assets!N65/Assets!N66)</f>
        <v>3.9111130116625696E-2</v>
      </c>
      <c r="K163" s="33"/>
      <c r="L163" s="33">
        <f>LN(Assets!P65/Assets!P66)</f>
        <v>-1.1630978146860408E-2</v>
      </c>
      <c r="M163" s="33"/>
      <c r="N163" s="33">
        <f>LN(Assets!R65/Assets!R66)</f>
        <v>-1.3453686869328617E-2</v>
      </c>
    </row>
    <row r="164" spans="3:14" x14ac:dyDescent="0.2">
      <c r="C164" s="3">
        <v>45667</v>
      </c>
      <c r="D164" s="33">
        <f>LN(Assets!H66/Assets!H67)</f>
        <v>-1.2264331735336286E-2</v>
      </c>
      <c r="E164" s="33"/>
      <c r="F164" s="33">
        <f>LN(Assets!J66/Assets!J67)</f>
        <v>9.6755441370757096E-3</v>
      </c>
      <c r="G164" s="33"/>
      <c r="H164" s="33">
        <f>LN(Assets!L66/Assets!L67)</f>
        <v>-2.0490010974065767E-3</v>
      </c>
      <c r="I164" s="33"/>
      <c r="J164" s="33">
        <f>LN(Assets!N66/Assets!N67)</f>
        <v>-3.0857988359905338E-2</v>
      </c>
      <c r="K164" s="33"/>
      <c r="L164" s="33">
        <f>LN(Assets!P66/Assets!P67)</f>
        <v>-1.1745730438746178E-2</v>
      </c>
      <c r="M164" s="33"/>
      <c r="N164" s="33">
        <f>LN(Assets!R66/Assets!R67)</f>
        <v>-1.650450067146331E-2</v>
      </c>
    </row>
    <row r="165" spans="3:14" x14ac:dyDescent="0.2">
      <c r="C165" s="3">
        <v>45666</v>
      </c>
      <c r="D165" s="33">
        <f>LN(Assets!H67/Assets!H68)</f>
        <v>8.6503677012170091E-4</v>
      </c>
      <c r="E165" s="33"/>
      <c r="F165" s="33">
        <f>LN(Assets!J67/Assets!J68)</f>
        <v>4.6695851777387408E-3</v>
      </c>
      <c r="G165" s="33"/>
      <c r="H165" s="33">
        <f>LN(Assets!L67/Assets!L68)</f>
        <v>-1.8697054818654789E-3</v>
      </c>
      <c r="I165" s="33"/>
      <c r="J165" s="33">
        <f>LN(Assets!N67/Assets!N68)</f>
        <v>2.5176154892474403E-2</v>
      </c>
      <c r="K165" s="33"/>
      <c r="L165" s="33">
        <f>LN(Assets!P67/Assets!P68)</f>
        <v>0</v>
      </c>
      <c r="M165" s="33"/>
      <c r="N165" s="33">
        <f>LN(Assets!R67/Assets!R68)</f>
        <v>5.4712894505897546E-3</v>
      </c>
    </row>
    <row r="166" spans="3:14" x14ac:dyDescent="0.2">
      <c r="C166" s="3">
        <v>45665</v>
      </c>
      <c r="D166" s="33">
        <f>LN(Assets!H68/Assets!H69)</f>
        <v>4.8734059791832743E-3</v>
      </c>
      <c r="E166" s="33"/>
      <c r="F166" s="33">
        <f>LN(Assets!J68/Assets!J69)</f>
        <v>4.4738553978308698E-2</v>
      </c>
      <c r="G166" s="33"/>
      <c r="H166" s="33">
        <f>LN(Assets!L68/Assets!L69)</f>
        <v>5.3261663471517407E-3</v>
      </c>
      <c r="I166" s="33"/>
      <c r="J166" s="33">
        <f>LN(Assets!N68/Assets!N69)</f>
        <v>-2.793477733155407E-2</v>
      </c>
      <c r="K166" s="33"/>
      <c r="L166" s="33">
        <f>LN(Assets!P68/Assets!P69)</f>
        <v>-3.7197811025320121E-3</v>
      </c>
      <c r="M166" s="33"/>
      <c r="N166" s="33">
        <f>LN(Assets!R68/Assets!R69)</f>
        <v>-1.1159446248898296E-2</v>
      </c>
    </row>
    <row r="167" spans="3:14" x14ac:dyDescent="0.2">
      <c r="C167" s="3">
        <v>45664</v>
      </c>
      <c r="D167" s="33">
        <f>LN(Assets!H69/Assets!H70)</f>
        <v>-2.7999396617814291E-3</v>
      </c>
      <c r="E167" s="33"/>
      <c r="F167" s="33">
        <f>LN(Assets!J69/Assets!J70)</f>
        <v>-4.8121244936915157E-3</v>
      </c>
      <c r="G167" s="33"/>
      <c r="H167" s="33">
        <f>LN(Assets!L69/Assets!L70)</f>
        <v>-1.641384850768331E-2</v>
      </c>
      <c r="I167" s="33"/>
      <c r="J167" s="33">
        <f>LN(Assets!N69/Assets!N70)</f>
        <v>-1.6393809775676383E-2</v>
      </c>
      <c r="K167" s="33"/>
      <c r="L167" s="33">
        <f>LN(Assets!P69/Assets!P70)</f>
        <v>5.9583095836306249E-3</v>
      </c>
      <c r="M167" s="33"/>
      <c r="N167" s="33">
        <f>LN(Assets!R69/Assets!R70)</f>
        <v>-2.050352519921916E-2</v>
      </c>
    </row>
    <row r="168" spans="3:14" x14ac:dyDescent="0.2">
      <c r="C168" s="3">
        <v>45663</v>
      </c>
      <c r="D168" s="33">
        <f>LN(Assets!H70/Assets!H71)</f>
        <v>-2.9456819958907986E-3</v>
      </c>
      <c r="E168" s="33"/>
      <c r="F168" s="33">
        <f>LN(Assets!J70/Assets!J71)</f>
        <v>1.2074010315063159E-2</v>
      </c>
      <c r="G168" s="33"/>
      <c r="H168" s="33">
        <f>LN(Assets!L70/Assets!L71)</f>
        <v>-2.4793162871843905E-3</v>
      </c>
      <c r="I168" s="33"/>
      <c r="J168" s="33">
        <f>LN(Assets!N70/Assets!N71)</f>
        <v>-5.405418566907935E-3</v>
      </c>
      <c r="K168" s="33"/>
      <c r="L168" s="33">
        <f>LN(Assets!P70/Assets!P71)</f>
        <v>-1.8258587665282381E-2</v>
      </c>
      <c r="M168" s="33"/>
      <c r="N168" s="33">
        <f>LN(Assets!R70/Assets!R71)</f>
        <v>2.6611845873338027E-3</v>
      </c>
    </row>
    <row r="169" spans="3:14" x14ac:dyDescent="0.2">
      <c r="C169" s="3">
        <v>45660</v>
      </c>
      <c r="D169" s="33">
        <f>LN(Assets!H71/Assets!H72)</f>
        <v>7.0244229538855953E-3</v>
      </c>
      <c r="E169" s="33"/>
      <c r="F169" s="33">
        <f>LN(Assets!J71/Assets!J72)</f>
        <v>4.1581482572488303E-2</v>
      </c>
      <c r="G169" s="33"/>
      <c r="H169" s="33">
        <f>LN(Assets!L71/Assets!L72)</f>
        <v>2.6525214491311235E-3</v>
      </c>
      <c r="I169" s="33"/>
      <c r="J169" s="33">
        <f>LN(Assets!N71/Assets!N72)</f>
        <v>8.7256444997228177E-2</v>
      </c>
      <c r="K169" s="33"/>
      <c r="L169" s="33">
        <f>LN(Assets!P71/Assets!P72)</f>
        <v>-5.6077191935768027E-3</v>
      </c>
      <c r="M169" s="33"/>
      <c r="N169" s="33">
        <f>LN(Assets!R71/Assets!R72)</f>
        <v>1.4150028724757985E-2</v>
      </c>
    </row>
    <row r="170" spans="3:14" x14ac:dyDescent="0.2">
      <c r="C170" s="3">
        <v>45659</v>
      </c>
      <c r="D170" s="33">
        <f>LN(Assets!H72/Assets!H73)</f>
        <v>6.8549054472778256E-3</v>
      </c>
      <c r="E170" s="33"/>
      <c r="F170" s="33">
        <f>LN(Assets!J72/Assets!J73)</f>
        <v>1.1914269291564252E-2</v>
      </c>
      <c r="G170" s="33"/>
      <c r="H170" s="33">
        <f>LN(Assets!L72/Assets!L73)</f>
        <v>2.8874195332428742E-4</v>
      </c>
      <c r="I170" s="33"/>
      <c r="J170" s="33">
        <f>LN(Assets!N72/Assets!N73)</f>
        <v>3.8985446712953592E-2</v>
      </c>
      <c r="K170" s="33"/>
      <c r="L170" s="33">
        <f>LN(Assets!P72/Assets!P73)</f>
        <v>-2.431019824783362E-4</v>
      </c>
      <c r="M170" s="33"/>
      <c r="N170" s="33">
        <f>LN(Assets!R72/Assets!R73)</f>
        <v>4.9152126819009066E-4</v>
      </c>
    </row>
    <row r="171" spans="3:14" x14ac:dyDescent="0.2">
      <c r="C171" s="3">
        <v>45657</v>
      </c>
      <c r="D171" s="33">
        <f>LN(Assets!H73/Assets!H74)</f>
        <v>4.3506937017767323E-3</v>
      </c>
      <c r="E171" s="33"/>
      <c r="F171" s="33">
        <f>LN(Assets!J73/Assets!J74)</f>
        <v>-1.6002734380796878E-2</v>
      </c>
      <c r="G171" s="33"/>
      <c r="H171" s="33">
        <f>LN(Assets!L73/Assets!L74)</f>
        <v>-3.2867263262044591E-3</v>
      </c>
      <c r="I171" s="33"/>
      <c r="J171" s="33">
        <f>LN(Assets!N73/Assets!N74)</f>
        <v>1.2307847674596773E-2</v>
      </c>
      <c r="K171" s="33"/>
      <c r="L171" s="33">
        <f>LN(Assets!P73/Assets!P74)</f>
        <v>1.4594991644537219E-3</v>
      </c>
      <c r="M171" s="33"/>
      <c r="N171" s="33">
        <f>LN(Assets!R73/Assets!R74)</f>
        <v>-2.4551939659499763E-3</v>
      </c>
    </row>
    <row r="172" spans="3:14" x14ac:dyDescent="0.2">
      <c r="C172" s="3">
        <v>45656</v>
      </c>
      <c r="D172" s="33">
        <f>LN(Assets!H74/Assets!H75)</f>
        <v>-7.1153966178230639E-3</v>
      </c>
      <c r="E172" s="33"/>
      <c r="F172" s="33">
        <f>LN(Assets!J74/Assets!J75)</f>
        <v>-1.691838809006194E-2</v>
      </c>
      <c r="G172" s="33"/>
      <c r="H172" s="33">
        <f>LN(Assets!L74/Assets!L75)</f>
        <v>-1.2244116806159361E-2</v>
      </c>
      <c r="I172" s="33"/>
      <c r="J172" s="33">
        <f>LN(Assets!N74/Assets!N75)</f>
        <v>-1.5361285161487093E-2</v>
      </c>
      <c r="K172" s="33"/>
      <c r="L172" s="33">
        <f>LN(Assets!P74/Assets!P75)</f>
        <v>-1.945525905491331E-3</v>
      </c>
      <c r="M172" s="33"/>
      <c r="N172" s="33">
        <f>LN(Assets!R74/Assets!R75)</f>
        <v>-9.8039223538954907E-4</v>
      </c>
    </row>
    <row r="173" spans="3:14" x14ac:dyDescent="0.2">
      <c r="C173" s="3">
        <v>45653</v>
      </c>
      <c r="D173" s="33">
        <f>LN(Assets!H75/Assets!H76)</f>
        <v>-2.0312952035241518E-3</v>
      </c>
      <c r="E173" s="33"/>
      <c r="F173" s="33">
        <f>LN(Assets!J75/Assets!J76)</f>
        <v>-2.0360244142077915E-2</v>
      </c>
      <c r="G173" s="33"/>
      <c r="H173" s="33">
        <f>LN(Assets!L75/Assets!L76)</f>
        <v>-1.557329899640088E-2</v>
      </c>
      <c r="I173" s="33"/>
      <c r="J173" s="33">
        <f>LN(Assets!N75/Assets!N76)</f>
        <v>6.1162270174360536E-3</v>
      </c>
      <c r="K173" s="33"/>
      <c r="L173" s="33">
        <f>LN(Assets!P75/Assets!P76)</f>
        <v>-2.3055776299925963E-2</v>
      </c>
      <c r="M173" s="33"/>
      <c r="N173" s="33">
        <f>LN(Assets!R75/Assets!R76)</f>
        <v>1.13329618962906E-2</v>
      </c>
    </row>
    <row r="174" spans="3:14" x14ac:dyDescent="0.2">
      <c r="C174" s="3">
        <v>45650</v>
      </c>
      <c r="D174" s="33">
        <f>LN(Assets!H76/Assets!H77)</f>
        <v>3.9455005029739275E-3</v>
      </c>
      <c r="E174" s="33"/>
      <c r="F174" s="33">
        <f>LN(Assets!J76/Assets!J77)</f>
        <v>-2.6408780203343559E-3</v>
      </c>
      <c r="G174" s="33"/>
      <c r="H174" s="33">
        <f>LN(Assets!L76/Assets!L77)</f>
        <v>7.1922544120042852E-3</v>
      </c>
      <c r="I174" s="33"/>
      <c r="J174" s="33">
        <f>LN(Assets!N76/Assets!N77)</f>
        <v>2.7995607489427074E-2</v>
      </c>
      <c r="K174" s="33"/>
      <c r="L174" s="33">
        <f>LN(Assets!P76/Assets!P77)</f>
        <v>1.7483381505133642E-2</v>
      </c>
      <c r="M174" s="33"/>
      <c r="N174" s="33">
        <f>LN(Assets!R76/Assets!R77)</f>
        <v>5.2167550926376371E-3</v>
      </c>
    </row>
    <row r="175" spans="3:14" x14ac:dyDescent="0.2">
      <c r="C175" s="3">
        <v>45649</v>
      </c>
      <c r="D175" s="33">
        <f>LN(Assets!H77/Assets!H78)</f>
        <v>6.0589715407244936E-3</v>
      </c>
      <c r="E175" s="33"/>
      <c r="F175" s="33">
        <f>LN(Assets!J77/Assets!J78)</f>
        <v>2.4168835037764097E-2</v>
      </c>
      <c r="G175" s="33"/>
      <c r="H175" s="33">
        <f>LN(Assets!L77/Assets!L78)</f>
        <v>-1.127777152429264E-4</v>
      </c>
      <c r="I175" s="33"/>
      <c r="J175" s="33">
        <f>LN(Assets!N77/Assets!N78)</f>
        <v>-3.1058397019972855E-2</v>
      </c>
      <c r="K175" s="33"/>
      <c r="L175" s="33">
        <f>LN(Assets!P77/Assets!P78)</f>
        <v>4.3583604099150103E-3</v>
      </c>
      <c r="M175" s="33"/>
      <c r="N175" s="33">
        <f>LN(Assets!R77/Assets!R78)</f>
        <v>1.3288399122365777E-2</v>
      </c>
    </row>
    <row r="176" spans="3:14" x14ac:dyDescent="0.2">
      <c r="C176" s="3">
        <v>45646</v>
      </c>
      <c r="D176" s="33">
        <f>LN(Assets!H78/Assets!H79)</f>
        <v>7.571023865223285E-3</v>
      </c>
      <c r="E176" s="33"/>
      <c r="F176" s="33">
        <f>LN(Assets!J78/Assets!J79)</f>
        <v>2.140461082380728E-2</v>
      </c>
      <c r="G176" s="33"/>
      <c r="H176" s="33">
        <f>LN(Assets!L78/Assets!L79)</f>
        <v>4.8043048462792538E-3</v>
      </c>
      <c r="I176" s="33"/>
      <c r="J176" s="33">
        <f>LN(Assets!N78/Assets!N79)</f>
        <v>0</v>
      </c>
      <c r="K176" s="33"/>
      <c r="L176" s="33">
        <f>LN(Assets!P78/Assets!P79)</f>
        <v>-1.1820183454029798E-2</v>
      </c>
      <c r="M176" s="33"/>
      <c r="N176" s="33">
        <f>LN(Assets!R78/Assets!R79)</f>
        <v>4.5535115359702479E-3</v>
      </c>
    </row>
    <row r="177" spans="3:14" x14ac:dyDescent="0.2">
      <c r="C177" s="3">
        <v>45645</v>
      </c>
      <c r="D177" s="33">
        <f>LN(Assets!H79/Assets!H80)</f>
        <v>-5.8426653426127918E-3</v>
      </c>
      <c r="E177" s="33"/>
      <c r="F177" s="33">
        <f>LN(Assets!J79/Assets!J80)</f>
        <v>8.8423206320143062E-3</v>
      </c>
      <c r="G177" s="33"/>
      <c r="H177" s="33">
        <f>LN(Assets!L79/Assets!L80)</f>
        <v>1.7579181708137512E-3</v>
      </c>
      <c r="I177" s="33"/>
      <c r="J177" s="33">
        <f>LN(Assets!N79/Assets!N80)</f>
        <v>0</v>
      </c>
      <c r="K177" s="33"/>
      <c r="L177" s="33">
        <f>LN(Assets!P79/Assets!P80)</f>
        <v>-1.1919092237210311E-2</v>
      </c>
      <c r="M177" s="33"/>
      <c r="N177" s="33">
        <f>LN(Assets!R79/Assets!R80)</f>
        <v>-3.0379770200768094E-3</v>
      </c>
    </row>
    <row r="178" spans="3:14" x14ac:dyDescent="0.2">
      <c r="C178" s="3">
        <v>45644</v>
      </c>
      <c r="D178" s="33">
        <f>LN(Assets!H80/Assets!H81)</f>
        <v>-2.265585096646219E-2</v>
      </c>
      <c r="E178" s="33"/>
      <c r="F178" s="33">
        <f>LN(Assets!J80/Assets!J81)</f>
        <v>-5.2346480372209118E-2</v>
      </c>
      <c r="G178" s="33"/>
      <c r="H178" s="33">
        <f>LN(Assets!L80/Assets!L81)</f>
        <v>-2.8314335532246406E-2</v>
      </c>
      <c r="I178" s="33"/>
      <c r="J178" s="33">
        <f>LN(Assets!N80/Assets!N81)</f>
        <v>-4.4850566165351789E-2</v>
      </c>
      <c r="K178" s="33"/>
      <c r="L178" s="33">
        <f>LN(Assets!P80/Assets!P81)</f>
        <v>-2.4345771729041388E-2</v>
      </c>
      <c r="M178" s="33"/>
      <c r="N178" s="33">
        <f>LN(Assets!R80/Assets!R81)</f>
        <v>-3.4777473976740983E-2</v>
      </c>
    </row>
    <row r="179" spans="3:14" x14ac:dyDescent="0.2">
      <c r="C179" s="3">
        <v>45643</v>
      </c>
      <c r="D179" s="33">
        <f>LN(Assets!H81/Assets!H82)</f>
        <v>-1.0941590510636311E-3</v>
      </c>
      <c r="E179" s="33"/>
      <c r="F179" s="33">
        <f>LN(Assets!J81/Assets!J82)</f>
        <v>-7.6137984771065693E-3</v>
      </c>
      <c r="G179" s="33"/>
      <c r="H179" s="33">
        <f>LN(Assets!L81/Assets!L82)</f>
        <v>-3.5797917892924878E-3</v>
      </c>
      <c r="I179" s="33"/>
      <c r="J179" s="33">
        <f>LN(Assets!N81/Assets!N82)</f>
        <v>8.8106296821549059E-3</v>
      </c>
      <c r="K179" s="33"/>
      <c r="L179" s="33">
        <f>LN(Assets!P81/Assets!P82)</f>
        <v>2.5531308323143223E-2</v>
      </c>
      <c r="M179" s="33"/>
      <c r="N179" s="33">
        <f>LN(Assets!R81/Assets!R82)</f>
        <v>-2.7926706534522356E-2</v>
      </c>
    </row>
    <row r="180" spans="3:14" x14ac:dyDescent="0.2">
      <c r="C180" s="3">
        <v>45642</v>
      </c>
      <c r="D180" s="33">
        <f>LN(Assets!H82/Assets!H83)</f>
        <v>-5.0411131734391813E-3</v>
      </c>
      <c r="E180" s="33"/>
      <c r="F180" s="33">
        <f>LN(Assets!J82/Assets!J83)</f>
        <v>-1.062737001789843E-3</v>
      </c>
      <c r="G180" s="33"/>
      <c r="H180" s="33">
        <f>LN(Assets!L82/Assets!L83)</f>
        <v>0</v>
      </c>
      <c r="I180" s="33"/>
      <c r="J180" s="33">
        <f>LN(Assets!N82/Assets!N83)</f>
        <v>5.9171770280885185E-3</v>
      </c>
      <c r="K180" s="33"/>
      <c r="L180" s="33">
        <f>LN(Assets!P82/Assets!P83)</f>
        <v>-4.7263834694784158E-2</v>
      </c>
      <c r="M180" s="33"/>
      <c r="N180" s="33">
        <f>LN(Assets!R82/Assets!R83)</f>
        <v>2.8530689824064807E-3</v>
      </c>
    </row>
    <row r="181" spans="3:14" x14ac:dyDescent="0.2">
      <c r="C181" s="3">
        <v>45639</v>
      </c>
      <c r="D181" s="33">
        <f>LN(Assets!H83/Assets!H84)</f>
        <v>-5.3826695250492719E-3</v>
      </c>
      <c r="E181" s="33"/>
      <c r="F181" s="33">
        <f>LN(Assets!J83/Assets!J84)</f>
        <v>8.7256028459080801E-2</v>
      </c>
      <c r="G181" s="33"/>
      <c r="H181" s="33">
        <f>LN(Assets!L83/Assets!L84)</f>
        <v>-1.5113362933704633E-2</v>
      </c>
      <c r="I181" s="33"/>
      <c r="J181" s="33">
        <f>LN(Assets!N83/Assets!N84)</f>
        <v>0</v>
      </c>
      <c r="K181" s="33"/>
      <c r="L181" s="33">
        <f>LN(Assets!P83/Assets!P84)</f>
        <v>6.5841990615229983E-3</v>
      </c>
      <c r="M181" s="33"/>
      <c r="N181" s="33">
        <f>LN(Assets!R83/Assets!R84)</f>
        <v>-1.2775191488722805E-2</v>
      </c>
    </row>
    <row r="182" spans="3:14" x14ac:dyDescent="0.2">
      <c r="C182" s="3">
        <v>45638</v>
      </c>
      <c r="D182" s="33">
        <f>LN(Assets!H84/Assets!H85)</f>
        <v>-9.6729828021458724E-3</v>
      </c>
      <c r="E182" s="33"/>
      <c r="F182" s="33">
        <f>LN(Assets!J84/Assets!J85)</f>
        <v>1.5888184685900201E-2</v>
      </c>
      <c r="G182" s="33"/>
      <c r="H182" s="33">
        <f>LN(Assets!L84/Assets!L85)</f>
        <v>-7.0686925922699411E-3</v>
      </c>
      <c r="I182" s="33"/>
      <c r="J182" s="33">
        <f>LN(Assets!N84/Assets!N85)</f>
        <v>-1.1799546931155055E-2</v>
      </c>
      <c r="K182" s="33"/>
      <c r="L182" s="33">
        <f>LN(Assets!P84/Assets!P85)</f>
        <v>-4.5454623716747224E-3</v>
      </c>
      <c r="M182" s="33"/>
      <c r="N182" s="33">
        <f>LN(Assets!R84/Assets!R85)</f>
        <v>-1.0755305921471338E-2</v>
      </c>
    </row>
    <row r="183" spans="3:14" x14ac:dyDescent="0.2">
      <c r="C183" s="3">
        <v>45637</v>
      </c>
      <c r="D183" s="33">
        <f>LN(Assets!H85/Assets!H86)</f>
        <v>5.9954798281743674E-3</v>
      </c>
      <c r="E183" s="33"/>
      <c r="F183" s="33">
        <f>LN(Assets!J85/Assets!J86)</f>
        <v>2.0782853203617072E-2</v>
      </c>
      <c r="G183" s="33"/>
      <c r="H183" s="33">
        <f>LN(Assets!L85/Assets!L86)</f>
        <v>2.7459971488556223E-3</v>
      </c>
      <c r="I183" s="33"/>
      <c r="J183" s="33">
        <f>LN(Assets!N85/Assets!N86)</f>
        <v>-2.605067719994255E-2</v>
      </c>
      <c r="K183" s="33"/>
      <c r="L183" s="33">
        <f>LN(Assets!P85/Assets!P86)</f>
        <v>-8.579867489526518E-3</v>
      </c>
      <c r="M183" s="33"/>
      <c r="N183" s="33">
        <f>LN(Assets!R85/Assets!R86)</f>
        <v>2.5614171647732401E-3</v>
      </c>
    </row>
    <row r="184" spans="3:14" x14ac:dyDescent="0.2">
      <c r="C184" s="3">
        <v>45636</v>
      </c>
      <c r="D184" s="33">
        <f>LN(Assets!H86/Assets!H87)</f>
        <v>-4.7365858972609797E-3</v>
      </c>
      <c r="E184" s="33"/>
      <c r="F184" s="33">
        <f>LN(Assets!J86/Assets!J87)</f>
        <v>-2.78234830853516E-2</v>
      </c>
      <c r="G184" s="33"/>
      <c r="H184" s="33">
        <f>LN(Assets!L86/Assets!L87)</f>
        <v>7.5770238565649219E-3</v>
      </c>
      <c r="I184" s="33"/>
      <c r="J184" s="33">
        <f>LN(Assets!N86/Assets!N87)</f>
        <v>2.3122417420854212E-2</v>
      </c>
      <c r="K184" s="33"/>
      <c r="L184" s="33">
        <f>LN(Assets!P86/Assets!P87)</f>
        <v>7.8998266608709955E-3</v>
      </c>
      <c r="M184" s="33"/>
      <c r="N184" s="33">
        <f>LN(Assets!R86/Assets!R87)</f>
        <v>-9.0519360094370224E-3</v>
      </c>
    </row>
    <row r="185" spans="3:14" x14ac:dyDescent="0.2">
      <c r="C185" s="3">
        <v>45635</v>
      </c>
      <c r="D185" s="33">
        <f>LN(Assets!H87/Assets!H88)</f>
        <v>-2.5870472727248712E-3</v>
      </c>
      <c r="E185" s="33"/>
      <c r="F185" s="33">
        <f>LN(Assets!J87/Assets!J88)</f>
        <v>-4.5637323259662597E-2</v>
      </c>
      <c r="G185" s="33"/>
      <c r="H185" s="33">
        <f>LN(Assets!L87/Assets!L88)</f>
        <v>-7.6309394786293477E-3</v>
      </c>
      <c r="I185" s="33"/>
      <c r="J185" s="33">
        <f>LN(Assets!N87/Assets!N88)</f>
        <v>3.2692361685542307E-2</v>
      </c>
      <c r="K185" s="33"/>
      <c r="L185" s="33">
        <f>LN(Assets!P87/Assets!P88)</f>
        <v>3.0601720693704825E-2</v>
      </c>
      <c r="M185" s="33"/>
      <c r="N185" s="33">
        <f>LN(Assets!R87/Assets!R88)</f>
        <v>-2.768806568133038E-3</v>
      </c>
    </row>
    <row r="186" spans="3:14" x14ac:dyDescent="0.2">
      <c r="C186" s="3">
        <v>45632</v>
      </c>
      <c r="D186" s="33">
        <f>LN(Assets!H88/Assets!H89)</f>
        <v>4.5783838793488708E-4</v>
      </c>
      <c r="E186" s="33"/>
      <c r="F186" s="33">
        <f>LN(Assets!J88/Assets!J89)</f>
        <v>3.8104184696078382E-2</v>
      </c>
      <c r="G186" s="33"/>
      <c r="H186" s="33">
        <f>LN(Assets!L88/Assets!L89)</f>
        <v>1.1222975560318756E-2</v>
      </c>
      <c r="I186" s="33"/>
      <c r="J186" s="33">
        <f>LN(Assets!N88/Assets!N89)</f>
        <v>-9.0226175996374197E-3</v>
      </c>
      <c r="K186" s="33"/>
      <c r="L186" s="33">
        <f>LN(Assets!P88/Assets!P89)</f>
        <v>-4.662013105811413E-3</v>
      </c>
      <c r="M186" s="33"/>
      <c r="N186" s="33">
        <f>LN(Assets!R88/Assets!R89)</f>
        <v>-2.3005228197651714E-2</v>
      </c>
    </row>
    <row r="187" spans="3:14" x14ac:dyDescent="0.2">
      <c r="C187" s="3">
        <v>45631</v>
      </c>
      <c r="D187" s="33">
        <f>LN(Assets!H89/Assets!H90)</f>
        <v>1.514383618575695E-3</v>
      </c>
      <c r="E187" s="33"/>
      <c r="F187" s="33">
        <f>LN(Assets!J89/Assets!J90)</f>
        <v>2.6498885085124938E-2</v>
      </c>
      <c r="G187" s="33"/>
      <c r="H187" s="33">
        <f>LN(Assets!L89/Assets!L90)</f>
        <v>-6.2505299025569913E-3</v>
      </c>
      <c r="I187" s="33"/>
      <c r="J187" s="33">
        <f>LN(Assets!N89/Assets!N90)</f>
        <v>-2.9895388483660483E-3</v>
      </c>
      <c r="K187" s="33"/>
      <c r="L187" s="33">
        <f>LN(Assets!P89/Assets!P90)</f>
        <v>-2.3898196160916808E-2</v>
      </c>
      <c r="M187" s="33"/>
      <c r="N187" s="33">
        <f>LN(Assets!R89/Assets!R90)</f>
        <v>7.6853904501151789E-3</v>
      </c>
    </row>
    <row r="188" spans="3:14" x14ac:dyDescent="0.2">
      <c r="C188" s="3">
        <v>45630</v>
      </c>
      <c r="D188" s="33">
        <f>LN(Assets!H90/Assets!H91)</f>
        <v>2.1257131213731328E-4</v>
      </c>
      <c r="E188" s="33"/>
      <c r="F188" s="33">
        <f>LN(Assets!J90/Assets!J91)</f>
        <v>3.9731416152999604E-4</v>
      </c>
      <c r="G188" s="33"/>
      <c r="H188" s="33">
        <f>LN(Assets!L90/Assets!L91)</f>
        <v>2.5295579340458594E-2</v>
      </c>
      <c r="I188" s="33"/>
      <c r="J188" s="33">
        <f>LN(Assets!N90/Assets!N91)</f>
        <v>1.80727810596946E-2</v>
      </c>
      <c r="K188" s="33"/>
      <c r="L188" s="33">
        <f>LN(Assets!P90/Assets!P91)</f>
        <v>-3.0634033255380527E-2</v>
      </c>
      <c r="M188" s="33"/>
      <c r="N188" s="33">
        <f>LN(Assets!R90/Assets!R91)</f>
        <v>2.040185376723427E-2</v>
      </c>
    </row>
    <row r="189" spans="3:14" x14ac:dyDescent="0.2">
      <c r="C189" s="3">
        <v>45629</v>
      </c>
      <c r="D189" s="33">
        <f>LN(Assets!H91/Assets!H92)</f>
        <v>1.772535771315931E-3</v>
      </c>
      <c r="E189" s="33"/>
      <c r="F189" s="33">
        <f>LN(Assets!J91/Assets!J92)</f>
        <v>5.237311318338185E-2</v>
      </c>
      <c r="G189" s="33"/>
      <c r="H189" s="33">
        <f>LN(Assets!L91/Assets!L92)</f>
        <v>-1.4947466738493259E-2</v>
      </c>
      <c r="I189" s="33"/>
      <c r="J189" s="33">
        <f>LN(Assets!N91/Assets!N92)</f>
        <v>-2.1053409197832267E-2</v>
      </c>
      <c r="K189" s="33"/>
      <c r="L189" s="33">
        <f>LN(Assets!P91/Assets!P92)</f>
        <v>6.31741143327407E-2</v>
      </c>
      <c r="M189" s="33"/>
      <c r="N189" s="33">
        <f>LN(Assets!R91/Assets!R92)</f>
        <v>1.5638082715962554E-2</v>
      </c>
    </row>
    <row r="190" spans="3:14" x14ac:dyDescent="0.2">
      <c r="C190" s="3">
        <v>45628</v>
      </c>
      <c r="D190" s="33">
        <f>LN(Assets!H92/Assets!H93)</f>
        <v>-2.251050116279876E-3</v>
      </c>
      <c r="E190" s="33"/>
      <c r="F190" s="33">
        <f>LN(Assets!J92/Assets!J93)</f>
        <v>-8.0911314331417461E-3</v>
      </c>
      <c r="G190" s="33"/>
      <c r="H190" s="33">
        <f>LN(Assets!L92/Assets!L93)</f>
        <v>-4.4246651270953945E-3</v>
      </c>
      <c r="I190" s="33"/>
      <c r="J190" s="33">
        <f>LN(Assets!N92/Assets!N93)</f>
        <v>0</v>
      </c>
      <c r="K190" s="33"/>
      <c r="L190" s="33">
        <f>LN(Assets!P92/Assets!P93)</f>
        <v>3.054154846747831E-3</v>
      </c>
      <c r="M190" s="33"/>
      <c r="N190" s="33">
        <f>LN(Assets!R92/Assets!R93)</f>
        <v>-3.0534374868904546E-3</v>
      </c>
    </row>
    <row r="191" spans="3:14" x14ac:dyDescent="0.2">
      <c r="C191" s="3">
        <v>45625</v>
      </c>
      <c r="D191" s="33">
        <f>LN(Assets!H93/Assets!H94)</f>
        <v>4.0819317368147069E-3</v>
      </c>
      <c r="E191" s="33"/>
      <c r="F191" s="33">
        <f>LN(Assets!J93/Assets!J94)</f>
        <v>1.2539873399110469E-2</v>
      </c>
      <c r="G191" s="33"/>
      <c r="H191" s="33">
        <f>LN(Assets!L93/Assets!L94)</f>
        <v>2.4051024153461012E-2</v>
      </c>
      <c r="I191" s="33"/>
      <c r="J191" s="33">
        <f>LN(Assets!N93/Assets!N94)</f>
        <v>1.8018505502678431E-2</v>
      </c>
      <c r="K191" s="33"/>
      <c r="L191" s="33">
        <f>LN(Assets!P93/Assets!P94)</f>
        <v>1.8283781326910092E-2</v>
      </c>
      <c r="M191" s="33"/>
      <c r="N191" s="33">
        <f>LN(Assets!R93/Assets!R94)</f>
        <v>-7.9421113567752395E-3</v>
      </c>
    </row>
    <row r="192" spans="3:14" x14ac:dyDescent="0.2">
      <c r="C192" s="3">
        <v>45624</v>
      </c>
      <c r="D192" s="33">
        <f>LN(Assets!H94/Assets!H95)</f>
        <v>2.1641407871375081E-3</v>
      </c>
      <c r="E192" s="33"/>
      <c r="F192" s="33">
        <f>LN(Assets!J94/Assets!J95)</f>
        <v>1.8423919700022658E-2</v>
      </c>
      <c r="G192" s="33"/>
      <c r="H192" s="33">
        <f>LN(Assets!L94/Assets!L95)</f>
        <v>-1.7850174874081489E-3</v>
      </c>
      <c r="I192" s="33"/>
      <c r="J192" s="33">
        <f>LN(Assets!N94/Assets!N95)</f>
        <v>9.1324835632724723E-3</v>
      </c>
      <c r="K192" s="33"/>
      <c r="L192" s="33">
        <f>LN(Assets!P94/Assets!P95)</f>
        <v>-1.4039492946582816E-2</v>
      </c>
      <c r="M192" s="33"/>
      <c r="N192" s="33">
        <f>LN(Assets!R94/Assets!R95)</f>
        <v>1.8630652803930052E-3</v>
      </c>
    </row>
    <row r="193" spans="3:14" x14ac:dyDescent="0.2">
      <c r="C193" s="3">
        <v>45623</v>
      </c>
      <c r="D193" s="33">
        <f>LN(Assets!H95/Assets!H96)</f>
        <v>3.2680075864988073E-3</v>
      </c>
      <c r="E193" s="33"/>
      <c r="F193" s="33">
        <f>LN(Assets!J95/Assets!J96)</f>
        <v>-4.4250557575800022E-2</v>
      </c>
      <c r="G193" s="33"/>
      <c r="H193" s="33">
        <f>LN(Assets!L95/Assets!L96)</f>
        <v>1.2506121553594972E-2</v>
      </c>
      <c r="I193" s="33"/>
      <c r="J193" s="33">
        <f>LN(Assets!N95/Assets!N96)</f>
        <v>-3.0534374868902317E-3</v>
      </c>
      <c r="K193" s="33"/>
      <c r="L193" s="33">
        <f>LN(Assets!P95/Assets!P96)</f>
        <v>-5.6550574833450998E-3</v>
      </c>
      <c r="M193" s="33"/>
      <c r="N193" s="33">
        <f>LN(Assets!R95/Assets!R96)</f>
        <v>1.5740956988119208E-2</v>
      </c>
    </row>
    <row r="194" spans="3:14" x14ac:dyDescent="0.2">
      <c r="C194" s="3">
        <v>45622</v>
      </c>
      <c r="D194" s="33">
        <f>LN(Assets!H96/Assets!H97)</f>
        <v>-2.0505558514760696E-4</v>
      </c>
      <c r="E194" s="33"/>
      <c r="F194" s="33">
        <f>LN(Assets!J96/Assets!J97)</f>
        <v>1.8784945605031945E-2</v>
      </c>
      <c r="G194" s="33"/>
      <c r="H194" s="33">
        <f>LN(Assets!L96/Assets!L97)</f>
        <v>3.1763261880906647E-2</v>
      </c>
      <c r="I194" s="33"/>
      <c r="J194" s="33">
        <f>LN(Assets!N96/Assets!N97)</f>
        <v>-2.7069321968218027E-2</v>
      </c>
      <c r="K194" s="33"/>
      <c r="L194" s="33">
        <f>LN(Assets!P96/Assets!P97)</f>
        <v>-1.5619853646151347E-2</v>
      </c>
      <c r="M194" s="33"/>
      <c r="N194" s="33">
        <f>LN(Assets!R96/Assets!R97)</f>
        <v>-2.3651855869801629E-3</v>
      </c>
    </row>
    <row r="195" spans="3:14" x14ac:dyDescent="0.2">
      <c r="C195" s="3">
        <v>45621</v>
      </c>
      <c r="D195" s="33">
        <f>LN(Assets!H97/Assets!H98)</f>
        <v>-1.3343919731458554E-3</v>
      </c>
      <c r="E195" s="33"/>
      <c r="F195" s="33">
        <f>LN(Assets!J97/Assets!J98)</f>
        <v>-3.9554798181027494E-2</v>
      </c>
      <c r="G195" s="33"/>
      <c r="H195" s="33">
        <f>LN(Assets!L97/Assets!L98)</f>
        <v>6.2527595976456206E-3</v>
      </c>
      <c r="I195" s="33"/>
      <c r="J195" s="33">
        <f>LN(Assets!N97/Assets!N98)</f>
        <v>-1.4727806710243398E-2</v>
      </c>
      <c r="K195" s="33"/>
      <c r="L195" s="33">
        <f>LN(Assets!P97/Assets!P98)</f>
        <v>1.7265944552820045E-2</v>
      </c>
      <c r="M195" s="33"/>
      <c r="N195" s="33">
        <f>LN(Assets!R97/Assets!R98)</f>
        <v>2.7786218751018856E-2</v>
      </c>
    </row>
    <row r="196" spans="3:14" x14ac:dyDescent="0.2">
      <c r="C196" s="3">
        <v>45618</v>
      </c>
      <c r="D196" s="33">
        <f>LN(Assets!H98/Assets!H99)</f>
        <v>2.1087857593736128E-3</v>
      </c>
      <c r="E196" s="33"/>
      <c r="F196" s="33">
        <f>LN(Assets!J98/Assets!J99)</f>
        <v>-2.6230752292889674E-2</v>
      </c>
      <c r="G196" s="33"/>
      <c r="H196" s="33">
        <f>LN(Assets!L98/Assets!L99)</f>
        <v>1.1259587814069039E-2</v>
      </c>
      <c r="I196" s="33"/>
      <c r="J196" s="33">
        <f>LN(Assets!N98/Assets!N99)</f>
        <v>1.7699577099400857E-2</v>
      </c>
      <c r="K196" s="33"/>
      <c r="L196" s="33">
        <f>LN(Assets!P98/Assets!P99)</f>
        <v>3.3260632624531355E-2</v>
      </c>
      <c r="M196" s="33"/>
      <c r="N196" s="33">
        <f>LN(Assets!R98/Assets!R99)</f>
        <v>9.5180706355041961E-3</v>
      </c>
    </row>
    <row r="197" spans="3:14" x14ac:dyDescent="0.2">
      <c r="C197" s="3">
        <v>45617</v>
      </c>
      <c r="D197" s="33">
        <f>LN(Assets!H99/Assets!H100)</f>
        <v>1.4049015119903108E-2</v>
      </c>
      <c r="E197" s="33"/>
      <c r="F197" s="33">
        <f>LN(Assets!J99/Assets!J100)</f>
        <v>5.0202972428868613E-2</v>
      </c>
      <c r="G197" s="33"/>
      <c r="H197" s="33">
        <f>LN(Assets!L99/Assets!L100)</f>
        <v>6.5233508614269441E-4</v>
      </c>
      <c r="I197" s="33"/>
      <c r="J197" s="33">
        <f>LN(Assets!N99/Assets!N100)</f>
        <v>1.8018505502678431E-2</v>
      </c>
      <c r="K197" s="33"/>
      <c r="L197" s="33">
        <f>LN(Assets!P99/Assets!P100)</f>
        <v>-2.1661496781179304E-2</v>
      </c>
      <c r="M197" s="33"/>
      <c r="N197" s="33">
        <f>LN(Assets!R99/Assets!R100)</f>
        <v>9.8571522616176452E-3</v>
      </c>
    </row>
    <row r="198" spans="3:14" x14ac:dyDescent="0.2">
      <c r="C198" s="3">
        <v>45616</v>
      </c>
      <c r="D198" s="33">
        <f>LN(Assets!H100/Assets!H101)</f>
        <v>1.0266303352402324E-3</v>
      </c>
      <c r="E198" s="33"/>
      <c r="F198" s="33">
        <f>LN(Assets!J100/Assets!J101)</f>
        <v>3.3776857914837501E-3</v>
      </c>
      <c r="G198" s="33"/>
      <c r="H198" s="33">
        <f>LN(Assets!L100/Assets!L101)</f>
        <v>3.3871143889576578E-3</v>
      </c>
      <c r="I198" s="33"/>
      <c r="J198" s="33">
        <f>LN(Assets!N100/Assets!N101)</f>
        <v>-1.8018505502678365E-2</v>
      </c>
      <c r="K198" s="33"/>
      <c r="L198" s="33">
        <f>LN(Assets!P100/Assets!P101)</f>
        <v>0</v>
      </c>
      <c r="M198" s="33"/>
      <c r="N198" s="33">
        <f>LN(Assets!R100/Assets!R101)</f>
        <v>1.245966779105382E-2</v>
      </c>
    </row>
    <row r="199" spans="3:14" x14ac:dyDescent="0.2">
      <c r="C199" s="3">
        <v>45615</v>
      </c>
      <c r="D199" s="33">
        <f>LN(Assets!H101/Assets!H102)</f>
        <v>1.3535329049825216E-3</v>
      </c>
      <c r="E199" s="33"/>
      <c r="F199" s="33">
        <f>LN(Assets!J101/Assets!J102)</f>
        <v>2.9222994627272153E-2</v>
      </c>
      <c r="G199" s="33"/>
      <c r="H199" s="33">
        <f>LN(Assets!L101/Assets!L102)</f>
        <v>1.0471299867295437E-2</v>
      </c>
      <c r="I199" s="33"/>
      <c r="J199" s="33">
        <f>LN(Assets!N101/Assets!N102)</f>
        <v>-6.3421826437496179E-2</v>
      </c>
      <c r="K199" s="33"/>
      <c r="L199" s="33">
        <f>LN(Assets!P101/Assets!P102)</f>
        <v>8.3682496705165792E-3</v>
      </c>
      <c r="M199" s="33"/>
      <c r="N199" s="33">
        <f>LN(Assets!R101/Assets!R102)</f>
        <v>7.298383975598329E-3</v>
      </c>
    </row>
    <row r="200" spans="3:14" x14ac:dyDescent="0.2">
      <c r="C200" s="3">
        <v>45614</v>
      </c>
      <c r="D200" s="33">
        <f>LN(Assets!H102/Assets!H103)</f>
        <v>3.4595629803105014E-3</v>
      </c>
      <c r="E200" s="33"/>
      <c r="F200" s="33">
        <f>LN(Assets!J102/Assets!J103)</f>
        <v>1.6621355923227485E-2</v>
      </c>
      <c r="G200" s="33"/>
      <c r="H200" s="33">
        <f>LN(Assets!L102/Assets!L103)</f>
        <v>6.6385276991648102E-3</v>
      </c>
      <c r="I200" s="33"/>
      <c r="J200" s="33">
        <f>LN(Assets!N102/Assets!N103)</f>
        <v>8.4151969252844981E-3</v>
      </c>
      <c r="K200" s="33"/>
      <c r="L200" s="33">
        <f>LN(Assets!P102/Assets!P103)</f>
        <v>-1.0746372075484073E-2</v>
      </c>
      <c r="M200" s="33"/>
      <c r="N200" s="33">
        <f>LN(Assets!R102/Assets!R103)</f>
        <v>-2.5437780580167092E-2</v>
      </c>
    </row>
    <row r="201" spans="3:14" x14ac:dyDescent="0.2">
      <c r="C201" s="3">
        <v>45611</v>
      </c>
      <c r="D201" s="33">
        <f>LN(Assets!H103/Assets!H104)</f>
        <v>-6.3672175761760076E-3</v>
      </c>
      <c r="E201" s="33"/>
      <c r="F201" s="33">
        <f>LN(Assets!J103/Assets!J104)</f>
        <v>2.1217018004027678E-2</v>
      </c>
      <c r="G201" s="33"/>
      <c r="H201" s="33">
        <f>LN(Assets!L103/Assets!L104)</f>
        <v>-7.3600718348528068E-3</v>
      </c>
      <c r="I201" s="33"/>
      <c r="J201" s="33">
        <f>LN(Assets!N103/Assets!N104)</f>
        <v>-1.3986241974739952E-2</v>
      </c>
      <c r="K201" s="33"/>
      <c r="L201" s="33">
        <f>LN(Assets!P103/Assets!P104)</f>
        <v>-1.6490361899415235E-2</v>
      </c>
      <c r="M201" s="33"/>
      <c r="N201" s="33">
        <f>LN(Assets!R103/Assets!R104)</f>
        <v>-1.4763782209268324E-3</v>
      </c>
    </row>
    <row r="202" spans="3:14" x14ac:dyDescent="0.2">
      <c r="C202" s="3">
        <v>45610</v>
      </c>
      <c r="D202" s="33">
        <f>LN(Assets!H104/Assets!H105)</f>
        <v>2.4241253997744783E-3</v>
      </c>
      <c r="E202" s="33"/>
      <c r="F202" s="33">
        <f>LN(Assets!J104/Assets!J105)</f>
        <v>-1.4542525232829161E-2</v>
      </c>
      <c r="G202" s="33"/>
      <c r="H202" s="33">
        <f>LN(Assets!L104/Assets!L105)</f>
        <v>-3.9077370826127521E-2</v>
      </c>
      <c r="I202" s="33"/>
      <c r="J202" s="33">
        <f>LN(Assets!N104/Assets!N105)</f>
        <v>-8.2988028146950658E-3</v>
      </c>
      <c r="K202" s="33"/>
      <c r="L202" s="33">
        <f>LN(Assets!P104/Assets!P105)</f>
        <v>2.2924317133644099E-2</v>
      </c>
      <c r="M202" s="33"/>
      <c r="N202" s="33">
        <f>LN(Assets!R104/Assets!R105)</f>
        <v>-4.9176474732806168E-2</v>
      </c>
    </row>
    <row r="203" spans="3:14" x14ac:dyDescent="0.2">
      <c r="C203" s="3">
        <v>45609</v>
      </c>
      <c r="D203" s="33">
        <f>LN(Assets!H105/Assets!H106)</f>
        <v>2.6450552496291623E-3</v>
      </c>
      <c r="E203" s="33"/>
      <c r="F203" s="33">
        <f>LN(Assets!J105/Assets!J106)</f>
        <v>-1.9294310853138257E-2</v>
      </c>
      <c r="G203" s="33"/>
      <c r="H203" s="33">
        <f>LN(Assets!L105/Assets!L106)</f>
        <v>1.1686519237277251E-2</v>
      </c>
      <c r="I203" s="33"/>
      <c r="J203" s="33">
        <f>LN(Assets!N105/Assets!N106)</f>
        <v>-2.9852963149681274E-2</v>
      </c>
      <c r="K203" s="33"/>
      <c r="L203" s="33">
        <f>LN(Assets!P105/Assets!P106)</f>
        <v>3.1126566493512291E-3</v>
      </c>
      <c r="M203" s="33"/>
      <c r="N203" s="33">
        <f>LN(Assets!R105/Assets!R106)</f>
        <v>1.8188761738724094E-2</v>
      </c>
    </row>
    <row r="204" spans="3:14" x14ac:dyDescent="0.2">
      <c r="C204" s="3">
        <v>45608</v>
      </c>
      <c r="D204" s="33">
        <f>LN(Assets!H106/Assets!H107)</f>
        <v>5.3801714860300161E-3</v>
      </c>
      <c r="E204" s="33"/>
      <c r="F204" s="33">
        <f>LN(Assets!J106/Assets!J107)</f>
        <v>-5.7842964950421258E-3</v>
      </c>
      <c r="G204" s="33"/>
      <c r="H204" s="33">
        <f>LN(Assets!L106/Assets!L107)</f>
        <v>0</v>
      </c>
      <c r="I204" s="33"/>
      <c r="J204" s="33">
        <f>LN(Assets!N106/Assets!N107)</f>
        <v>5.7787740481235216E-2</v>
      </c>
      <c r="K204" s="33"/>
      <c r="L204" s="33">
        <f>LN(Assets!P106/Assets!P107)</f>
        <v>4.4124804908938095E-2</v>
      </c>
      <c r="M204" s="33"/>
      <c r="N204" s="33">
        <f>LN(Assets!R106/Assets!R107)</f>
        <v>1.3197552081946543E-2</v>
      </c>
    </row>
    <row r="205" spans="3:14" x14ac:dyDescent="0.2">
      <c r="C205" s="3">
        <v>45607</v>
      </c>
      <c r="D205" s="33">
        <f>LN(Assets!H107/Assets!H108)</f>
        <v>1.206086766471357E-3</v>
      </c>
      <c r="E205" s="33"/>
      <c r="F205" s="33">
        <f>LN(Assets!J107/Assets!J108)</f>
        <v>-1.3814235852782897E-2</v>
      </c>
      <c r="G205" s="33"/>
      <c r="H205" s="33">
        <f>LN(Assets!L107/Assets!L108)</f>
        <v>1.0050926590567066E-2</v>
      </c>
      <c r="I205" s="33"/>
      <c r="J205" s="33">
        <f>LN(Assets!N107/Assets!N108)</f>
        <v>7.0410306167924888E-2</v>
      </c>
      <c r="K205" s="33"/>
      <c r="L205" s="33">
        <f>LN(Assets!P107/Assets!P108)</f>
        <v>1.6424879667400329E-2</v>
      </c>
      <c r="M205" s="33"/>
      <c r="N205" s="33">
        <f>LN(Assets!R107/Assets!R108)</f>
        <v>1.7298518817670146E-2</v>
      </c>
    </row>
    <row r="206" spans="3:14" x14ac:dyDescent="0.2">
      <c r="C206" s="3">
        <v>45604</v>
      </c>
      <c r="D206" s="33">
        <f>LN(Assets!H108/Assets!H109)</f>
        <v>-3.4887415431093536E-3</v>
      </c>
      <c r="E206" s="33"/>
      <c r="F206" s="33">
        <f>LN(Assets!J108/Assets!J109)</f>
        <v>1.0342745130536814E-2</v>
      </c>
      <c r="G206" s="33"/>
      <c r="H206" s="33">
        <f>LN(Assets!L108/Assets!L109)</f>
        <v>7.7687566410230358E-3</v>
      </c>
      <c r="I206" s="33"/>
      <c r="J206" s="33">
        <f>LN(Assets!N108/Assets!N109)</f>
        <v>3.7155976888091267E-2</v>
      </c>
      <c r="K206" s="33"/>
      <c r="L206" s="33">
        <f>LN(Assets!P108/Assets!P109)</f>
        <v>1.9293202934678851E-2</v>
      </c>
      <c r="M206" s="33"/>
      <c r="N206" s="33">
        <f>LN(Assets!R108/Assets!R109)</f>
        <v>-8.3211444404961681E-3</v>
      </c>
    </row>
    <row r="207" spans="3:14" x14ac:dyDescent="0.2">
      <c r="C207" s="3">
        <v>45603</v>
      </c>
      <c r="D207" s="33">
        <f>LN(Assets!H109/Assets!H110)</f>
        <v>8.4263133825177895E-3</v>
      </c>
      <c r="E207" s="33"/>
      <c r="F207" s="33">
        <f>LN(Assets!J109/Assets!J110)</f>
        <v>4.6540140529992405E-2</v>
      </c>
      <c r="G207" s="33"/>
      <c r="H207" s="33">
        <f>LN(Assets!L109/Assets!L110)</f>
        <v>-1.9339085113423093E-2</v>
      </c>
      <c r="I207" s="33"/>
      <c r="J207" s="33">
        <f>LN(Assets!N109/Assets!N110)</f>
        <v>3.1595602903685179E-3</v>
      </c>
      <c r="K207" s="33"/>
      <c r="L207" s="33">
        <f>LN(Assets!P109/Assets!P110)</f>
        <v>-1.0384216924817153E-3</v>
      </c>
      <c r="M207" s="33"/>
      <c r="N207" s="33">
        <f>LN(Assets!R109/Assets!R110)</f>
        <v>8.3211444404962739E-3</v>
      </c>
    </row>
    <row r="208" spans="3:14" x14ac:dyDescent="0.2">
      <c r="C208" s="3">
        <v>45602</v>
      </c>
      <c r="D208" s="33">
        <f>LN(Assets!H110/Assets!H111)</f>
        <v>1.018053539016393E-2</v>
      </c>
      <c r="E208" s="33"/>
      <c r="F208" s="33">
        <f>LN(Assets!J110/Assets!J111)</f>
        <v>7.5764555404315384E-2</v>
      </c>
      <c r="G208" s="33"/>
      <c r="H208" s="33">
        <f>LN(Assets!L110/Assets!L111)</f>
        <v>3.1558464467638193E-2</v>
      </c>
      <c r="I208" s="33"/>
      <c r="J208" s="33">
        <f>LN(Assets!N110/Assets!N111)</f>
        <v>5.1959738930711166E-2</v>
      </c>
      <c r="K208" s="33"/>
      <c r="L208" s="33">
        <f>LN(Assets!P110/Assets!P111)</f>
        <v>-1.4425804005099758E-2</v>
      </c>
      <c r="M208" s="33"/>
      <c r="N208" s="33">
        <f>LN(Assets!R110/Assets!R111)</f>
        <v>1.7853189290366313E-2</v>
      </c>
    </row>
    <row r="209" spans="3:14" x14ac:dyDescent="0.2">
      <c r="C209" s="3">
        <v>45601</v>
      </c>
      <c r="D209" s="33">
        <f>LN(Assets!H111/Assets!H112)</f>
        <v>5.4206245882508913E-3</v>
      </c>
      <c r="E209" s="33"/>
      <c r="F209" s="33">
        <f>LN(Assets!J111/Assets!J112)</f>
        <v>4.0050171587444887E-2</v>
      </c>
      <c r="G209" s="33"/>
      <c r="H209" s="33">
        <f>LN(Assets!L111/Assets!L112)</f>
        <v>1.8368111596618424E-2</v>
      </c>
      <c r="I209" s="33"/>
      <c r="J209" s="33">
        <f>LN(Assets!N111/Assets!N112)</f>
        <v>-2.306527293099599E-2</v>
      </c>
      <c r="K209" s="33"/>
      <c r="L209" s="33">
        <f>LN(Assets!P111/Assets!P112)</f>
        <v>2.8536307264934297E-2</v>
      </c>
      <c r="M209" s="33"/>
      <c r="N209" s="33">
        <f>LN(Assets!R111/Assets!R112)</f>
        <v>4.7648992974059961E-3</v>
      </c>
    </row>
    <row r="210" spans="3:14" x14ac:dyDescent="0.2">
      <c r="C210" s="3">
        <v>45600</v>
      </c>
      <c r="D210" s="33">
        <f>LN(Assets!H112/Assets!H113)</f>
        <v>3.7104818229888245E-5</v>
      </c>
      <c r="E210" s="33"/>
      <c r="F210" s="33">
        <f>LN(Assets!J112/Assets!J113)</f>
        <v>2.5883916462730111E-2</v>
      </c>
      <c r="G210" s="33"/>
      <c r="H210" s="33">
        <f>LN(Assets!L112/Assets!L113)</f>
        <v>-1.8789887278465287E-2</v>
      </c>
      <c r="I210" s="33"/>
      <c r="J210" s="33">
        <f>LN(Assets!N112/Assets!N113)</f>
        <v>2.6404174196510709E-2</v>
      </c>
      <c r="K210" s="33"/>
      <c r="L210" s="33">
        <f>LN(Assets!P112/Assets!P113)</f>
        <v>0.10623809359918529</v>
      </c>
      <c r="M210" s="33"/>
      <c r="N210" s="33">
        <f>LN(Assets!R112/Assets!R113)</f>
        <v>-1.5465511541278147E-2</v>
      </c>
    </row>
    <row r="211" spans="3:14" x14ac:dyDescent="0.2">
      <c r="C211" s="3">
        <v>45597</v>
      </c>
      <c r="D211" s="33">
        <f>LN(Assets!H113/Assets!H114)</f>
        <v>4.0605665596781578E-3</v>
      </c>
      <c r="E211" s="33"/>
      <c r="F211" s="33">
        <f>LN(Assets!J113/Assets!J114)</f>
        <v>2.8249589234043963E-2</v>
      </c>
      <c r="G211" s="33"/>
      <c r="H211" s="33">
        <f>LN(Assets!L113/Assets!L114)</f>
        <v>7.0887953456467839E-2</v>
      </c>
      <c r="I211" s="33"/>
      <c r="J211" s="33">
        <f>LN(Assets!N113/Assets!N114)</f>
        <v>-3.3389012655145986E-3</v>
      </c>
      <c r="K211" s="33"/>
      <c r="L211" s="33">
        <f>LN(Assets!P113/Assets!P114)</f>
        <v>5.2572549819670425E-2</v>
      </c>
      <c r="M211" s="33"/>
      <c r="N211" s="33">
        <f>LN(Assets!R113/Assets!R114)</f>
        <v>-3.3109158607278831E-2</v>
      </c>
    </row>
    <row r="212" spans="3:14" x14ac:dyDescent="0.2">
      <c r="C212" s="3">
        <v>45596</v>
      </c>
      <c r="D212" s="33">
        <f>LN(Assets!H114/Assets!H115)</f>
        <v>-1.4422214502276544E-2</v>
      </c>
      <c r="E212" s="33"/>
      <c r="F212" s="33">
        <f>LN(Assets!J114/Assets!J115)</f>
        <v>-1.7684846630161635E-2</v>
      </c>
      <c r="G212" s="33"/>
      <c r="H212" s="33">
        <f>LN(Assets!L114/Assets!L115)</f>
        <v>-1.7372788610340525E-2</v>
      </c>
      <c r="I212" s="33"/>
      <c r="J212" s="33">
        <f>LN(Assets!N114/Assets!N115)</f>
        <v>-9.9503308531679793E-3</v>
      </c>
      <c r="K212" s="33"/>
      <c r="L212" s="33">
        <f>LN(Assets!P114/Assets!P115)</f>
        <v>0</v>
      </c>
      <c r="M212" s="33"/>
      <c r="N212" s="33">
        <f>LN(Assets!R114/Assets!R115)</f>
        <v>-0.11799586954034111</v>
      </c>
    </row>
    <row r="213" spans="3:14" x14ac:dyDescent="0.2">
      <c r="C213" s="3">
        <v>45595</v>
      </c>
      <c r="D213" s="33">
        <f>LN(Assets!H115/Assets!H116)</f>
        <v>-2.2318990547716918E-3</v>
      </c>
      <c r="E213" s="33"/>
      <c r="F213" s="33">
        <f>LN(Assets!J115/Assets!J116)</f>
        <v>-3.9106770020654914E-3</v>
      </c>
      <c r="G213" s="33"/>
      <c r="H213" s="33">
        <f>LN(Assets!L115/Assets!L116)</f>
        <v>2.2268181621077597E-3</v>
      </c>
      <c r="I213" s="33"/>
      <c r="J213" s="33">
        <f>LN(Assets!N115/Assets!N116)</f>
        <v>-1.3114942077828018E-2</v>
      </c>
      <c r="K213" s="33"/>
      <c r="L213" s="33">
        <f>LN(Assets!P115/Assets!P116)</f>
        <v>0</v>
      </c>
      <c r="M213" s="33"/>
      <c r="N213" s="33">
        <f>LN(Assets!R115/Assets!R116)</f>
        <v>-2.3381879076477151E-3</v>
      </c>
    </row>
    <row r="214" spans="3:14" x14ac:dyDescent="0.2">
      <c r="C214" s="3">
        <v>45594</v>
      </c>
      <c r="D214" s="33">
        <f>LN(Assets!H116/Assets!H117)</f>
        <v>-1.2660750327176399E-4</v>
      </c>
      <c r="E214" s="33"/>
      <c r="F214" s="33">
        <f>LN(Assets!J116/Assets!J117)</f>
        <v>-3.281381123177534E-3</v>
      </c>
      <c r="G214" s="33"/>
      <c r="H214" s="33">
        <f>LN(Assets!L116/Assets!L117)</f>
        <v>5.8771090334521041E-3</v>
      </c>
      <c r="I214" s="33"/>
      <c r="J214" s="33">
        <f>LN(Assets!N116/Assets!N117)</f>
        <v>-2.572489123843593E-2</v>
      </c>
      <c r="K214" s="33"/>
      <c r="L214" s="33">
        <f>LN(Assets!P116/Assets!P117)</f>
        <v>4.9474436104674606E-3</v>
      </c>
      <c r="M214" s="33"/>
      <c r="N214" s="33">
        <f>LN(Assets!R116/Assets!R117)</f>
        <v>4.6818557536148202E-3</v>
      </c>
    </row>
    <row r="215" spans="3:14" x14ac:dyDescent="0.2">
      <c r="C215" s="3">
        <v>45593</v>
      </c>
      <c r="D215" s="33">
        <f>LN(Assets!H117/Assets!H118)</f>
        <v>4.160372866996268E-3</v>
      </c>
      <c r="E215" s="33"/>
      <c r="F215" s="33">
        <f>LN(Assets!J117/Assets!J118)</f>
        <v>1.2879473280156151E-2</v>
      </c>
      <c r="G215" s="33"/>
      <c r="H215" s="33">
        <f>LN(Assets!L117/Assets!L118)</f>
        <v>-6.1955296697998015E-3</v>
      </c>
      <c r="I215" s="33"/>
      <c r="J215" s="33">
        <f>LN(Assets!N117/Assets!N118)</f>
        <v>-1.2618463959211575E-2</v>
      </c>
      <c r="K215" s="33"/>
      <c r="L215" s="33">
        <f>LN(Assets!P117/Assets!P118)</f>
        <v>-2.54030492364581E-2</v>
      </c>
      <c r="M215" s="33"/>
      <c r="N215" s="33">
        <f>LN(Assets!R117/Assets!R118)</f>
        <v>1.3962207268623187E-2</v>
      </c>
    </row>
    <row r="216" spans="3:14" x14ac:dyDescent="0.2">
      <c r="C216" s="3">
        <v>45590</v>
      </c>
      <c r="D216" s="33">
        <f>LN(Assets!H118/Assets!H119)</f>
        <v>-3.5858288166261106E-3</v>
      </c>
      <c r="E216" s="33"/>
      <c r="F216" s="33">
        <f>LN(Assets!J118/Assets!J119)</f>
        <v>2.562896289008312E-2</v>
      </c>
      <c r="G216" s="33"/>
      <c r="H216" s="33">
        <f>LN(Assets!L118/Assets!L119)</f>
        <v>-1.4099433771285218E-2</v>
      </c>
      <c r="I216" s="33"/>
      <c r="J216" s="33">
        <f>LN(Assets!N118/Assets!N119)</f>
        <v>-5.7854792698174159E-2</v>
      </c>
      <c r="K216" s="33"/>
      <c r="L216" s="33">
        <f>LN(Assets!P118/Assets!P119)</f>
        <v>2.1072699135237166E-2</v>
      </c>
      <c r="M216" s="33"/>
      <c r="N216" s="33">
        <f>LN(Assets!R118/Assets!R119)</f>
        <v>1.5153158002899948E-3</v>
      </c>
    </row>
    <row r="217" spans="3:14" x14ac:dyDescent="0.2">
      <c r="C217" s="3">
        <v>45589</v>
      </c>
      <c r="D217" s="33">
        <f>LN(Assets!H119/Assets!H120)</f>
        <v>-8.985211240931354E-4</v>
      </c>
      <c r="E217" s="33"/>
      <c r="F217" s="33">
        <f>LN(Assets!J119/Assets!J120)</f>
        <v>0.16780880168012202</v>
      </c>
      <c r="G217" s="33"/>
      <c r="H217" s="33">
        <f>LN(Assets!L119/Assets!L120)</f>
        <v>2.0359035201478574E-2</v>
      </c>
      <c r="I217" s="33"/>
      <c r="J217" s="33">
        <f>LN(Assets!N119/Assets!N120)</f>
        <v>-0.27052387456211691</v>
      </c>
      <c r="K217" s="33"/>
      <c r="L217" s="33">
        <f>LN(Assets!P119/Assets!P120)</f>
        <v>0</v>
      </c>
      <c r="M217" s="33"/>
      <c r="N217" s="33">
        <f>LN(Assets!R119/Assets!R120)</f>
        <v>1.5720847786948246E-2</v>
      </c>
    </row>
    <row r="218" spans="3:14" x14ac:dyDescent="0.2">
      <c r="C218" s="3">
        <v>45588</v>
      </c>
      <c r="D218" s="33">
        <f>LN(Assets!H120/Assets!H121)</f>
        <v>-5.8056187047766366E-3</v>
      </c>
      <c r="E218" s="33"/>
      <c r="F218" s="33">
        <f>LN(Assets!J120/Assets!J121)</f>
        <v>2.587614898376641E-2</v>
      </c>
      <c r="G218" s="33"/>
      <c r="H218" s="33">
        <f>LN(Assets!L120/Assets!L121)</f>
        <v>-6.2596014301934209E-3</v>
      </c>
      <c r="I218" s="33"/>
      <c r="J218" s="33">
        <f>LN(Assets!N120/Assets!N121)</f>
        <v>-3.7656719438005054E-2</v>
      </c>
      <c r="K218" s="33"/>
      <c r="L218" s="33">
        <f>LN(Assets!P120/Assets!P121)</f>
        <v>-1.8349138668196541E-2</v>
      </c>
      <c r="M218" s="33"/>
      <c r="N218" s="33">
        <f>LN(Assets!R120/Assets!R121)</f>
        <v>-2.0259923990473577E-2</v>
      </c>
    </row>
    <row r="219" spans="3:14" x14ac:dyDescent="0.2">
      <c r="C219" s="3">
        <v>45587</v>
      </c>
      <c r="D219" s="33">
        <f>LN(Assets!H121/Assets!H122)</f>
        <v>-2.6820372235798339E-4</v>
      </c>
      <c r="E219" s="33"/>
      <c r="F219" s="33">
        <f>LN(Assets!J121/Assets!J122)</f>
        <v>-1.1937758096451791E-2</v>
      </c>
      <c r="G219" s="33"/>
      <c r="H219" s="33">
        <f>LN(Assets!L121/Assets!L122)</f>
        <v>1.165633794630362E-2</v>
      </c>
      <c r="I219" s="33"/>
      <c r="J219" s="33">
        <f>LN(Assets!N121/Assets!N122)</f>
        <v>-6.500564603093428E-3</v>
      </c>
      <c r="K219" s="33"/>
      <c r="L219" s="33">
        <f>LN(Assets!P121/Assets!P122)</f>
        <v>-1.2113871862970932E-3</v>
      </c>
      <c r="M219" s="33"/>
      <c r="N219" s="33">
        <f>LN(Assets!R121/Assets!R122)</f>
        <v>1.2947779107087718E-3</v>
      </c>
    </row>
    <row r="220" spans="3:14" x14ac:dyDescent="0.2">
      <c r="C220" s="3">
        <v>45586</v>
      </c>
      <c r="D220" s="33">
        <f>LN(Assets!H122/Assets!H123)</f>
        <v>-4.0047791105996041E-3</v>
      </c>
      <c r="E220" s="33"/>
      <c r="F220" s="33">
        <f>LN(Assets!J122/Assets!J123)</f>
        <v>-1.8332898555814513E-2</v>
      </c>
      <c r="G220" s="33"/>
      <c r="H220" s="33">
        <f>LN(Assets!L122/Assets!L123)</f>
        <v>-1.416248466410879E-3</v>
      </c>
      <c r="I220" s="33"/>
      <c r="J220" s="33">
        <f>LN(Assets!N122/Assets!N123)</f>
        <v>-2.7690800145185945E-2</v>
      </c>
      <c r="K220" s="33"/>
      <c r="L220" s="33">
        <f>LN(Assets!P122/Assets!P123)</f>
        <v>-3.0261764491786838E-4</v>
      </c>
      <c r="M220" s="33"/>
      <c r="N220" s="33">
        <f>LN(Assets!R122/Assets!R123)</f>
        <v>-1.3938255027180355E-2</v>
      </c>
    </row>
    <row r="221" spans="3:14" x14ac:dyDescent="0.2">
      <c r="C221" s="3">
        <v>45583</v>
      </c>
      <c r="D221" s="33">
        <f>LN(Assets!H123/Assets!H124)</f>
        <v>5.3343671281746528E-3</v>
      </c>
      <c r="E221" s="33"/>
      <c r="F221" s="33">
        <f>LN(Assets!J123/Assets!J124)</f>
        <v>-5.6218525228977408E-3</v>
      </c>
      <c r="G221" s="33"/>
      <c r="H221" s="33">
        <f>LN(Assets!L123/Assets!L124)</f>
        <v>-8.7745142980130818E-3</v>
      </c>
      <c r="I221" s="33"/>
      <c r="J221" s="33">
        <f>LN(Assets!N123/Assets!N124)</f>
        <v>2.5533302005164845E-2</v>
      </c>
      <c r="K221" s="33"/>
      <c r="L221" s="33">
        <f>LN(Assets!P123/Assets!P124)</f>
        <v>-1.2095556358256822E-3</v>
      </c>
      <c r="M221" s="33"/>
      <c r="N221" s="33">
        <f>LN(Assets!R123/Assets!R124)</f>
        <v>2.7721523243907664E-3</v>
      </c>
    </row>
    <row r="222" spans="3:14" x14ac:dyDescent="0.2">
      <c r="C222" s="3">
        <v>45582</v>
      </c>
      <c r="D222" s="33">
        <f>LN(Assets!H124/Assets!H125)</f>
        <v>5.249782217184311E-3</v>
      </c>
      <c r="E222" s="33"/>
      <c r="F222" s="33">
        <f>LN(Assets!J124/Assets!J125)</f>
        <v>-4.981940568853805E-4</v>
      </c>
      <c r="G222" s="33"/>
      <c r="H222" s="33">
        <f>LN(Assets!L124/Assets!L125)</f>
        <v>-8.2863248518666335E-4</v>
      </c>
      <c r="I222" s="33"/>
      <c r="J222" s="33">
        <f>LN(Assets!N124/Assets!N125)</f>
        <v>-2.3430251808385996E-2</v>
      </c>
      <c r="K222" s="33"/>
      <c r="L222" s="33">
        <f>LN(Assets!P124/Assets!P125)</f>
        <v>-3.9209822516278886E-3</v>
      </c>
      <c r="M222" s="33"/>
      <c r="N222" s="33">
        <f>LN(Assets!R124/Assets!R125)</f>
        <v>2.1356113268565893E-4</v>
      </c>
    </row>
    <row r="223" spans="3:14" x14ac:dyDescent="0.2">
      <c r="C223" s="3">
        <v>45581</v>
      </c>
      <c r="D223" s="33">
        <f>LN(Assets!H125/Assets!H126)</f>
        <v>4.9844716331720997E-3</v>
      </c>
      <c r="E223" s="33"/>
      <c r="F223" s="33">
        <f>LN(Assets!J125/Assets!J126)</f>
        <v>-4.7894423032100286E-2</v>
      </c>
      <c r="G223" s="33"/>
      <c r="H223" s="33">
        <f>LN(Assets!L125/Assets!L126)</f>
        <v>-4.8940257214639604E-3</v>
      </c>
      <c r="I223" s="33"/>
      <c r="J223" s="33">
        <f>LN(Assets!N125/Assets!N126)</f>
        <v>3.2088314551500664E-2</v>
      </c>
      <c r="K223" s="33"/>
      <c r="L223" s="33">
        <f>LN(Assets!P125/Assets!P126)</f>
        <v>1.6082883449029532E-2</v>
      </c>
      <c r="M223" s="33"/>
      <c r="N223" s="33">
        <f>LN(Assets!R125/Assets!R126)</f>
        <v>1.0736628798024795E-2</v>
      </c>
    </row>
    <row r="224" spans="3:14" x14ac:dyDescent="0.2">
      <c r="C224" s="3">
        <v>45580</v>
      </c>
      <c r="D224" s="33">
        <f>LN(Assets!H126/Assets!H127)</f>
        <v>-1.3121995738953009E-3</v>
      </c>
      <c r="E224" s="33"/>
      <c r="F224" s="33">
        <f>LN(Assets!J126/Assets!J127)</f>
        <v>-2.9357116726202531E-2</v>
      </c>
      <c r="G224" s="33"/>
      <c r="H224" s="33">
        <f>LN(Assets!L126/Assets!L127)</f>
        <v>-2.2166638798776293E-3</v>
      </c>
      <c r="I224" s="33"/>
      <c r="J224" s="33">
        <f>LN(Assets!N126/Assets!N127)</f>
        <v>-8.6580627431145415E-3</v>
      </c>
      <c r="K224" s="33"/>
      <c r="L224" s="33">
        <f>LN(Assets!P126/Assets!P127)</f>
        <v>1.6345776425353696E-2</v>
      </c>
      <c r="M224" s="33"/>
      <c r="N224" s="33">
        <f>LN(Assets!R126/Assets!R127)</f>
        <v>-5.1679701584426731E-3</v>
      </c>
    </row>
    <row r="225" spans="3:14" x14ac:dyDescent="0.2">
      <c r="C225" s="3">
        <v>45576</v>
      </c>
      <c r="D225" s="33">
        <f>LN(Assets!H127/Assets!H128)</f>
        <v>6.9263398237962943E-3</v>
      </c>
      <c r="E225" s="33"/>
      <c r="F225" s="33">
        <f>LN(Assets!J127/Assets!J128)</f>
        <v>2.9950764710392513E-2</v>
      </c>
      <c r="G225" s="33"/>
      <c r="H225" s="33">
        <f>LN(Assets!L127/Assets!L128)</f>
        <v>-5.6146253542573819E-3</v>
      </c>
      <c r="I225" s="33"/>
      <c r="J225" s="33">
        <f>LN(Assets!N127/Assets!N128)</f>
        <v>2.3992426743221149E-2</v>
      </c>
      <c r="K225" s="33"/>
      <c r="L225" s="33">
        <f>LN(Assets!P127/Assets!P128)</f>
        <v>-7.4349784875180902E-3</v>
      </c>
      <c r="M225" s="33"/>
      <c r="N225" s="33">
        <f>LN(Assets!R127/Assets!R128)</f>
        <v>4.3047849516313933E-3</v>
      </c>
    </row>
    <row r="226" spans="3:14" x14ac:dyDescent="0.2">
      <c r="C226" s="3">
        <v>45575</v>
      </c>
      <c r="D226" s="33">
        <f>LN(Assets!H128/Assets!H129)</f>
        <v>3.1883203357807887E-3</v>
      </c>
      <c r="E226" s="33"/>
      <c r="F226" s="33">
        <f>LN(Assets!J128/Assets!J129)</f>
        <v>5.5804014978927605E-2</v>
      </c>
      <c r="G226" s="33"/>
      <c r="H226" s="33">
        <f>LN(Assets!L128/Assets!L129)</f>
        <v>-3.7292875657019123E-2</v>
      </c>
      <c r="I226" s="33"/>
      <c r="J226" s="33">
        <f>LN(Assets!N128/Assets!N129)</f>
        <v>-6.6006840313519123E-3</v>
      </c>
      <c r="K226" s="33"/>
      <c r="L226" s="33">
        <f>LN(Assets!P128/Assets!P129)</f>
        <v>6.1919702479209804E-3</v>
      </c>
      <c r="M226" s="33"/>
      <c r="N226" s="33">
        <f>LN(Assets!R128/Assets!R129)</f>
        <v>8.6318520681108522E-4</v>
      </c>
    </row>
    <row r="227" spans="3:14" x14ac:dyDescent="0.2">
      <c r="C227" s="3">
        <v>45574</v>
      </c>
      <c r="D227" s="33">
        <f>LN(Assets!H129/Assets!H130)</f>
        <v>6.3105042573411802E-3</v>
      </c>
      <c r="E227" s="33"/>
      <c r="F227" s="33">
        <f>LN(Assets!J129/Assets!J130)</f>
        <v>4.6131388649125013E-2</v>
      </c>
      <c r="G227" s="33"/>
      <c r="H227" s="33">
        <f>LN(Assets!L129/Assets!L130)</f>
        <v>2.0202707317519469E-2</v>
      </c>
      <c r="I227" s="33"/>
      <c r="J227" s="33">
        <f>LN(Assets!N129/Assets!N130)</f>
        <v>2.195390563435656E-3</v>
      </c>
      <c r="K227" s="33"/>
      <c r="L227" s="33">
        <f>LN(Assets!P129/Assets!P130)</f>
        <v>-4.956639639928177E-3</v>
      </c>
      <c r="M227" s="33"/>
      <c r="N227" s="33">
        <f>LN(Assets!R129/Assets!R130)</f>
        <v>2.1604768311981923E-2</v>
      </c>
    </row>
    <row r="228" spans="3:14" x14ac:dyDescent="0.2">
      <c r="C228" s="3">
        <v>45573</v>
      </c>
      <c r="D228" s="33">
        <f>LN(Assets!H130/Assets!H131)</f>
        <v>-1.2537567635794852E-3</v>
      </c>
      <c r="E228" s="33"/>
      <c r="F228" s="33">
        <f>LN(Assets!J130/Assets!J131)</f>
        <v>2.7059298410853482E-2</v>
      </c>
      <c r="G228" s="33"/>
      <c r="H228" s="33">
        <f>LN(Assets!L130/Assets!L131)</f>
        <v>8.6957069675536926E-3</v>
      </c>
      <c r="I228" s="33"/>
      <c r="J228" s="33">
        <f>LN(Assets!N130/Assets!N131)</f>
        <v>2.2002209096023376E-3</v>
      </c>
      <c r="K228" s="33"/>
      <c r="L228" s="33">
        <f>LN(Assets!P130/Assets!P131)</f>
        <v>9.0020784852274573E-3</v>
      </c>
      <c r="M228" s="33"/>
      <c r="N228" s="33">
        <f>LN(Assets!R130/Assets!R131)</f>
        <v>9.5312702045492904E-3</v>
      </c>
    </row>
    <row r="229" spans="3:14" x14ac:dyDescent="0.2">
      <c r="C229" s="3">
        <v>45572</v>
      </c>
      <c r="D229" s="33">
        <f>LN(Assets!H131/Assets!H132)</f>
        <v>-2.4912196607740872E-3</v>
      </c>
      <c r="E229" s="33"/>
      <c r="F229" s="33">
        <f>LN(Assets!J131/Assets!J132)</f>
        <v>1.2508660717074677E-2</v>
      </c>
      <c r="G229" s="33"/>
      <c r="H229" s="33">
        <f>LN(Assets!L131/Assets!L132)</f>
        <v>-9.9763071000261313E-4</v>
      </c>
      <c r="I229" s="33"/>
      <c r="J229" s="33">
        <f>LN(Assets!N131/Assets!N132)</f>
        <v>0</v>
      </c>
      <c r="K229" s="33"/>
      <c r="L229" s="33">
        <f>LN(Assets!P131/Assets!P132)</f>
        <v>-1.0237409093220153E-2</v>
      </c>
      <c r="M229" s="33"/>
      <c r="N229" s="33">
        <f>LN(Assets!R131/Assets!R132)</f>
        <v>-2.6690407303776734E-3</v>
      </c>
    </row>
    <row r="230" spans="3:14" x14ac:dyDescent="0.2">
      <c r="C230" s="3">
        <v>45569</v>
      </c>
      <c r="D230" s="33">
        <f>LN(Assets!H132/Assets!H133)</f>
        <v>8.0750337029302614E-3</v>
      </c>
      <c r="E230" s="33"/>
      <c r="F230" s="33">
        <f>LN(Assets!J132/Assets!J133)</f>
        <v>4.6200825463240079E-2</v>
      </c>
      <c r="G230" s="33"/>
      <c r="H230" s="33">
        <f>LN(Assets!L132/Assets!L133)</f>
        <v>1.2290097008174621E-2</v>
      </c>
      <c r="I230" s="33"/>
      <c r="J230" s="33">
        <f>LN(Assets!N132/Assets!N133)</f>
        <v>-1.5300844955300598E-2</v>
      </c>
      <c r="K230" s="33"/>
      <c r="L230" s="33">
        <f>LN(Assets!P132/Assets!P133)</f>
        <v>1.5444018513739856E-3</v>
      </c>
      <c r="M230" s="33"/>
      <c r="N230" s="33">
        <f>LN(Assets!R132/Assets!R133)</f>
        <v>8.2525281560782877E-3</v>
      </c>
    </row>
    <row r="231" spans="3:14" x14ac:dyDescent="0.2">
      <c r="C231" s="3">
        <v>45568</v>
      </c>
      <c r="D231" s="33">
        <f>LN(Assets!H133/Assets!H134)</f>
        <v>-1.3779433304493469E-3</v>
      </c>
      <c r="E231" s="33"/>
      <c r="F231" s="33">
        <f>LN(Assets!J133/Assets!J134)</f>
        <v>2.7012969825849793E-2</v>
      </c>
      <c r="G231" s="33"/>
      <c r="H231" s="33">
        <f>LN(Assets!L133/Assets!L134)</f>
        <v>-9.6067043405635363E-3</v>
      </c>
      <c r="I231" s="33"/>
      <c r="J231" s="33">
        <f>LN(Assets!N133/Assets!N134)</f>
        <v>1.7505917513614588E-2</v>
      </c>
      <c r="K231" s="33"/>
      <c r="L231" s="33">
        <f>LN(Assets!P133/Assets!P134)</f>
        <v>7.7579908109393367E-3</v>
      </c>
      <c r="M231" s="33"/>
      <c r="N231" s="33">
        <f>LN(Assets!R133/Assets!R134)</f>
        <v>6.0653898180600607E-3</v>
      </c>
    </row>
    <row r="232" spans="3:14" x14ac:dyDescent="0.2">
      <c r="C232" s="3">
        <v>45567</v>
      </c>
      <c r="D232" s="33">
        <f>LN(Assets!H134/Assets!H135)</f>
        <v>-1.3506668159323197E-3</v>
      </c>
      <c r="E232" s="33"/>
      <c r="F232" s="33">
        <f>LN(Assets!J134/Assets!J135)</f>
        <v>1.4083695837151996E-2</v>
      </c>
      <c r="G232" s="33"/>
      <c r="H232" s="33">
        <f>LN(Assets!L134/Assets!L135)</f>
        <v>7.9046835684786574E-3</v>
      </c>
      <c r="I232" s="33"/>
      <c r="J232" s="33">
        <f>LN(Assets!N134/Assets!N135)</f>
        <v>-8.7912654111706578E-3</v>
      </c>
      <c r="K232" s="33"/>
      <c r="L232" s="33">
        <f>LN(Assets!P134/Assets!P135)</f>
        <v>-8.0670620543207387E-3</v>
      </c>
      <c r="M232" s="33"/>
      <c r="N232" s="33">
        <f>LN(Assets!R134/Assets!R135)</f>
        <v>1.8042404533580127E-3</v>
      </c>
    </row>
    <row r="233" spans="3:14" x14ac:dyDescent="0.2">
      <c r="C233" s="3">
        <v>45566</v>
      </c>
      <c r="D233" s="33">
        <f>LN(Assets!H135/Assets!H136)</f>
        <v>1.399831516020845E-3</v>
      </c>
      <c r="E233" s="33"/>
      <c r="F233" s="33">
        <f>LN(Assets!J135/Assets!J136)</f>
        <v>-3.173936712741985E-2</v>
      </c>
      <c r="G233" s="33"/>
      <c r="H233" s="33">
        <f>LN(Assets!L135/Assets!L136)</f>
        <v>-1.1895957965823382E-2</v>
      </c>
      <c r="I233" s="33"/>
      <c r="J233" s="33">
        <f>LN(Assets!N135/Assets!N136)</f>
        <v>-1.0881500187534062E-2</v>
      </c>
      <c r="K233" s="33"/>
      <c r="L233" s="33">
        <f>LN(Assets!P135/Assets!P136)</f>
        <v>2.3765971597424419E-2</v>
      </c>
      <c r="M233" s="33"/>
      <c r="N233" s="33">
        <f>LN(Assets!R135/Assets!R136)</f>
        <v>-1.612215842749638E-2</v>
      </c>
    </row>
    <row r="234" spans="3:14" x14ac:dyDescent="0.2">
      <c r="C234" s="3">
        <v>45565</v>
      </c>
      <c r="D234" s="33">
        <f>LN(Assets!H136/Assets!H137)</f>
        <v>1.8162036587695679E-3</v>
      </c>
      <c r="E234" s="33"/>
      <c r="F234" s="33">
        <f>LN(Assets!J136/Assets!J137)</f>
        <v>7.2343199277501722E-4</v>
      </c>
      <c r="G234" s="33"/>
      <c r="H234" s="33">
        <f>LN(Assets!L136/Assets!L137)</f>
        <v>2.329786776812811E-2</v>
      </c>
      <c r="I234" s="33"/>
      <c r="J234" s="33">
        <f>LN(Assets!N136/Assets!N137)</f>
        <v>4.8790164169432049E-2</v>
      </c>
      <c r="K234" s="33"/>
      <c r="L234" s="33">
        <f>LN(Assets!P136/Assets!P137)</f>
        <v>-1.7566323717899054E-2</v>
      </c>
      <c r="M234" s="33"/>
      <c r="N234" s="33">
        <f>LN(Assets!R136/Assets!R137)</f>
        <v>6.4624180338294724E-3</v>
      </c>
    </row>
    <row r="235" spans="3:14" x14ac:dyDescent="0.2">
      <c r="C235" s="3">
        <v>45562</v>
      </c>
      <c r="D235" s="33">
        <f>LN(Assets!H137/Assets!H138)</f>
        <v>-3.2093779142780303E-3</v>
      </c>
      <c r="E235" s="33"/>
      <c r="F235" s="33">
        <f>LN(Assets!J137/Assets!J138)</f>
        <v>-1.5368345563223975E-2</v>
      </c>
      <c r="G235" s="33"/>
      <c r="H235" s="33">
        <f>LN(Assets!L137/Assets!L138)</f>
        <v>-8.1213567371699776E-3</v>
      </c>
      <c r="I235" s="33"/>
      <c r="J235" s="33">
        <f>LN(Assets!N137/Assets!N138)</f>
        <v>-1.8018505502678365E-2</v>
      </c>
      <c r="K235" s="33"/>
      <c r="L235" s="33">
        <f>LN(Assets!P137/Assets!P138)</f>
        <v>-2.426781663775076E-2</v>
      </c>
      <c r="M235" s="33"/>
      <c r="N235" s="33">
        <f>LN(Assets!R137/Assets!R138)</f>
        <v>-1.3104018715048921E-2</v>
      </c>
    </row>
    <row r="236" spans="3:14" x14ac:dyDescent="0.2">
      <c r="C236" s="3">
        <v>45561</v>
      </c>
      <c r="D236" s="33">
        <f>LN(Assets!H138/Assets!H139)</f>
        <v>5.3379673684308378E-3</v>
      </c>
      <c r="E236" s="33"/>
      <c r="F236" s="33">
        <f>LN(Assets!J138/Assets!J139)</f>
        <v>2.5259335291021048E-2</v>
      </c>
      <c r="G236" s="33"/>
      <c r="H236" s="33">
        <f>LN(Assets!L138/Assets!L139)</f>
        <v>1.246280517018347E-2</v>
      </c>
      <c r="I236" s="33"/>
      <c r="J236" s="33">
        <f>LN(Assets!N138/Assets!N139)</f>
        <v>6.4538521137571164E-2</v>
      </c>
      <c r="K236" s="33"/>
      <c r="L236" s="33">
        <f>LN(Assets!P138/Assets!P139)</f>
        <v>1.7450312699027141E-2</v>
      </c>
      <c r="M236" s="33"/>
      <c r="N236" s="33">
        <f>LN(Assets!R138/Assets!R139)</f>
        <v>1.825924698761101E-2</v>
      </c>
    </row>
    <row r="237" spans="3:14" x14ac:dyDescent="0.2">
      <c r="C237" s="3">
        <v>45560</v>
      </c>
      <c r="D237" s="33">
        <f>LN(Assets!H139/Assets!H140)</f>
        <v>-1.9365588889761495E-3</v>
      </c>
      <c r="E237" s="33"/>
      <c r="F237" s="33">
        <f>LN(Assets!J139/Assets!J140)</f>
        <v>1.829229349413334E-2</v>
      </c>
      <c r="G237" s="33"/>
      <c r="H237" s="33">
        <f>LN(Assets!L139/Assets!L140)</f>
        <v>1.2684887256628653E-2</v>
      </c>
      <c r="I237" s="33"/>
      <c r="J237" s="33">
        <f>LN(Assets!N139/Assets!N140)</f>
        <v>-4.1964199099032082E-2</v>
      </c>
      <c r="K237" s="33"/>
      <c r="L237" s="33">
        <f>LN(Assets!P139/Assets!P140)</f>
        <v>-2.4104904709471901E-2</v>
      </c>
      <c r="M237" s="33"/>
      <c r="N237" s="33">
        <f>LN(Assets!R139/Assets!R140)</f>
        <v>-1.4279582217195158E-2</v>
      </c>
    </row>
    <row r="238" spans="3:14" x14ac:dyDescent="0.2">
      <c r="C238" s="3">
        <v>45559</v>
      </c>
      <c r="D238" s="33">
        <f>LN(Assets!H140/Assets!H141)</f>
        <v>2.4039171455716036E-3</v>
      </c>
      <c r="E238" s="33"/>
      <c r="F238" s="33">
        <f>LN(Assets!J140/Assets!J141)</f>
        <v>2.2356369696088937E-3</v>
      </c>
      <c r="G238" s="33"/>
      <c r="H238" s="33">
        <f>LN(Assets!L140/Assets!L141)</f>
        <v>-3.3454328824862302E-2</v>
      </c>
      <c r="I238" s="33"/>
      <c r="J238" s="33">
        <f>LN(Assets!N140/Assets!N141)</f>
        <v>1.1481182373956232E-2</v>
      </c>
      <c r="K238" s="33"/>
      <c r="L238" s="33">
        <f>LN(Assets!P140/Assets!P141)</f>
        <v>3.9269043061838042E-3</v>
      </c>
      <c r="M238" s="33"/>
      <c r="N238" s="33">
        <f>LN(Assets!R140/Assets!R141)</f>
        <v>9.1243539446328667E-3</v>
      </c>
    </row>
    <row r="239" spans="3:14" x14ac:dyDescent="0.2">
      <c r="C239" s="3">
        <v>45558</v>
      </c>
      <c r="D239" s="33">
        <f>LN(Assets!H141/Assets!H142)</f>
        <v>1.1448413882362094E-3</v>
      </c>
      <c r="E239" s="33"/>
      <c r="F239" s="33">
        <f>LN(Assets!J141/Assets!J142)</f>
        <v>1.3368580622593385E-2</v>
      </c>
      <c r="G239" s="33"/>
      <c r="H239" s="33">
        <f>LN(Assets!L141/Assets!L142)</f>
        <v>-2.0039756146104107E-2</v>
      </c>
      <c r="I239" s="33"/>
      <c r="J239" s="33">
        <f>LN(Assets!N141/Assets!N142)</f>
        <v>-9.1954670931002746E-3</v>
      </c>
      <c r="K239" s="33"/>
      <c r="L239" s="33">
        <f>LN(Assets!P141/Assets!P142)</f>
        <v>-5.7341337137255402E-3</v>
      </c>
      <c r="M239" s="33"/>
      <c r="N239" s="33">
        <f>LN(Assets!R141/Assets!R142)</f>
        <v>6.2794554848431012E-3</v>
      </c>
    </row>
    <row r="240" spans="3:14" x14ac:dyDescent="0.2">
      <c r="C240" s="3">
        <v>45555</v>
      </c>
      <c r="D240" s="33">
        <f>LN(Assets!H142/Assets!H143)</f>
        <v>4.6089089379859788E-5</v>
      </c>
      <c r="E240" s="33"/>
      <c r="F240" s="33">
        <f>LN(Assets!J142/Assets!J143)</f>
        <v>-1.8725736291835826E-2</v>
      </c>
      <c r="G240" s="33"/>
      <c r="H240" s="33">
        <f>LN(Assets!L142/Assets!L143)</f>
        <v>-6.7950431328286896E-3</v>
      </c>
      <c r="I240" s="33"/>
      <c r="J240" s="33">
        <f>LN(Assets!N142/Assets!N143)</f>
        <v>-2.2857152808559511E-3</v>
      </c>
      <c r="K240" s="33"/>
      <c r="L240" s="33">
        <f>LN(Assets!P142/Assets!P143)</f>
        <v>-5.4748048105317325E-2</v>
      </c>
      <c r="M240" s="33"/>
      <c r="N240" s="33">
        <f>LN(Assets!R142/Assets!R143)</f>
        <v>-1.1242272122808802E-3</v>
      </c>
    </row>
    <row r="241" spans="3:14" x14ac:dyDescent="0.2">
      <c r="C241" s="3">
        <v>45554</v>
      </c>
      <c r="D241" s="33">
        <f>LN(Assets!H143/Assets!H144)</f>
        <v>1.1533061509115388E-2</v>
      </c>
      <c r="E241" s="33"/>
      <c r="F241" s="33">
        <f>LN(Assets!J143/Assets!J144)</f>
        <v>5.4595047627662693E-2</v>
      </c>
      <c r="G241" s="33"/>
      <c r="H241" s="33">
        <f>LN(Assets!L143/Assets!L144)</f>
        <v>4.4920533166143965E-2</v>
      </c>
      <c r="I241" s="33"/>
      <c r="J241" s="33">
        <f>LN(Assets!N143/Assets!N144)</f>
        <v>1.1481182373956232E-2</v>
      </c>
      <c r="K241" s="33"/>
      <c r="L241" s="33">
        <f>LN(Assets!P143/Assets!P144)</f>
        <v>1.6662264256592844E-2</v>
      </c>
      <c r="M241" s="33"/>
      <c r="N241" s="33">
        <f>LN(Assets!R143/Assets!R144)</f>
        <v>2.6643953420376478E-2</v>
      </c>
    </row>
    <row r="242" spans="3:14" x14ac:dyDescent="0.2">
      <c r="C242" s="3">
        <v>45553</v>
      </c>
      <c r="D242" s="33">
        <f>LN(Assets!H144/Assets!H145)</f>
        <v>-3.6005733806326935E-3</v>
      </c>
      <c r="E242" s="33"/>
      <c r="F242" s="33">
        <f>LN(Assets!J144/Assets!J145)</f>
        <v>-1.5661710327449462E-3</v>
      </c>
      <c r="G242" s="33"/>
      <c r="H242" s="33">
        <f>LN(Assets!L144/Assets!L145)</f>
        <v>2.232638871880387E-2</v>
      </c>
      <c r="I242" s="33"/>
      <c r="J242" s="33">
        <f>LN(Assets!N144/Assets!N145)</f>
        <v>-2.0572154075208206E-2</v>
      </c>
      <c r="K242" s="33"/>
      <c r="L242" s="33">
        <f>LN(Assets!P144/Assets!P145)</f>
        <v>-1.3809195274186448E-2</v>
      </c>
      <c r="M242" s="33"/>
      <c r="N242" s="33">
        <f>LN(Assets!R144/Assets!R145)</f>
        <v>3.2362487792083248E-3</v>
      </c>
    </row>
    <row r="243" spans="3:14" x14ac:dyDescent="0.2">
      <c r="C243" s="3">
        <v>45552</v>
      </c>
      <c r="D243" s="33">
        <f>LN(Assets!H145/Assets!H146)</f>
        <v>-1.0287091790067181E-3</v>
      </c>
      <c r="E243" s="33"/>
      <c r="F243" s="33">
        <f>LN(Assets!J145/Assets!J146)</f>
        <v>1.9117416097611958E-2</v>
      </c>
      <c r="G243" s="33"/>
      <c r="H243" s="33">
        <f>LN(Assets!L145/Assets!L146)</f>
        <v>-7.9293279098389298E-3</v>
      </c>
      <c r="I243" s="33"/>
      <c r="J243" s="33">
        <f>LN(Assets!N145/Assets!N146)</f>
        <v>2.9852963149681128E-2</v>
      </c>
      <c r="K243" s="33"/>
      <c r="L243" s="33">
        <f>LN(Assets!P145/Assets!P146)</f>
        <v>8.6083745366001014E-3</v>
      </c>
      <c r="M243" s="33"/>
      <c r="N243" s="33">
        <f>LN(Assets!R145/Assets!R146)</f>
        <v>-1.1052380524859911E-2</v>
      </c>
    </row>
    <row r="244" spans="3:14" x14ac:dyDescent="0.2">
      <c r="C244" s="3">
        <v>45551</v>
      </c>
      <c r="D244" s="33">
        <f>LN(Assets!H146/Assets!H147)</f>
        <v>5.6449469900285883E-3</v>
      </c>
      <c r="E244" s="33"/>
      <c r="F244" s="33">
        <f>LN(Assets!J146/Assets!J147)</f>
        <v>5.598670946685977E-3</v>
      </c>
      <c r="G244" s="33"/>
      <c r="H244" s="33">
        <f>LN(Assets!L146/Assets!L147)</f>
        <v>-7.9954001271737365E-3</v>
      </c>
      <c r="I244" s="33"/>
      <c r="J244" s="33">
        <f>LN(Assets!N146/Assets!N147)</f>
        <v>0</v>
      </c>
      <c r="K244" s="33"/>
      <c r="L244" s="33">
        <f>LN(Assets!P146/Assets!P147)</f>
        <v>5.2008207375862925E-3</v>
      </c>
      <c r="M244" s="33"/>
      <c r="N244" s="33">
        <f>LN(Assets!R146/Assets!R147)</f>
        <v>-6.8673460407490884E-4</v>
      </c>
    </row>
    <row r="245" spans="3:14" x14ac:dyDescent="0.2">
      <c r="C245" s="3">
        <v>45548</v>
      </c>
      <c r="D245" s="33">
        <f>LN(Assets!H147/Assets!H148)</f>
        <v>3.9754502413276178E-3</v>
      </c>
      <c r="E245" s="33"/>
      <c r="F245" s="33">
        <f>LN(Assets!J147/Assets!J148)</f>
        <v>7.8911755006941635E-3</v>
      </c>
      <c r="G245" s="33"/>
      <c r="H245" s="33">
        <f>LN(Assets!L147/Assets!L148)</f>
        <v>3.0251997297699777E-2</v>
      </c>
      <c r="I245" s="33"/>
      <c r="J245" s="33">
        <f>LN(Assets!N147/Assets!N148)</f>
        <v>-1.3889112160667037E-2</v>
      </c>
      <c r="K245" s="33"/>
      <c r="L245" s="33">
        <f>LN(Assets!P147/Assets!P148)</f>
        <v>-3.7588594206849073E-3</v>
      </c>
      <c r="M245" s="33"/>
      <c r="N245" s="33">
        <f>LN(Assets!R147/Assets!R148)</f>
        <v>-4.1105333054850205E-3</v>
      </c>
    </row>
    <row r="246" spans="3:14" x14ac:dyDescent="0.2">
      <c r="C246" s="3">
        <v>45547</v>
      </c>
      <c r="D246" s="33">
        <f>LN(Assets!H148/Assets!H149)</f>
        <v>1.1308360545637825E-2</v>
      </c>
      <c r="E246" s="33"/>
      <c r="F246" s="33">
        <f>LN(Assets!J148/Assets!J149)</f>
        <v>6.1628479195788462E-3</v>
      </c>
      <c r="G246" s="33"/>
      <c r="H246" s="33">
        <f>LN(Assets!L148/Assets!L149)</f>
        <v>-5.8082138071684497E-3</v>
      </c>
      <c r="I246" s="33"/>
      <c r="J246" s="33">
        <f>LN(Assets!N148/Assets!N149)</f>
        <v>-2.9447201326301249E-2</v>
      </c>
      <c r="K246" s="33"/>
      <c r="L246" s="33">
        <f>LN(Assets!P148/Assets!P149)</f>
        <v>-3.1252543504104426E-2</v>
      </c>
      <c r="M246" s="33"/>
      <c r="N246" s="33">
        <f>LN(Assets!R148/Assets!R149)</f>
        <v>1.1401209763118251E-3</v>
      </c>
    </row>
    <row r="247" spans="3:14" x14ac:dyDescent="0.2">
      <c r="C247" s="3">
        <v>45546</v>
      </c>
      <c r="D247" s="33">
        <f>LN(Assets!H149/Assets!H150)</f>
        <v>9.0050735907970959E-3</v>
      </c>
      <c r="E247" s="33"/>
      <c r="F247" s="33">
        <f>LN(Assets!J149/Assets!J150)</f>
        <v>3.8641736494586791E-2</v>
      </c>
      <c r="G247" s="33"/>
      <c r="H247" s="33">
        <f>LN(Assets!L149/Assets!L150)</f>
        <v>-4.1375292992813653E-3</v>
      </c>
      <c r="I247" s="33"/>
      <c r="J247" s="33">
        <f>LN(Assets!N149/Assets!N150)</f>
        <v>2.2574322038539194E-2</v>
      </c>
      <c r="K247" s="33"/>
      <c r="L247" s="33">
        <f>LN(Assets!P149/Assets!P150)</f>
        <v>-1.2785054637533157E-2</v>
      </c>
      <c r="M247" s="33"/>
      <c r="N247" s="33">
        <f>LN(Assets!R149/Assets!R150)</f>
        <v>5.0320325760426559E-3</v>
      </c>
    </row>
    <row r="248" spans="3:14" x14ac:dyDescent="0.2">
      <c r="C248" s="3">
        <v>45545</v>
      </c>
      <c r="D248" s="33">
        <f>LN(Assets!H150/Assets!H151)</f>
        <v>-1.0453998150428136E-3</v>
      </c>
      <c r="E248" s="33"/>
      <c r="F248" s="33">
        <f>LN(Assets!J150/Assets!J151)</f>
        <v>2.3437904631157015E-2</v>
      </c>
      <c r="G248" s="33"/>
      <c r="H248" s="33">
        <f>LN(Assets!L150/Assets!L151)</f>
        <v>1.4656629966105936E-2</v>
      </c>
      <c r="I248" s="33"/>
      <c r="J248" s="33">
        <f>LN(Assets!N150/Assets!N151)</f>
        <v>2.0761991448429225E-2</v>
      </c>
      <c r="K248" s="33"/>
      <c r="L248" s="33">
        <f>LN(Assets!P150/Assets!P151)</f>
        <v>5.5648759069315469E-2</v>
      </c>
      <c r="M248" s="33"/>
      <c r="N248" s="33">
        <f>LN(Assets!R150/Assets!R151)</f>
        <v>1.1763484744972876E-2</v>
      </c>
    </row>
    <row r="249" spans="3:14" x14ac:dyDescent="0.2">
      <c r="C249" s="3">
        <v>45544</v>
      </c>
      <c r="D249" s="33">
        <f>LN(Assets!H151/Assets!H152)</f>
        <v>1.0728224134133607E-2</v>
      </c>
      <c r="E249" s="33"/>
      <c r="F249" s="33">
        <f>LN(Assets!J151/Assets!J152)</f>
        <v>3.7387532071620412E-2</v>
      </c>
      <c r="G249" s="33"/>
      <c r="H249" s="33">
        <f>LN(Assets!L151/Assets!L152)</f>
        <v>3.8715387273833134E-2</v>
      </c>
      <c r="I249" s="33"/>
      <c r="J249" s="33">
        <f>LN(Assets!N151/Assets!N152)</f>
        <v>-6.9686693160934277E-3</v>
      </c>
      <c r="K249" s="33"/>
      <c r="L249" s="33">
        <f>LN(Assets!P151/Assets!P152)</f>
        <v>1.5892035462264854E-2</v>
      </c>
      <c r="M249" s="33"/>
      <c r="N249" s="33">
        <f>LN(Assets!R151/Assets!R152)</f>
        <v>1.2843142090319013E-2</v>
      </c>
    </row>
    <row r="250" spans="3:14" x14ac:dyDescent="0.2">
      <c r="C250" s="3">
        <v>45541</v>
      </c>
      <c r="D250" s="33">
        <f>LN(Assets!H152/Assets!H153)</f>
        <v>-9.0387904269971977E-3</v>
      </c>
      <c r="E250" s="33"/>
      <c r="F250" s="33">
        <f>LN(Assets!J152/Assets!J153)</f>
        <v>-0.10805230732353771</v>
      </c>
      <c r="G250" s="33"/>
      <c r="H250" s="33">
        <f>LN(Assets!L152/Assets!L153)</f>
        <v>-7.9187881524137565E-3</v>
      </c>
      <c r="I250" s="33"/>
      <c r="J250" s="33">
        <f>LN(Assets!N152/Assets!N153)</f>
        <v>-3.8597299498143972E-2</v>
      </c>
      <c r="K250" s="33"/>
      <c r="L250" s="33">
        <f>LN(Assets!P152/Assets!P153)</f>
        <v>1.8261246862952132E-2</v>
      </c>
      <c r="M250" s="33"/>
      <c r="N250" s="33">
        <f>LN(Assets!R152/Assets!R153)</f>
        <v>-1.0287675488807099E-2</v>
      </c>
    </row>
    <row r="251" spans="3:14" x14ac:dyDescent="0.2">
      <c r="C251" s="3">
        <v>45540</v>
      </c>
      <c r="D251" s="33">
        <f>LN(Assets!H153/Assets!H154)</f>
        <v>-2.280300555489629E-3</v>
      </c>
      <c r="E251" s="33"/>
      <c r="F251" s="33">
        <f>LN(Assets!J153/Assets!J154)</f>
        <v>-1.6476418479927181E-2</v>
      </c>
      <c r="G251" s="33"/>
      <c r="H251" s="33">
        <f>LN(Assets!L153/Assets!L154)</f>
        <v>-1.4706147389695449E-2</v>
      </c>
      <c r="I251" s="33"/>
      <c r="J251" s="33">
        <f>LN(Assets!N153/Assets!N154)</f>
        <v>3.3978353641849555E-2</v>
      </c>
      <c r="K251" s="33"/>
      <c r="L251" s="33">
        <f>LN(Assets!P153/Assets!P154)</f>
        <v>-1.8557850750637372E-2</v>
      </c>
      <c r="M251" s="33"/>
      <c r="N251" s="33">
        <f>LN(Assets!R153/Assets!R154)</f>
        <v>4.6533272128647981E-4</v>
      </c>
    </row>
    <row r="252" spans="3:14" x14ac:dyDescent="0.2">
      <c r="C252" s="3">
        <v>45539</v>
      </c>
      <c r="D252" s="33">
        <f>LN(Assets!H154/Assets!H155)</f>
        <v>-7.3345585116957649E-5</v>
      </c>
      <c r="E252" s="33"/>
      <c r="F252" s="33">
        <f>LN(Assets!J154/Assets!J155)</f>
        <v>1.1111994158708482E-3</v>
      </c>
      <c r="G252" s="33"/>
      <c r="H252" s="33">
        <f>LN(Assets!L154/Assets!L155)</f>
        <v>-1.5532672378337552E-3</v>
      </c>
      <c r="I252" s="33"/>
      <c r="J252" s="33">
        <f>LN(Assets!N154/Assets!N155)</f>
        <v>-1.3730192811902131E-2</v>
      </c>
      <c r="K252" s="33"/>
      <c r="L252" s="33">
        <f>LN(Assets!P154/Assets!P155)</f>
        <v>2.4618475362328519E-2</v>
      </c>
      <c r="M252" s="33"/>
      <c r="N252" s="33">
        <f>LN(Assets!R154/Assets!R155)</f>
        <v>-2.5566545012841108E-3</v>
      </c>
    </row>
    <row r="253" spans="3:14" x14ac:dyDescent="0.2">
      <c r="C253" s="3">
        <v>45538</v>
      </c>
      <c r="D253" s="33">
        <f>LN(Assets!H155/Assets!H156)</f>
        <v>-1.3095206321091412E-2</v>
      </c>
      <c r="E253" s="33"/>
      <c r="F253" s="33">
        <f>LN(Assets!J155/Assets!J156)</f>
        <v>-8.6084433321155909E-2</v>
      </c>
      <c r="G253" s="33"/>
      <c r="H253" s="33">
        <f>LN(Assets!L155/Assets!L156)</f>
        <v>5.8881426252225316E-3</v>
      </c>
      <c r="I253" s="33"/>
      <c r="J253" s="33">
        <f>LN(Assets!N155/Assets!N156)</f>
        <v>-2.9117398570727097E-2</v>
      </c>
      <c r="K253" s="33"/>
      <c r="L253" s="33">
        <f>LN(Assets!P155/Assets!P156)</f>
        <v>1.2232568435634451E-2</v>
      </c>
      <c r="M253" s="33"/>
      <c r="N253" s="33">
        <f>LN(Assets!R155/Assets!R156)</f>
        <v>4.6533355256411285E-3</v>
      </c>
    </row>
    <row r="254" spans="3:14" x14ac:dyDescent="0.2">
      <c r="C254" s="3">
        <v>45534</v>
      </c>
      <c r="D254" s="33">
        <f>LN(Assets!H156/Assets!H157)</f>
        <v>5.0968822919053676E-3</v>
      </c>
      <c r="E254" s="33"/>
      <c r="F254" s="33">
        <f>LN(Assets!J156/Assets!J157)</f>
        <v>6.4327707205465729E-3</v>
      </c>
      <c r="G254" s="33"/>
      <c r="H254" s="33">
        <f>LN(Assets!L156/Assets!L157)</f>
        <v>2.5227306151565987E-2</v>
      </c>
      <c r="I254" s="33"/>
      <c r="J254" s="33">
        <f>LN(Assets!N156/Assets!N157)</f>
        <v>-6.6006840313519123E-3</v>
      </c>
      <c r="K254" s="33"/>
      <c r="L254" s="33">
        <f>LN(Assets!P156/Assets!P157)</f>
        <v>-1.6781476962003432E-2</v>
      </c>
      <c r="M254" s="33"/>
      <c r="N254" s="33">
        <f>LN(Assets!R156/Assets!R157)</f>
        <v>-2.5620137456435583E-3</v>
      </c>
    </row>
    <row r="255" spans="3:14" x14ac:dyDescent="0.2">
      <c r="C255" s="3">
        <v>45533</v>
      </c>
      <c r="D255" s="33">
        <f>LN(Assets!H157/Assets!H158)</f>
        <v>4.3365896542860343E-3</v>
      </c>
      <c r="E255" s="33"/>
      <c r="F255" s="33">
        <f>LN(Assets!J157/Assets!J158)</f>
        <v>1.1506248791495633E-2</v>
      </c>
      <c r="G255" s="33"/>
      <c r="H255" s="33">
        <f>LN(Assets!L157/Assets!L158)</f>
        <v>6.9913189434680903E-2</v>
      </c>
      <c r="I255" s="33"/>
      <c r="J255" s="33">
        <f>LN(Assets!N157/Assets!N158)</f>
        <v>-1.0905233482262581E-2</v>
      </c>
      <c r="K255" s="33"/>
      <c r="L255" s="33">
        <f>LN(Assets!P157/Assets!P158)</f>
        <v>-1.0234887657867928E-2</v>
      </c>
      <c r="M255" s="33"/>
      <c r="N255" s="33">
        <f>LN(Assets!R157/Assets!R158)</f>
        <v>-3.0193960925514406E-3</v>
      </c>
    </row>
    <row r="256" spans="3:14" x14ac:dyDescent="0.2">
      <c r="C256" s="3">
        <v>45532</v>
      </c>
      <c r="D256" s="33">
        <f>LN(Assets!H158/Assets!H159)</f>
        <v>-5.733526043795286E-3</v>
      </c>
      <c r="E256" s="33"/>
      <c r="F256" s="33">
        <f>LN(Assets!J158/Assets!J159)</f>
        <v>-4.5888615792925302E-3</v>
      </c>
      <c r="G256" s="33"/>
      <c r="H256" s="33">
        <f>LN(Assets!L158/Assets!L159)</f>
        <v>-0.15712178563410087</v>
      </c>
      <c r="I256" s="33"/>
      <c r="J256" s="33">
        <f>LN(Assets!N158/Assets!N159)</f>
        <v>-4.8686863719983084E-2</v>
      </c>
      <c r="K256" s="33"/>
      <c r="L256" s="33">
        <f>LN(Assets!P158/Assets!P159)</f>
        <v>-3.88582165831926E-3</v>
      </c>
      <c r="M256" s="33"/>
      <c r="N256" s="33">
        <f>LN(Assets!R158/Assets!R159)</f>
        <v>-1.7243788577380841E-2</v>
      </c>
    </row>
    <row r="257" spans="3:14" x14ac:dyDescent="0.2">
      <c r="C257" s="3">
        <v>45531</v>
      </c>
      <c r="D257" s="33">
        <f>LN(Assets!H159/Assets!H160)</f>
        <v>-3.8194443943518294E-3</v>
      </c>
      <c r="E257" s="33"/>
      <c r="F257" s="33">
        <f>LN(Assets!J159/Assets!J160)</f>
        <v>-1.6405816912718932E-2</v>
      </c>
      <c r="G257" s="33"/>
      <c r="H257" s="33">
        <f>LN(Assets!L159/Assets!L160)</f>
        <v>1.6337920495489586E-2</v>
      </c>
      <c r="I257" s="33"/>
      <c r="J257" s="33">
        <f>LN(Assets!N159/Assets!N160)</f>
        <v>3.5755649047734449E-2</v>
      </c>
      <c r="K257" s="33"/>
      <c r="L257" s="33">
        <f>LN(Assets!P159/Assets!P160)</f>
        <v>5.9844583152404863E-3</v>
      </c>
      <c r="M257" s="33"/>
      <c r="N257" s="33">
        <f>LN(Assets!R159/Assets!R160)</f>
        <v>-4.5485636757731261E-3</v>
      </c>
    </row>
    <row r="258" spans="3:14" x14ac:dyDescent="0.2">
      <c r="C258" s="3">
        <v>45530</v>
      </c>
      <c r="D258" s="33">
        <f>LN(Assets!H160/Assets!H161)</f>
        <v>2.6971146433447547E-3</v>
      </c>
      <c r="E258" s="33"/>
      <c r="F258" s="33">
        <f>LN(Assets!J160/Assets!J161)</f>
        <v>-4.2662519676437353E-2</v>
      </c>
      <c r="G258" s="33"/>
      <c r="H258" s="33">
        <f>LN(Assets!L160/Assets!L161)</f>
        <v>1.9646997383796421E-2</v>
      </c>
      <c r="I258" s="33"/>
      <c r="J258" s="33">
        <f>LN(Assets!N160/Assets!N161)</f>
        <v>-2.3281474822558754E-2</v>
      </c>
      <c r="K258" s="33"/>
      <c r="L258" s="33">
        <f>LN(Assets!P160/Assets!P161)</f>
        <v>-6.5809390964208202E-3</v>
      </c>
      <c r="M258" s="33"/>
      <c r="N258" s="33">
        <f>LN(Assets!R160/Assets!R161)</f>
        <v>4.539264717072573E-4</v>
      </c>
    </row>
    <row r="259" spans="3:14" x14ac:dyDescent="0.2">
      <c r="C259" s="3">
        <v>45527</v>
      </c>
      <c r="D259" s="33">
        <f>LN(Assets!H161/Assets!H162)</f>
        <v>1.0733736379130934E-2</v>
      </c>
      <c r="E259" s="33"/>
      <c r="F259" s="33">
        <f>LN(Assets!J161/Assets!J162)</f>
        <v>2.0904474200351747E-3</v>
      </c>
      <c r="G259" s="33"/>
      <c r="H259" s="33">
        <f>LN(Assets!L161/Assets!L162)</f>
        <v>4.1089593234562424E-3</v>
      </c>
      <c r="I259" s="33"/>
      <c r="J259" s="33">
        <f>LN(Assets!N161/Assets!N162)</f>
        <v>3.83842430083155E-2</v>
      </c>
      <c r="K259" s="33"/>
      <c r="L259" s="33">
        <f>LN(Assets!P161/Assets!P162)</f>
        <v>-2.6797693571155574E-3</v>
      </c>
      <c r="M259" s="33"/>
      <c r="N259" s="33">
        <f>LN(Assets!R161/Assets!R162)</f>
        <v>1.5787995250797739E-2</v>
      </c>
    </row>
    <row r="260" spans="3:14" x14ac:dyDescent="0.2">
      <c r="C260" s="3">
        <v>45526</v>
      </c>
      <c r="D260" s="33">
        <f>LN(Assets!H162/Assets!H163)</f>
        <v>-3.6508472239364471E-3</v>
      </c>
      <c r="E260" s="33"/>
      <c r="F260" s="33">
        <f>LN(Assets!J162/Assets!J163)</f>
        <v>-1.8247672481716E-2</v>
      </c>
      <c r="G260" s="33"/>
      <c r="H260" s="33">
        <f>LN(Assets!L162/Assets!L163)</f>
        <v>-9.5175867159181596E-3</v>
      </c>
      <c r="I260" s="33"/>
      <c r="J260" s="33">
        <f>LN(Assets!N162/Assets!N163)</f>
        <v>-1.2959144642505341E-2</v>
      </c>
      <c r="K260" s="33"/>
      <c r="L260" s="33">
        <f>LN(Assets!P162/Assets!P163)</f>
        <v>2.0427264803661898E-2</v>
      </c>
      <c r="M260" s="33"/>
      <c r="N260" s="33">
        <f>LN(Assets!R162/Assets!R163)</f>
        <v>-7.8107449701538285E-3</v>
      </c>
    </row>
    <row r="261" spans="3:14" x14ac:dyDescent="0.2">
      <c r="C261" s="3">
        <v>45525</v>
      </c>
      <c r="D261" s="33">
        <f>LN(Assets!H163/Assets!H164)</f>
        <v>3.6521494511140809E-3</v>
      </c>
      <c r="E261" s="33"/>
      <c r="F261" s="33">
        <f>LN(Assets!J163/Assets!J164)</f>
        <v>-7.9138085282371602E-3</v>
      </c>
      <c r="G261" s="33"/>
      <c r="H261" s="33">
        <f>LN(Assets!L163/Assets!L164)</f>
        <v>1.6458741659399556E-3</v>
      </c>
      <c r="I261" s="33"/>
      <c r="J261" s="33">
        <f>LN(Assets!N163/Assets!N164)</f>
        <v>5.7410907213339017E-2</v>
      </c>
      <c r="K261" s="33"/>
      <c r="L261" s="33">
        <f>LN(Assets!P163/Assets!P164)</f>
        <v>1.3751171612824419E-2</v>
      </c>
      <c r="M261" s="33"/>
      <c r="N261" s="33">
        <f>LN(Assets!R163/Assets!R164)</f>
        <v>9.8885478647509559E-3</v>
      </c>
    </row>
    <row r="262" spans="3:14" x14ac:dyDescent="0.2">
      <c r="C262" s="3">
        <v>45524</v>
      </c>
      <c r="D262" s="33">
        <f>LN(Assets!H164/Assets!H165)</f>
        <v>-3.4211712009713999E-3</v>
      </c>
      <c r="E262" s="33"/>
      <c r="F262" s="33">
        <f>LN(Assets!J164/Assets!J165)</f>
        <v>-2.4433295717101538E-3</v>
      </c>
      <c r="G262" s="33"/>
      <c r="H262" s="33">
        <f>LN(Assets!L164/Assets!L165)</f>
        <v>-1.750420239263616E-2</v>
      </c>
      <c r="I262" s="33"/>
      <c r="J262" s="33">
        <f>LN(Assets!N164/Assets!N165)</f>
        <v>1.6036998909817104E-2</v>
      </c>
      <c r="K262" s="33"/>
      <c r="L262" s="33">
        <f>LN(Assets!P164/Assets!P165)</f>
        <v>1.5504186535965254E-2</v>
      </c>
      <c r="M262" s="33"/>
      <c r="N262" s="33">
        <f>LN(Assets!R164/Assets!R165)</f>
        <v>-2.2169802977285914E-2</v>
      </c>
    </row>
    <row r="263" spans="3:14" x14ac:dyDescent="0.2">
      <c r="C263" s="3">
        <v>45523</v>
      </c>
      <c r="D263" s="33">
        <f>LN(Assets!H165/Assets!H166)</f>
        <v>2.6761402989302343E-3</v>
      </c>
      <c r="E263" s="33"/>
      <c r="F263" s="33">
        <f>LN(Assets!J165/Assets!J166)</f>
        <v>-1.5871214117202777E-2</v>
      </c>
      <c r="G263" s="33"/>
      <c r="H263" s="33">
        <f>LN(Assets!L165/Assets!L166)</f>
        <v>3.5673785197569774E-3</v>
      </c>
      <c r="I263" s="33"/>
      <c r="J263" s="33">
        <f>LN(Assets!N165/Assets!N166)</f>
        <v>1.6298381733119548E-2</v>
      </c>
      <c r="K263" s="33"/>
      <c r="L263" s="33">
        <f>LN(Assets!P165/Assets!P166)</f>
        <v>-6.2305497506361975E-3</v>
      </c>
      <c r="M263" s="33"/>
      <c r="N263" s="33">
        <f>LN(Assets!R165/Assets!R166)</f>
        <v>1.0452265119362494E-2</v>
      </c>
    </row>
    <row r="264" spans="3:14" x14ac:dyDescent="0.2">
      <c r="C264" s="3">
        <v>45520</v>
      </c>
      <c r="D264" s="33">
        <f>LN(Assets!H166/Assets!H167)</f>
        <v>9.4993576959602271E-4</v>
      </c>
      <c r="E264" s="33"/>
      <c r="F264" s="33">
        <f>LN(Assets!J166/Assets!J167)</f>
        <v>-2.607812735503777E-2</v>
      </c>
      <c r="G264" s="33"/>
      <c r="H264" s="33">
        <f>LN(Assets!L166/Assets!L167)</f>
        <v>4.5494427717384587E-4</v>
      </c>
      <c r="I264" s="33"/>
      <c r="J264" s="33">
        <f>LN(Assets!N166/Assets!N167)</f>
        <v>-1.8605187831034469E-2</v>
      </c>
      <c r="K264" s="33"/>
      <c r="L264" s="33">
        <f>LN(Assets!P166/Assets!P167)</f>
        <v>-3.7197811025319006E-3</v>
      </c>
      <c r="M264" s="33"/>
      <c r="N264" s="33">
        <f>LN(Assets!R166/Assets!R167)</f>
        <v>2.7447409729191631E-3</v>
      </c>
    </row>
    <row r="265" spans="3:14" x14ac:dyDescent="0.2">
      <c r="C265" s="3">
        <v>45519</v>
      </c>
      <c r="D265" s="33">
        <f>LN(Assets!H167/Assets!H168)</f>
        <v>1.1910765050383148E-2</v>
      </c>
      <c r="E265" s="33"/>
      <c r="F265" s="33">
        <f>LN(Assets!J167/Assets!J168)</f>
        <v>7.0833208843771325E-2</v>
      </c>
      <c r="G265" s="33"/>
      <c r="H265" s="33">
        <f>LN(Assets!L167/Assets!L168)</f>
        <v>1.4734558183776704E-2</v>
      </c>
      <c r="I265" s="33"/>
      <c r="J265" s="33">
        <f>LN(Assets!N167/Assets!N168)</f>
        <v>9.2593254127967262E-3</v>
      </c>
      <c r="K265" s="33"/>
      <c r="L265" s="33">
        <f>LN(Assets!P167/Assets!P168)</f>
        <v>2.7885378255482498E-3</v>
      </c>
      <c r="M265" s="33"/>
      <c r="N265" s="33">
        <f>LN(Assets!R167/Assets!R168)</f>
        <v>2.2467650351927083E-2</v>
      </c>
    </row>
    <row r="266" spans="3:14" x14ac:dyDescent="0.2">
      <c r="C266" s="3">
        <v>45518</v>
      </c>
      <c r="D266" s="33">
        <f>LN(Assets!H168/Assets!H169)</f>
        <v>6.2510409445461056E-3</v>
      </c>
      <c r="E266" s="33"/>
      <c r="F266" s="33">
        <f>LN(Assets!J168/Assets!J169)</f>
        <v>2.0726861134477609E-2</v>
      </c>
      <c r="G266" s="33"/>
      <c r="H266" s="33">
        <f>LN(Assets!L168/Assets!L169)</f>
        <v>-8.1472198355374437E-3</v>
      </c>
      <c r="I266" s="33"/>
      <c r="J266" s="33">
        <f>LN(Assets!N168/Assets!N169)</f>
        <v>4.519199419137334E-2</v>
      </c>
      <c r="K266" s="33"/>
      <c r="L266" s="33">
        <f>LN(Assets!P168/Assets!P169)</f>
        <v>-1.7530819562751526E-2</v>
      </c>
      <c r="M266" s="33"/>
      <c r="N266" s="33">
        <f>LN(Assets!R168/Assets!R169)</f>
        <v>1.2730016322006101E-2</v>
      </c>
    </row>
    <row r="267" spans="3:14" x14ac:dyDescent="0.2">
      <c r="C267" s="3">
        <v>45517</v>
      </c>
      <c r="D267" s="33">
        <f>LN(Assets!H169/Assets!H170)</f>
        <v>9.7408178178675538E-3</v>
      </c>
      <c r="E267" s="33"/>
      <c r="F267" s="33">
        <f>LN(Assets!J169/Assets!J170)</f>
        <v>3.7893769456186249E-2</v>
      </c>
      <c r="G267" s="33"/>
      <c r="H267" s="33">
        <f>LN(Assets!L169/Assets!L170)</f>
        <v>2.4375296103772006E-2</v>
      </c>
      <c r="I267" s="33"/>
      <c r="J267" s="33">
        <f>LN(Assets!N169/Assets!N170)</f>
        <v>2.463178718966564E-2</v>
      </c>
      <c r="K267" s="33"/>
      <c r="L267" s="33">
        <f>LN(Assets!P169/Assets!P170)</f>
        <v>3.4111834506863122E-2</v>
      </c>
      <c r="M267" s="33"/>
      <c r="N267" s="33">
        <f>LN(Assets!R169/Assets!R170)</f>
        <v>2.9615743364438705E-2</v>
      </c>
    </row>
    <row r="268" spans="3:14" x14ac:dyDescent="0.2">
      <c r="C268" s="3">
        <v>45516</v>
      </c>
      <c r="D268" s="33">
        <f>LN(Assets!H170/Assets!H171)</f>
        <v>3.9199132819555333E-3</v>
      </c>
      <c r="E268" s="33"/>
      <c r="F268" s="33">
        <f>LN(Assets!J170/Assets!J171)</f>
        <v>3.1872812213109399E-2</v>
      </c>
      <c r="G268" s="33"/>
      <c r="H268" s="33">
        <f>LN(Assets!L170/Assets!L171)</f>
        <v>-3.666693461532864E-2</v>
      </c>
      <c r="I268" s="33"/>
      <c r="J268" s="33">
        <f>LN(Assets!N170/Assets!N171)</f>
        <v>-3.9124794492232245E-2</v>
      </c>
      <c r="K268" s="33"/>
      <c r="L268" s="33">
        <f>LN(Assets!P170/Assets!P171)</f>
        <v>-4.7738086218628205E-2</v>
      </c>
      <c r="M268" s="33"/>
      <c r="N268" s="33">
        <f>LN(Assets!R170/Assets!R171)</f>
        <v>-1.5037877364540446E-2</v>
      </c>
    </row>
    <row r="269" spans="3:14" x14ac:dyDescent="0.2">
      <c r="C269" s="3">
        <v>45513</v>
      </c>
      <c r="D269" s="33">
        <f>LN(Assets!H171/Assets!H172)</f>
        <v>3.8480489884783154E-3</v>
      </c>
      <c r="E269" s="33"/>
      <c r="F269" s="33">
        <f>LN(Assets!J171/Assets!J172)</f>
        <v>3.1344691746441757E-2</v>
      </c>
      <c r="G269" s="33"/>
      <c r="H269" s="33">
        <f>LN(Assets!L171/Assets!L172)</f>
        <v>1.9317966791369674E-2</v>
      </c>
      <c r="I269" s="33"/>
      <c r="J269" s="33">
        <f>LN(Assets!N171/Assets!N172)</f>
        <v>1.4493007302566824E-2</v>
      </c>
      <c r="K269" s="33"/>
      <c r="L269" s="33">
        <f>LN(Assets!P171/Assets!P172)</f>
        <v>-2.2305757514298277E-2</v>
      </c>
      <c r="M269" s="33"/>
      <c r="N269" s="33">
        <f>LN(Assets!R171/Assets!R172)</f>
        <v>7.0057056672761684E-3</v>
      </c>
    </row>
    <row r="270" spans="3:14" x14ac:dyDescent="0.2">
      <c r="C270" s="3">
        <v>45512</v>
      </c>
      <c r="D270" s="33">
        <f>LN(Assets!H172/Assets!H173)</f>
        <v>1.5628832334112382E-2</v>
      </c>
      <c r="E270" s="33"/>
      <c r="F270" s="33">
        <f>LN(Assets!J172/Assets!J173)</f>
        <v>3.7091833285958498E-2</v>
      </c>
      <c r="G270" s="33"/>
      <c r="H270" s="33">
        <f>LN(Assets!L172/Assets!L173)</f>
        <v>4.1027946534164042E-2</v>
      </c>
      <c r="I270" s="33"/>
      <c r="J270" s="33">
        <f>LN(Assets!N172/Assets!N173)</f>
        <v>7.3260400920728812E-3</v>
      </c>
      <c r="K270" s="33"/>
      <c r="L270" s="33">
        <f>LN(Assets!P172/Assets!P173)</f>
        <v>-3.0415088864437643E-2</v>
      </c>
      <c r="M270" s="33"/>
      <c r="N270" s="33">
        <f>LN(Assets!R172/Assets!R173)</f>
        <v>3.4026951387426486E-2</v>
      </c>
    </row>
    <row r="271" spans="3:14" x14ac:dyDescent="0.2">
      <c r="C271" s="3">
        <v>45511</v>
      </c>
      <c r="D271" s="33">
        <f>LN(Assets!H173/Assets!H174)</f>
        <v>-4.4874359137357335E-3</v>
      </c>
      <c r="E271" s="33"/>
      <c r="F271" s="33">
        <f>LN(Assets!J173/Assets!J174)</f>
        <v>-5.8611453672767128E-2</v>
      </c>
      <c r="G271" s="33"/>
      <c r="H271" s="33">
        <f>LN(Assets!L173/Assets!L174)</f>
        <v>1.4035560723272243E-2</v>
      </c>
      <c r="I271" s="33"/>
      <c r="J271" s="33">
        <f>LN(Assets!N173/Assets!N174)</f>
        <v>-1.7011345826536677E-2</v>
      </c>
      <c r="K271" s="33"/>
      <c r="L271" s="33">
        <f>LN(Assets!P173/Assets!P174)</f>
        <v>-1.5289086041502347E-2</v>
      </c>
      <c r="M271" s="33"/>
      <c r="N271" s="33">
        <f>LN(Assets!R173/Assets!R174)</f>
        <v>2.508466086150062E-4</v>
      </c>
    </row>
    <row r="272" spans="3:14" x14ac:dyDescent="0.2">
      <c r="C272" s="3">
        <v>45510</v>
      </c>
      <c r="D272" s="33">
        <f>LN(Assets!H174/Assets!H175)</f>
        <v>-1.1232278434888575E-2</v>
      </c>
      <c r="E272" s="33"/>
      <c r="F272" s="33">
        <f>LN(Assets!J174/Assets!J175)</f>
        <v>8.8324739380720666E-3</v>
      </c>
      <c r="G272" s="33"/>
      <c r="H272" s="33">
        <f>LN(Assets!L174/Assets!L175)</f>
        <v>-1.8214937160633601E-2</v>
      </c>
      <c r="I272" s="33"/>
      <c r="J272" s="33">
        <f>LN(Assets!N174/Assets!N175)</f>
        <v>3.6813973122716399E-2</v>
      </c>
      <c r="K272" s="33"/>
      <c r="L272" s="33">
        <f>LN(Assets!P174/Assets!P175)</f>
        <v>-2.0579146711009102E-2</v>
      </c>
      <c r="M272" s="33"/>
      <c r="N272" s="33">
        <f>LN(Assets!R174/Assets!R175)</f>
        <v>8.8195103613494218E-3</v>
      </c>
    </row>
    <row r="273" spans="3:14" x14ac:dyDescent="0.2">
      <c r="C273" s="3">
        <v>45506</v>
      </c>
      <c r="D273" s="33">
        <f>LN(Assets!H175/Assets!H176)</f>
        <v>-2.2050759477393794E-2</v>
      </c>
      <c r="E273" s="33"/>
      <c r="F273" s="33">
        <f>LN(Assets!J175/Assets!J176)</f>
        <v>-8.3425187756017635E-2</v>
      </c>
      <c r="G273" s="33"/>
      <c r="H273" s="33">
        <f>LN(Assets!L175/Assets!L176)</f>
        <v>-5.5131808735320358E-2</v>
      </c>
      <c r="I273" s="33"/>
      <c r="J273" s="33">
        <f>LN(Assets!N175/Assets!N176)</f>
        <v>-3.9220713153281385E-2</v>
      </c>
      <c r="K273" s="33"/>
      <c r="L273" s="33">
        <f>LN(Assets!P175/Assets!P176)</f>
        <v>-4.6684143553352361E-3</v>
      </c>
      <c r="M273" s="33"/>
      <c r="N273" s="33">
        <f>LN(Assets!R175/Assets!R176)</f>
        <v>-6.7523810155399294E-2</v>
      </c>
    </row>
    <row r="274" spans="3:14" x14ac:dyDescent="0.2">
      <c r="C274" s="3">
        <v>45505</v>
      </c>
      <c r="D274" s="33">
        <f>LN(Assets!H176/Assets!H177)</f>
        <v>-1.6913604349665916E-2</v>
      </c>
      <c r="E274" s="33"/>
      <c r="F274" s="33">
        <f>LN(Assets!J176/Assets!J177)</f>
        <v>-3.6137499869382569E-2</v>
      </c>
      <c r="G274" s="33"/>
      <c r="H274" s="33">
        <f>LN(Assets!L176/Assets!L177)</f>
        <v>-9.445689977373789E-2</v>
      </c>
      <c r="I274" s="33"/>
      <c r="J274" s="33">
        <f>LN(Assets!N176/Assets!N177)</f>
        <v>-1.1947573421118062E-2</v>
      </c>
      <c r="K274" s="33"/>
      <c r="L274" s="33">
        <f>LN(Assets!P176/Assets!P177)</f>
        <v>-1.2253386805765001E-2</v>
      </c>
      <c r="M274" s="33"/>
      <c r="N274" s="33">
        <f>LN(Assets!R176/Assets!R177)</f>
        <v>-2.9142987968988614E-2</v>
      </c>
    </row>
    <row r="275" spans="3:14" x14ac:dyDescent="0.2">
      <c r="C275" s="3">
        <v>45504</v>
      </c>
      <c r="D275" s="33">
        <f>LN(Assets!H177/Assets!H178)</f>
        <v>1.2458504888877247E-2</v>
      </c>
      <c r="E275" s="33"/>
      <c r="F275" s="33">
        <f>LN(Assets!J177/Assets!J178)</f>
        <v>6.6519951640918978E-2</v>
      </c>
      <c r="G275" s="33"/>
      <c r="H275" s="33">
        <f>LN(Assets!L177/Assets!L178)</f>
        <v>1.4707891747135313E-2</v>
      </c>
      <c r="I275" s="33"/>
      <c r="J275" s="33">
        <f>LN(Assets!N177/Assets!N178)</f>
        <v>1.6766859857067107E-2</v>
      </c>
      <c r="K275" s="33"/>
      <c r="L275" s="33">
        <f>LN(Assets!P177/Assets!P178)</f>
        <v>1.2253386805764967E-2</v>
      </c>
      <c r="M275" s="33"/>
      <c r="N275" s="33">
        <f>LN(Assets!R177/Assets!R178)</f>
        <v>8.7699615866769567E-3</v>
      </c>
    </row>
    <row r="276" spans="3:14" x14ac:dyDescent="0.2">
      <c r="C276" s="3">
        <v>45503</v>
      </c>
      <c r="D276" s="33">
        <f>LN(Assets!H178/Assets!H179)</f>
        <v>1.9778869115124032E-3</v>
      </c>
      <c r="E276" s="33"/>
      <c r="F276" s="33">
        <f>LN(Assets!J178/Assets!J179)</f>
        <v>-2.1898685307637573E-2</v>
      </c>
      <c r="G276" s="33"/>
      <c r="H276" s="33">
        <f>LN(Assets!L178/Assets!L179)</f>
        <v>-1.4236804705093824E-2</v>
      </c>
      <c r="I276" s="33"/>
      <c r="J276" s="33">
        <f>LN(Assets!N178/Assets!N179)</f>
        <v>-2.3867481406643545E-2</v>
      </c>
      <c r="K276" s="33"/>
      <c r="L276" s="33">
        <f>LN(Assets!P178/Assets!P179)</f>
        <v>-4.2902021544209461E-2</v>
      </c>
      <c r="M276" s="33"/>
      <c r="N276" s="33">
        <f>LN(Assets!R178/Assets!R179)</f>
        <v>2.3183030125857948E-4</v>
      </c>
    </row>
    <row r="277" spans="3:14" x14ac:dyDescent="0.2">
      <c r="C277" s="3">
        <v>45502</v>
      </c>
      <c r="D277" s="33">
        <f>LN(Assets!H179/Assets!H180)</f>
        <v>-1.5458048565285616E-3</v>
      </c>
      <c r="E277" s="33"/>
      <c r="F277" s="33">
        <f>LN(Assets!J179/Assets!J180)</f>
        <v>-5.1228310326673757E-2</v>
      </c>
      <c r="G277" s="33"/>
      <c r="H277" s="33">
        <f>LN(Assets!L179/Assets!L180)</f>
        <v>2.1816689569667774E-3</v>
      </c>
      <c r="I277" s="33"/>
      <c r="J277" s="33">
        <f>LN(Assets!N179/Assets!N180)</f>
        <v>-7.0505579966666874E-3</v>
      </c>
      <c r="K277" s="33"/>
      <c r="L277" s="33">
        <f>LN(Assets!P179/Assets!P180)</f>
        <v>-1.3114755978106444E-3</v>
      </c>
      <c r="M277" s="33"/>
      <c r="N277" s="33">
        <f>LN(Assets!R179/Assets!R180)</f>
        <v>-9.6908926387598692E-3</v>
      </c>
    </row>
    <row r="278" spans="3:14" x14ac:dyDescent="0.2">
      <c r="C278" s="3">
        <v>45499</v>
      </c>
      <c r="D278" s="33">
        <f>LN(Assets!H180/Assets!H181)</f>
        <v>9.104733585009744E-3</v>
      </c>
      <c r="E278" s="33"/>
      <c r="F278" s="33">
        <f>LN(Assets!J180/Assets!J181)</f>
        <v>3.1354899098416981E-2</v>
      </c>
      <c r="G278" s="33"/>
      <c r="H278" s="33">
        <f>LN(Assets!L180/Assets!L181)</f>
        <v>1.1577295576569236E-2</v>
      </c>
      <c r="I278" s="33"/>
      <c r="J278" s="33">
        <f>LN(Assets!N180/Assets!N181)</f>
        <v>2.3697791429822961E-2</v>
      </c>
      <c r="K278" s="33"/>
      <c r="L278" s="33">
        <f>LN(Assets!P180/Assets!P181)</f>
        <v>2.8987536873252187E-2</v>
      </c>
      <c r="M278" s="33"/>
      <c r="N278" s="33">
        <f>LN(Assets!R180/Assets!R181)</f>
        <v>1.1315211362294707E-2</v>
      </c>
    </row>
    <row r="279" spans="3:14" x14ac:dyDescent="0.2">
      <c r="C279" s="3">
        <v>45498</v>
      </c>
      <c r="D279" s="33">
        <f>LN(Assets!H181/Assets!H182)</f>
        <v>-1.39410731655421E-3</v>
      </c>
      <c r="E279" s="33"/>
      <c r="F279" s="33">
        <f>LN(Assets!J181/Assets!J182)</f>
        <v>-4.3084438924224609E-2</v>
      </c>
      <c r="G279" s="33"/>
      <c r="H279" s="33">
        <f>LN(Assets!L181/Assets!L182)</f>
        <v>-8.6807132894569476E-3</v>
      </c>
      <c r="I279" s="33"/>
      <c r="J279" s="33">
        <f>LN(Assets!N181/Assets!N182)</f>
        <v>1.4493007302566824E-2</v>
      </c>
      <c r="K279" s="33"/>
      <c r="L279" s="33">
        <f>LN(Assets!P181/Assets!P182)</f>
        <v>9.7614657966890572E-3</v>
      </c>
      <c r="M279" s="33"/>
      <c r="N279" s="33">
        <f>LN(Assets!R181/Assets!R182)</f>
        <v>1.45031781904347E-2</v>
      </c>
    </row>
    <row r="280" spans="3:14" x14ac:dyDescent="0.2">
      <c r="C280" s="3">
        <v>45497</v>
      </c>
      <c r="D280" s="33">
        <f>LN(Assets!H182/Assets!H183)</f>
        <v>-7.6641641403413256E-3</v>
      </c>
      <c r="E280" s="33"/>
      <c r="F280" s="33">
        <f>LN(Assets!J182/Assets!J183)</f>
        <v>-7.7839500124664798E-2</v>
      </c>
      <c r="G280" s="33"/>
      <c r="H280" s="33">
        <f>LN(Assets!L182/Assets!L183)</f>
        <v>-8.4299140412327379E-3</v>
      </c>
      <c r="I280" s="33"/>
      <c r="J280" s="33">
        <f>LN(Assets!N182/Assets!N183)</f>
        <v>-1.927770542590319E-2</v>
      </c>
      <c r="K280" s="33"/>
      <c r="L280" s="33">
        <f>LN(Assets!P182/Assets!P183)</f>
        <v>-1.4338132824100815E-2</v>
      </c>
      <c r="M280" s="33"/>
      <c r="N280" s="33">
        <f>LN(Assets!R182/Assets!R183)</f>
        <v>-1.9137106779130351E-2</v>
      </c>
    </row>
    <row r="281" spans="3:14" x14ac:dyDescent="0.2">
      <c r="C281" s="3">
        <v>45496</v>
      </c>
      <c r="D281" s="33">
        <f>LN(Assets!H183/Assets!H184)</f>
        <v>-2.5784492817365091E-3</v>
      </c>
      <c r="E281" s="33"/>
      <c r="F281" s="33">
        <f>LN(Assets!J183/Assets!J184)</f>
        <v>1.8228352816718436E-2</v>
      </c>
      <c r="G281" s="33"/>
      <c r="H281" s="33">
        <f>LN(Assets!L183/Assets!L184)</f>
        <v>1.6692704401534617E-2</v>
      </c>
      <c r="I281" s="33"/>
      <c r="J281" s="33">
        <f>LN(Assets!N183/Assets!N184)</f>
        <v>1.4423326961105125E-2</v>
      </c>
      <c r="K281" s="33"/>
      <c r="L281" s="33">
        <f>LN(Assets!P183/Assets!P184)</f>
        <v>4.8991634906488828E-2</v>
      </c>
      <c r="M281" s="33"/>
      <c r="N281" s="33">
        <f>LN(Assets!R183/Assets!R184)</f>
        <v>6.4935293105483115E-3</v>
      </c>
    </row>
    <row r="282" spans="3:14" x14ac:dyDescent="0.2">
      <c r="C282" s="3">
        <v>45495</v>
      </c>
      <c r="D282" s="33">
        <f>LN(Assets!H184/Assets!H185)</f>
        <v>8.0003868111653883E-3</v>
      </c>
      <c r="E282" s="33"/>
      <c r="F282" s="33">
        <f>LN(Assets!J184/Assets!J185)</f>
        <v>8.7247153387026051E-3</v>
      </c>
      <c r="G282" s="33"/>
      <c r="H282" s="33">
        <f>LN(Assets!L184/Assets!L185)</f>
        <v>1.5641298245380079E-2</v>
      </c>
      <c r="I282" s="33"/>
      <c r="J282" s="33">
        <f>LN(Assets!N184/Assets!N185)</f>
        <v>0</v>
      </c>
      <c r="K282" s="33"/>
      <c r="L282" s="33">
        <f>LN(Assets!P184/Assets!P185)</f>
        <v>-7.0274358074568621E-3</v>
      </c>
      <c r="M282" s="33"/>
      <c r="N282" s="33">
        <f>LN(Assets!R184/Assets!R185)</f>
        <v>1.1936946889184617E-2</v>
      </c>
    </row>
    <row r="283" spans="3:14" x14ac:dyDescent="0.2">
      <c r="C283" s="3">
        <v>45492</v>
      </c>
      <c r="D283" s="33">
        <f>LN(Assets!H185/Assets!H186)</f>
        <v>-1.6015979767307568E-3</v>
      </c>
      <c r="E283" s="33"/>
      <c r="F283" s="33">
        <f>LN(Assets!J185/Assets!J186)</f>
        <v>5.0384448684486789E-3</v>
      </c>
      <c r="G283" s="33"/>
      <c r="H283" s="33">
        <f>LN(Assets!L185/Assets!L186)</f>
        <v>1.6991326376876907E-3</v>
      </c>
      <c r="I283" s="33"/>
      <c r="J283" s="33">
        <f>LN(Assets!N185/Assets!N186)</f>
        <v>1.4634407518437777E-2</v>
      </c>
      <c r="K283" s="33"/>
      <c r="L283" s="33">
        <f>LN(Assets!P185/Assets!P186)</f>
        <v>-6.7001925698194501E-3</v>
      </c>
      <c r="M283" s="33"/>
      <c r="N283" s="33">
        <f>LN(Assets!R185/Assets!R186)</f>
        <v>4.010858272947569E-3</v>
      </c>
    </row>
    <row r="284" spans="3:14" x14ac:dyDescent="0.2">
      <c r="C284" s="3">
        <v>45491</v>
      </c>
      <c r="D284" s="33">
        <f>LN(Assets!H186/Assets!H187)</f>
        <v>-5.4592347210579827E-3</v>
      </c>
      <c r="E284" s="33"/>
      <c r="F284" s="33">
        <f>LN(Assets!J186/Assets!J187)</f>
        <v>-7.4839058979584228E-3</v>
      </c>
      <c r="G284" s="33"/>
      <c r="H284" s="33">
        <f>LN(Assets!L186/Assets!L187)</f>
        <v>-8.2260186836112768E-3</v>
      </c>
      <c r="I284" s="33"/>
      <c r="J284" s="33">
        <f>LN(Assets!N186/Assets!N187)</f>
        <v>-2.666824708216118E-2</v>
      </c>
      <c r="K284" s="33"/>
      <c r="L284" s="33">
        <f>LN(Assets!P186/Assets!P187)</f>
        <v>-8.864323971292061E-3</v>
      </c>
      <c r="M284" s="33"/>
      <c r="N284" s="33">
        <f>LN(Assets!R186/Assets!R187)</f>
        <v>-1.315190399319878E-2</v>
      </c>
    </row>
    <row r="285" spans="3:14" x14ac:dyDescent="0.2">
      <c r="C285" s="3">
        <v>45490</v>
      </c>
      <c r="D285" s="33">
        <f>LN(Assets!H187/Assets!H188)</f>
        <v>-6.2914415263522292E-3</v>
      </c>
      <c r="E285" s="33"/>
      <c r="F285" s="33">
        <f>LN(Assets!J187/Assets!J188)</f>
        <v>-0.10613152571915084</v>
      </c>
      <c r="G285" s="33"/>
      <c r="H285" s="33">
        <f>LN(Assets!L187/Assets!L188)</f>
        <v>-1.04267483458066E-2</v>
      </c>
      <c r="I285" s="33"/>
      <c r="J285" s="33">
        <f>LN(Assets!N187/Assets!N188)</f>
        <v>-6.4837519495307833E-2</v>
      </c>
      <c r="K285" s="33"/>
      <c r="L285" s="33">
        <f>LN(Assets!P187/Assets!P188)</f>
        <v>-1.4782639848180191E-2</v>
      </c>
      <c r="M285" s="33"/>
      <c r="N285" s="33">
        <f>LN(Assets!R187/Assets!R188)</f>
        <v>-1.1137006062782107E-2</v>
      </c>
    </row>
    <row r="286" spans="3:14" x14ac:dyDescent="0.2">
      <c r="C286" s="3">
        <v>45489</v>
      </c>
      <c r="D286" s="33">
        <f>LN(Assets!H188/Assets!H189)</f>
        <v>1.0654772232492921E-2</v>
      </c>
      <c r="E286" s="33"/>
      <c r="F286" s="33">
        <f>LN(Assets!J188/Assets!J189)</f>
        <v>3.2547077721493144E-2</v>
      </c>
      <c r="G286" s="33"/>
      <c r="H286" s="33">
        <f>LN(Assets!L188/Assets!L189)</f>
        <v>7.6596628458715363E-3</v>
      </c>
      <c r="I286" s="33"/>
      <c r="J286" s="33">
        <f>LN(Assets!N188/Assets!N189)</f>
        <v>3.653374333245607E-2</v>
      </c>
      <c r="K286" s="33"/>
      <c r="L286" s="33">
        <f>LN(Assets!P188/Assets!P189)</f>
        <v>2.1978906718775167E-2</v>
      </c>
      <c r="M286" s="33"/>
      <c r="N286" s="33">
        <f>LN(Assets!R188/Assets!R189)</f>
        <v>2.19276338703011E-2</v>
      </c>
    </row>
    <row r="287" spans="3:14" x14ac:dyDescent="0.2">
      <c r="C287" s="3">
        <v>45488</v>
      </c>
      <c r="D287" s="33">
        <f>LN(Assets!H189/Assets!H190)</f>
        <v>3.4412650745782045E-3</v>
      </c>
      <c r="E287" s="33"/>
      <c r="F287" s="33">
        <f>LN(Assets!J189/Assets!J190)</f>
        <v>3.3024732373940643E-2</v>
      </c>
      <c r="G287" s="33"/>
      <c r="H287" s="33">
        <f>LN(Assets!L189/Assets!L190)</f>
        <v>4.8808185596909789E-2</v>
      </c>
      <c r="I287" s="33"/>
      <c r="J287" s="33">
        <f>LN(Assets!N189/Assets!N190)</f>
        <v>4.6620131058111502E-3</v>
      </c>
      <c r="K287" s="33"/>
      <c r="L287" s="33">
        <f>LN(Assets!P189/Assets!P190)</f>
        <v>-8.8496152769824993E-3</v>
      </c>
      <c r="M287" s="33"/>
      <c r="N287" s="33">
        <f>LN(Assets!R189/Assets!R190)</f>
        <v>-1.3819168270278192E-2</v>
      </c>
    </row>
    <row r="288" spans="3:14" x14ac:dyDescent="0.2">
      <c r="C288" s="3">
        <v>45485</v>
      </c>
      <c r="D288" s="33">
        <f>LN(Assets!H190/Assets!H191)</f>
        <v>5.7230021089714062E-3</v>
      </c>
      <c r="E288" s="33"/>
      <c r="F288" s="33">
        <f>LN(Assets!J190/Assets!J191)</f>
        <v>-8.6371774139930692E-4</v>
      </c>
      <c r="G288" s="33"/>
      <c r="H288" s="33">
        <f>LN(Assets!L190/Assets!L191)</f>
        <v>1.2631479636595005E-2</v>
      </c>
      <c r="I288" s="33"/>
      <c r="J288" s="33">
        <f>LN(Assets!N190/Assets!N191)</f>
        <v>-1.8519047767237527E-2</v>
      </c>
      <c r="K288" s="33"/>
      <c r="L288" s="33">
        <f>LN(Assets!P190/Assets!P191)</f>
        <v>2.0022915875107732E-2</v>
      </c>
      <c r="M288" s="33"/>
      <c r="N288" s="33">
        <f>LN(Assets!R190/Assets!R191)</f>
        <v>4.6631000794648512E-3</v>
      </c>
    </row>
    <row r="289" spans="3:14" x14ac:dyDescent="0.2">
      <c r="C289" s="3">
        <v>45484</v>
      </c>
      <c r="D289" s="33">
        <f>LN(Assets!H191/Assets!H192)</f>
        <v>8.6381098063947198E-3</v>
      </c>
      <c r="E289" s="33"/>
      <c r="F289" s="33">
        <f>LN(Assets!J191/Assets!J192)</f>
        <v>-3.1922123088165708E-2</v>
      </c>
      <c r="G289" s="33"/>
      <c r="H289" s="33">
        <f>LN(Assets!L191/Assets!L192)</f>
        <v>-2.3484445233069268E-2</v>
      </c>
      <c r="I289" s="33"/>
      <c r="J289" s="33">
        <f>LN(Assets!N191/Assets!N192)</f>
        <v>-6.8571697261369125E-3</v>
      </c>
      <c r="K289" s="33"/>
      <c r="L289" s="33">
        <f>LN(Assets!P191/Assets!P192)</f>
        <v>-1.2561225872973191E-2</v>
      </c>
      <c r="M289" s="33"/>
      <c r="N289" s="33">
        <f>LN(Assets!R191/Assets!R192)</f>
        <v>7.9775176713690714E-3</v>
      </c>
    </row>
    <row r="290" spans="3:14" x14ac:dyDescent="0.2">
      <c r="C290" s="3">
        <v>45483</v>
      </c>
      <c r="D290" s="33">
        <f>LN(Assets!H192/Assets!H193)</f>
        <v>1.3864203855323052E-2</v>
      </c>
      <c r="E290" s="33"/>
      <c r="F290" s="33">
        <f>LN(Assets!J192/Assets!J193)</f>
        <v>3.5752835217760043E-2</v>
      </c>
      <c r="G290" s="33"/>
      <c r="H290" s="33">
        <f>LN(Assets!L192/Assets!L193)</f>
        <v>2.0041003493635582E-2</v>
      </c>
      <c r="I290" s="33"/>
      <c r="J290" s="33">
        <f>LN(Assets!N192/Assets!N193)</f>
        <v>-1.1325149357053513E-2</v>
      </c>
      <c r="K290" s="33"/>
      <c r="L290" s="33">
        <f>LN(Assets!P192/Assets!P193)</f>
        <v>-1.9231361927887644E-2</v>
      </c>
      <c r="M290" s="33"/>
      <c r="N290" s="33">
        <f>LN(Assets!R192/Assets!R193)</f>
        <v>7.8042254915816891E-3</v>
      </c>
    </row>
    <row r="291" spans="3:14" x14ac:dyDescent="0.2">
      <c r="C291" s="3">
        <v>45482</v>
      </c>
      <c r="D291" s="33">
        <f>LN(Assets!H193/Assets!H194)</f>
        <v>-3.7868550570718208E-3</v>
      </c>
      <c r="E291" s="33"/>
      <c r="F291" s="33">
        <f>LN(Assets!J193/Assets!J194)</f>
        <v>4.9535604728074352E-4</v>
      </c>
      <c r="G291" s="33"/>
      <c r="H291" s="33">
        <f>LN(Assets!L193/Assets!L194)</f>
        <v>-1.7166720085169077E-2</v>
      </c>
      <c r="I291" s="33"/>
      <c r="J291" s="33">
        <f>LN(Assets!N193/Assets!N194)</f>
        <v>-8.9686699827603751E-3</v>
      </c>
      <c r="K291" s="33"/>
      <c r="L291" s="33">
        <f>LN(Assets!P193/Assets!P194)</f>
        <v>0</v>
      </c>
      <c r="M291" s="33"/>
      <c r="N291" s="33">
        <f>LN(Assets!R193/Assets!R194)</f>
        <v>-4.0279642186225144E-3</v>
      </c>
    </row>
    <row r="292" spans="3:14" x14ac:dyDescent="0.2">
      <c r="C292" s="3">
        <v>45481</v>
      </c>
      <c r="D292" s="33">
        <f>LN(Assets!H194/Assets!H195)</f>
        <v>3.0372211657266829E-3</v>
      </c>
      <c r="E292" s="33"/>
      <c r="F292" s="33">
        <f>LN(Assets!J194/Assets!J195)</f>
        <v>2.7629536020140968E-2</v>
      </c>
      <c r="G292" s="33"/>
      <c r="H292" s="33">
        <f>LN(Assets!L194/Assets!L195)</f>
        <v>1.2720574549439881E-2</v>
      </c>
      <c r="I292" s="33"/>
      <c r="J292" s="33">
        <f>LN(Assets!N194/Assets!N195)</f>
        <v>2.486003731939504E-2</v>
      </c>
      <c r="K292" s="33"/>
      <c r="L292" s="33">
        <f>LN(Assets!P194/Assets!P195)</f>
        <v>-4.3442913830613744E-3</v>
      </c>
      <c r="M292" s="33"/>
      <c r="N292" s="33">
        <f>LN(Assets!R194/Assets!R195)</f>
        <v>2.1304304424310302E-3</v>
      </c>
    </row>
    <row r="293" spans="3:14" x14ac:dyDescent="0.2">
      <c r="C293" s="3">
        <v>45478</v>
      </c>
      <c r="D293" s="33">
        <f>LN(Assets!H195/Assets!H196)</f>
        <v>-8.3511665733866803E-3</v>
      </c>
      <c r="E293" s="33"/>
      <c r="F293" s="33">
        <f>LN(Assets!J195/Assets!J196)</f>
        <v>-2.3409072953086231E-2</v>
      </c>
      <c r="G293" s="33"/>
      <c r="H293" s="33">
        <f>LN(Assets!L195/Assets!L196)</f>
        <v>-2.0077216206625441E-2</v>
      </c>
      <c r="I293" s="33"/>
      <c r="J293" s="33">
        <f>LN(Assets!N195/Assets!N196)</f>
        <v>-1.8141087070650038E-2</v>
      </c>
      <c r="K293" s="33"/>
      <c r="L293" s="33">
        <f>LN(Assets!P195/Assets!P196)</f>
        <v>-1.399000487443045E-2</v>
      </c>
      <c r="M293" s="33"/>
      <c r="N293" s="33">
        <f>LN(Assets!R195/Assets!R196)</f>
        <v>-7.106479038859469E-4</v>
      </c>
    </row>
    <row r="294" spans="3:14" x14ac:dyDescent="0.2">
      <c r="C294" s="3">
        <v>45477</v>
      </c>
      <c r="D294" s="33">
        <f>LN(Assets!H196/Assets!H197)</f>
        <v>9.1527135412874916E-4</v>
      </c>
      <c r="E294" s="33"/>
      <c r="F294" s="33">
        <f>LN(Assets!J196/Assets!J197)</f>
        <v>1.2517374602847364E-2</v>
      </c>
      <c r="G294" s="33"/>
      <c r="H294" s="33">
        <f>LN(Assets!L196/Assets!L197)</f>
        <v>1.1808945093370262E-3</v>
      </c>
      <c r="I294" s="33"/>
      <c r="J294" s="33">
        <f>LN(Assets!N196/Assets!N197)</f>
        <v>2.2497197340153245E-3</v>
      </c>
      <c r="K294" s="33"/>
      <c r="L294" s="33">
        <f>LN(Assets!P196/Assets!P197)</f>
        <v>8.8555523029480009E-3</v>
      </c>
      <c r="M294" s="33"/>
      <c r="N294" s="33">
        <f>LN(Assets!R196/Assets!R197)</f>
        <v>-6.3732069845190238E-3</v>
      </c>
    </row>
    <row r="295" spans="3:14" x14ac:dyDescent="0.2">
      <c r="C295" s="3">
        <v>45476</v>
      </c>
      <c r="D295" s="33">
        <f>LN(Assets!H197/Assets!H198)</f>
        <v>1.2217691823202495E-2</v>
      </c>
      <c r="E295" s="33"/>
      <c r="F295" s="33">
        <f>LN(Assets!J197/Assets!J198)</f>
        <v>-1.0275779641811103E-2</v>
      </c>
      <c r="G295" s="33"/>
      <c r="H295" s="33">
        <f>LN(Assets!L197/Assets!L198)</f>
        <v>-6.3850447839280625E-3</v>
      </c>
      <c r="I295" s="33"/>
      <c r="J295" s="33">
        <f>LN(Assets!N197/Assets!N198)</f>
        <v>2.2547923870893044E-3</v>
      </c>
      <c r="K295" s="33"/>
      <c r="L295" s="33">
        <f>LN(Assets!P197/Assets!P198)</f>
        <v>4.8635599787380237E-3</v>
      </c>
      <c r="M295" s="33"/>
      <c r="N295" s="33">
        <f>LN(Assets!R197/Assets!R198)</f>
        <v>1.4456940971427619E-2</v>
      </c>
    </row>
    <row r="296" spans="3:14" x14ac:dyDescent="0.2">
      <c r="C296" s="3">
        <v>45475</v>
      </c>
      <c r="D296" s="33">
        <f>LN(Assets!H198/Assets!H199)</f>
        <v>3.5596993891582945E-3</v>
      </c>
      <c r="E296" s="33"/>
      <c r="F296" s="33">
        <f>LN(Assets!J198/Assets!J199)</f>
        <v>2.3589867141147882E-2</v>
      </c>
      <c r="G296" s="33"/>
      <c r="H296" s="33">
        <f>LN(Assets!L198/Assets!L199)</f>
        <v>2.547151067446889E-2</v>
      </c>
      <c r="I296" s="33"/>
      <c r="J296" s="33">
        <f>LN(Assets!N198/Assets!N199)</f>
        <v>2.9784561357527495E-2</v>
      </c>
      <c r="K296" s="33"/>
      <c r="L296" s="33">
        <f>LN(Assets!P198/Assets!P199)</f>
        <v>-2.7081922982034851E-4</v>
      </c>
      <c r="M296" s="33"/>
      <c r="N296" s="33">
        <f>LN(Assets!R198/Assets!R199)</f>
        <v>1.9525749898586058E-2</v>
      </c>
    </row>
    <row r="297" spans="3:14" x14ac:dyDescent="0.2">
      <c r="C297" s="3">
        <v>45471</v>
      </c>
      <c r="D297" s="33">
        <f>LN(Assets!H199/Assets!H200)</f>
        <v>-3.0293544429342337E-3</v>
      </c>
      <c r="E297" s="33"/>
      <c r="F297" s="33">
        <f>LN(Assets!J199/Assets!J200)</f>
        <v>3.8301947483886366E-4</v>
      </c>
      <c r="G297" s="33"/>
      <c r="H297" s="33">
        <f>LN(Assets!L199/Assets!L200)</f>
        <v>4.3133021575631286E-2</v>
      </c>
      <c r="I297" s="33"/>
      <c r="J297" s="33">
        <f>LN(Assets!N199/Assets!N200)</f>
        <v>-1.6147986407982103E-2</v>
      </c>
      <c r="K297" s="33"/>
      <c r="L297" s="33">
        <f>LN(Assets!P199/Assets!P200)</f>
        <v>-1.5050001883348848E-2</v>
      </c>
      <c r="M297" s="33"/>
      <c r="N297" s="33">
        <f>LN(Assets!R199/Assets!R200)</f>
        <v>5.3697956708813766E-3</v>
      </c>
    </row>
    <row r="298" spans="3:14" x14ac:dyDescent="0.2">
      <c r="C298" s="3">
        <v>45470</v>
      </c>
      <c r="D298" s="33">
        <f>LN(Assets!H200/Assets!H201)</f>
        <v>6.7797861948848508E-3</v>
      </c>
      <c r="E298" s="33"/>
      <c r="F298" s="33">
        <f>LN(Assets!J200/Assets!J201)</f>
        <v>3.2181316050002212E-2</v>
      </c>
      <c r="G298" s="33"/>
      <c r="H298" s="33">
        <f>LN(Assets!L200/Assets!L201)</f>
        <v>1.5069965800272148E-2</v>
      </c>
      <c r="I298" s="33"/>
      <c r="J298" s="33">
        <f>LN(Assets!N200/Assets!N201)</f>
        <v>9.1954670931003943E-3</v>
      </c>
      <c r="K298" s="33"/>
      <c r="L298" s="33">
        <f>LN(Assets!P200/Assets!P201)</f>
        <v>1.5320821113169321E-2</v>
      </c>
      <c r="M298" s="33"/>
      <c r="N298" s="33">
        <f>LN(Assets!R200/Assets!R201)</f>
        <v>6.1372476912694837E-3</v>
      </c>
    </row>
    <row r="299" spans="3:14" x14ac:dyDescent="0.2">
      <c r="C299" s="3">
        <v>45469</v>
      </c>
      <c r="D299" s="33">
        <f>LN(Assets!H201/Assets!H202)</f>
        <v>2.4872437108507372E-4</v>
      </c>
      <c r="E299" s="33"/>
      <c r="F299" s="33">
        <f>LN(Assets!J201/Assets!J202)</f>
        <v>-4.8674699797565026E-3</v>
      </c>
      <c r="G299" s="33"/>
      <c r="H299" s="33">
        <f>LN(Assets!L201/Assets!L202)</f>
        <v>-1.3347768911734633E-2</v>
      </c>
      <c r="I299" s="33"/>
      <c r="J299" s="33">
        <f>LN(Assets!N201/Assets!N202)</f>
        <v>-9.1954670931002746E-3</v>
      </c>
      <c r="K299" s="33"/>
      <c r="L299" s="33">
        <f>LN(Assets!P201/Assets!P202)</f>
        <v>5.4185858816993072E-4</v>
      </c>
      <c r="M299" s="33"/>
      <c r="N299" s="33">
        <f>LN(Assets!R201/Assets!R202)</f>
        <v>-9.8449429561316268E-4</v>
      </c>
    </row>
    <row r="300" spans="3:14" x14ac:dyDescent="0.2">
      <c r="C300" s="3">
        <v>45468</v>
      </c>
      <c r="D300" s="33">
        <f>LN(Assets!H202/Assets!H203)</f>
        <v>-2.7549988126913264E-3</v>
      </c>
      <c r="E300" s="33"/>
      <c r="F300" s="33">
        <f>LN(Assets!J202/Assets!J203)</f>
        <v>4.4821671112182958E-2</v>
      </c>
      <c r="G300" s="33"/>
      <c r="H300" s="33">
        <f>LN(Assets!L202/Assets!L203)</f>
        <v>1.7251679681800707E-3</v>
      </c>
      <c r="I300" s="33"/>
      <c r="J300" s="33">
        <f>LN(Assets!N202/Assets!N203)</f>
        <v>-2.2625399517978574E-2</v>
      </c>
      <c r="K300" s="33"/>
      <c r="L300" s="33">
        <f>LN(Assets!P202/Assets!P203)</f>
        <v>2.2750056131033872E-2</v>
      </c>
      <c r="M300" s="33"/>
      <c r="N300" s="33">
        <f>LN(Assets!R202/Assets!R203)</f>
        <v>1.3123872900084833E-2</v>
      </c>
    </row>
    <row r="301" spans="3:14" x14ac:dyDescent="0.2">
      <c r="C301" s="3">
        <v>45467</v>
      </c>
      <c r="D301" s="33">
        <f>LN(Assets!H203/Assets!H204)</f>
        <v>1.3535075401695828E-2</v>
      </c>
      <c r="E301" s="33"/>
      <c r="F301" s="33">
        <f>LN(Assets!J203/Assets!J204)</f>
        <v>-5.0448853401895144E-2</v>
      </c>
      <c r="G301" s="33"/>
      <c r="H301" s="33">
        <f>LN(Assets!L203/Assets!L204)</f>
        <v>2.7931121437230143E-3</v>
      </c>
      <c r="I301" s="33"/>
      <c r="J301" s="33">
        <f>LN(Assets!N203/Assets!N204)</f>
        <v>1.5783867701261951E-2</v>
      </c>
      <c r="K301" s="33"/>
      <c r="L301" s="33">
        <f>LN(Assets!P203/Assets!P204)</f>
        <v>-6.3562463553573896E-3</v>
      </c>
      <c r="M301" s="33"/>
      <c r="N301" s="33">
        <f>LN(Assets!R203/Assets!R204)</f>
        <v>-1.2631746905900687E-2</v>
      </c>
    </row>
    <row r="302" spans="3:14" x14ac:dyDescent="0.2">
      <c r="C302" s="3">
        <v>45464</v>
      </c>
      <c r="D302" s="33">
        <f>LN(Assets!H204/Assets!H205)</f>
        <v>-1.2282026320797339E-3</v>
      </c>
      <c r="E302" s="33"/>
      <c r="F302" s="33">
        <f>LN(Assets!J204/Assets!J205)</f>
        <v>3.0059488098379515E-3</v>
      </c>
      <c r="G302" s="33"/>
      <c r="H302" s="33">
        <f>LN(Assets!L204/Assets!L205)</f>
        <v>9.7032915776610416E-3</v>
      </c>
      <c r="I302" s="33"/>
      <c r="J302" s="33">
        <f>LN(Assets!N204/Assets!N205)</f>
        <v>-2.0248160829947424E-2</v>
      </c>
      <c r="K302" s="33"/>
      <c r="L302" s="33">
        <f>LN(Assets!P204/Assets!P205)</f>
        <v>1.7507741900004859E-2</v>
      </c>
      <c r="M302" s="33"/>
      <c r="N302" s="33">
        <f>LN(Assets!R204/Assets!R205)</f>
        <v>1.9886312806082659E-2</v>
      </c>
    </row>
    <row r="303" spans="3:14" x14ac:dyDescent="0.2">
      <c r="C303" s="3">
        <v>45463</v>
      </c>
      <c r="D303" s="33">
        <f>LN(Assets!H205/Assets!H206)</f>
        <v>2.9908429248452204E-3</v>
      </c>
      <c r="E303" s="33"/>
      <c r="F303" s="33">
        <f>LN(Assets!J205/Assets!J206)</f>
        <v>-7.0370630492464364E-2</v>
      </c>
      <c r="G303" s="33"/>
      <c r="H303" s="33">
        <f>LN(Assets!L205/Assets!L206)</f>
        <v>-1.2762007972613367E-2</v>
      </c>
      <c r="I303" s="33"/>
      <c r="J303" s="33">
        <f>LN(Assets!N205/Assets!N206)</f>
        <v>-2.420360174088625E-2</v>
      </c>
      <c r="K303" s="33"/>
      <c r="L303" s="33">
        <f>LN(Assets!P205/Assets!P206)</f>
        <v>-1.1982865968035101E-2</v>
      </c>
      <c r="M303" s="33"/>
      <c r="N303" s="33">
        <f>LN(Assets!R205/Assets!R206)</f>
        <v>1.4414208345237815E-2</v>
      </c>
    </row>
    <row r="304" spans="3:14" x14ac:dyDescent="0.2">
      <c r="C304" s="3">
        <v>45462</v>
      </c>
      <c r="D304" s="33">
        <f>LN(Assets!H206/Assets!H207)</f>
        <v>-4.3776531715002242E-3</v>
      </c>
      <c r="E304" s="33"/>
      <c r="F304" s="33">
        <f>LN(Assets!J206/Assets!J207)</f>
        <v>1.0423786822066175E-2</v>
      </c>
      <c r="G304" s="33"/>
      <c r="H304" s="33">
        <f>LN(Assets!L206/Assets!L207)</f>
        <v>7.9702448427521912E-4</v>
      </c>
      <c r="I304" s="33"/>
      <c r="J304" s="33">
        <f>LN(Assets!N206/Assets!N207)</f>
        <v>-8.6580627431145415E-3</v>
      </c>
      <c r="K304" s="33"/>
      <c r="L304" s="33">
        <f>LN(Assets!P206/Assets!P207)</f>
        <v>-3.7247747466760746E-2</v>
      </c>
      <c r="M304" s="33"/>
      <c r="N304" s="33">
        <f>LN(Assets!R206/Assets!R207)</f>
        <v>-9.8847592325419734E-3</v>
      </c>
    </row>
    <row r="305" spans="3:14" x14ac:dyDescent="0.2">
      <c r="C305" s="3">
        <v>45461</v>
      </c>
      <c r="D305" s="33">
        <f>LN(Assets!H207/Assets!H208)</f>
        <v>1.0842799467259124E-3</v>
      </c>
      <c r="E305" s="33"/>
      <c r="F305" s="33">
        <f>LN(Assets!J207/Assets!J208)</f>
        <v>3.5892923060606534E-2</v>
      </c>
      <c r="G305" s="33"/>
      <c r="H305" s="33">
        <f>LN(Assets!L207/Assets!L208)</f>
        <v>1.3963232429274324E-3</v>
      </c>
      <c r="I305" s="33"/>
      <c r="J305" s="33">
        <f>LN(Assets!N207/Assets!N208)</f>
        <v>-4.6324071674238632E-2</v>
      </c>
      <c r="K305" s="33"/>
      <c r="L305" s="33">
        <f>LN(Assets!P207/Assets!P208)</f>
        <v>-1.4045546920789848E-2</v>
      </c>
      <c r="M305" s="33"/>
      <c r="N305" s="33">
        <f>LN(Assets!R207/Assets!R208)</f>
        <v>-1.5267472130788421E-2</v>
      </c>
    </row>
    <row r="306" spans="3:14" x14ac:dyDescent="0.2">
      <c r="C306" s="3">
        <v>45460</v>
      </c>
      <c r="D306" s="33">
        <f>LN(Assets!H208/Assets!H209)</f>
        <v>-2.3698173673525618E-3</v>
      </c>
      <c r="E306" s="33"/>
      <c r="F306" s="33">
        <f>LN(Assets!J208/Assets!J209)</f>
        <v>2.1831261657234428E-2</v>
      </c>
      <c r="G306" s="33"/>
      <c r="H306" s="33">
        <f>LN(Assets!L208/Assets!L209)</f>
        <v>8.2849408219224634E-3</v>
      </c>
      <c r="I306" s="33"/>
      <c r="J306" s="33">
        <f>LN(Assets!N208/Assets!N209)</f>
        <v>-1.0235503894026752E-2</v>
      </c>
      <c r="K306" s="33"/>
      <c r="L306" s="33">
        <f>LN(Assets!P208/Assets!P209)</f>
        <v>4.4391955746857399E-2</v>
      </c>
      <c r="M306" s="33"/>
      <c r="N306" s="33">
        <f>LN(Assets!R208/Assets!R209)</f>
        <v>1.880461578834608E-2</v>
      </c>
    </row>
    <row r="307" spans="3:14" x14ac:dyDescent="0.2">
      <c r="C307" s="3">
        <v>45457</v>
      </c>
      <c r="D307" s="33">
        <f>LN(Assets!H209/Assets!H210)</f>
        <v>-2.7232965144672592E-3</v>
      </c>
      <c r="E307" s="33"/>
      <c r="F307" s="33">
        <f>LN(Assets!J209/Assets!J210)</f>
        <v>-1.7862240378753627E-2</v>
      </c>
      <c r="G307" s="33"/>
      <c r="H307" s="33">
        <f>LN(Assets!L209/Assets!L210)</f>
        <v>-1.2739282288766732E-3</v>
      </c>
      <c r="I307" s="33"/>
      <c r="J307" s="33">
        <f>LN(Assets!N209/Assets!N210)</f>
        <v>1.023550389402671E-2</v>
      </c>
      <c r="K307" s="33"/>
      <c r="L307" s="33">
        <f>LN(Assets!P209/Assets!P210)</f>
        <v>2.3661507498158228E-2</v>
      </c>
      <c r="M307" s="33"/>
      <c r="N307" s="33">
        <f>LN(Assets!R209/Assets!R210)</f>
        <v>6.0929358333810099E-3</v>
      </c>
    </row>
    <row r="308" spans="3:14" x14ac:dyDescent="0.2">
      <c r="C308" s="3">
        <v>45456</v>
      </c>
      <c r="D308" s="33">
        <f>LN(Assets!H210/Assets!H211)</f>
        <v>-1.2068037049359621E-2</v>
      </c>
      <c r="E308" s="33"/>
      <c r="F308" s="33">
        <f>LN(Assets!J210/Assets!J211)</f>
        <v>3.4189133666182189E-2</v>
      </c>
      <c r="G308" s="33"/>
      <c r="H308" s="33">
        <f>LN(Assets!L210/Assets!L211)</f>
        <v>-6.7448250623598181E-3</v>
      </c>
      <c r="I308" s="33"/>
      <c r="J308" s="33">
        <f>LN(Assets!N210/Assets!N211)</f>
        <v>-8.196767204178515E-3</v>
      </c>
      <c r="K308" s="33"/>
      <c r="L308" s="33">
        <f>LN(Assets!P210/Assets!P211)</f>
        <v>-8.6944875289713397E-3</v>
      </c>
      <c r="M308" s="33"/>
      <c r="N308" s="33">
        <f>LN(Assets!R210/Assets!R211)</f>
        <v>-8.1156925281210095E-3</v>
      </c>
    </row>
    <row r="309" spans="3:14" x14ac:dyDescent="0.2">
      <c r="C309" s="3">
        <v>45455</v>
      </c>
      <c r="D309" s="33">
        <f>LN(Assets!H211/Assets!H212)</f>
        <v>3.3848095516938025E-3</v>
      </c>
      <c r="E309" s="33"/>
      <c r="F309" s="33">
        <f>LN(Assets!J211/Assets!J212)</f>
        <v>2.8273288764624926E-2</v>
      </c>
      <c r="G309" s="33"/>
      <c r="H309" s="33">
        <f>LN(Assets!L211/Assets!L212)</f>
        <v>1.0235230002128419E-2</v>
      </c>
      <c r="I309" s="33"/>
      <c r="J309" s="33">
        <f>LN(Assets!N211/Assets!N212)</f>
        <v>4.0899852515252876E-3</v>
      </c>
      <c r="K309" s="33"/>
      <c r="L309" s="33">
        <f>LN(Assets!P211/Assets!P212)</f>
        <v>-8.8963611492075528E-3</v>
      </c>
      <c r="M309" s="33"/>
      <c r="N309" s="33">
        <f>LN(Assets!R211/Assets!R212)</f>
        <v>1.6297788801281902E-2</v>
      </c>
    </row>
    <row r="310" spans="3:14" x14ac:dyDescent="0.2">
      <c r="C310" s="3">
        <v>45454</v>
      </c>
      <c r="D310" s="33">
        <f>LN(Assets!H212/Assets!H213)</f>
        <v>-8.2999582425171154E-3</v>
      </c>
      <c r="E310" s="33"/>
      <c r="F310" s="33">
        <f>LN(Assets!J212/Assets!J213)</f>
        <v>-2.4416131624990876E-2</v>
      </c>
      <c r="G310" s="33"/>
      <c r="H310" s="33">
        <f>LN(Assets!L212/Assets!L213)</f>
        <v>-6.3675271278670845E-3</v>
      </c>
      <c r="I310" s="33"/>
      <c r="J310" s="33">
        <f>LN(Assets!N212/Assets!N213)</f>
        <v>-2.0470836217247996E-3</v>
      </c>
      <c r="K310" s="33"/>
      <c r="L310" s="33">
        <f>LN(Assets!P212/Assets!P213)</f>
        <v>-3.2673747766943505E-2</v>
      </c>
      <c r="M310" s="33"/>
      <c r="N310" s="33">
        <f>LN(Assets!R212/Assets!R213)</f>
        <v>1.7987927245189702E-3</v>
      </c>
    </row>
    <row r="311" spans="3:14" x14ac:dyDescent="0.2">
      <c r="C311" s="3">
        <v>45453</v>
      </c>
      <c r="D311" s="33">
        <f>LN(Assets!H213/Assets!H214)</f>
        <v>2.8477611518610635E-3</v>
      </c>
      <c r="E311" s="33"/>
      <c r="F311" s="33">
        <f>LN(Assets!J213/Assets!J214)</f>
        <v>4.3023242782611056E-2</v>
      </c>
      <c r="G311" s="33"/>
      <c r="H311" s="33">
        <f>LN(Assets!L213/Assets!L214)</f>
        <v>1.4943735279770349E-2</v>
      </c>
      <c r="I311" s="33"/>
      <c r="J311" s="33">
        <f>LN(Assets!N213/Assets!N214)</f>
        <v>1.4418375424271671E-2</v>
      </c>
      <c r="K311" s="33"/>
      <c r="L311" s="33">
        <f>LN(Assets!P213/Assets!P214)</f>
        <v>-1.6472210915146553E-2</v>
      </c>
      <c r="M311" s="33"/>
      <c r="N311" s="33">
        <f>LN(Assets!R213/Assets!R214)</f>
        <v>2.0003264706469459E-2</v>
      </c>
    </row>
    <row r="312" spans="3:14" x14ac:dyDescent="0.2">
      <c r="C312" s="3">
        <v>45450</v>
      </c>
      <c r="D312" s="33">
        <f>LN(Assets!H214/Assets!H215)</f>
        <v>-1.004165675917436E-2</v>
      </c>
      <c r="E312" s="33"/>
      <c r="F312" s="33">
        <f>LN(Assets!J214/Assets!J215)</f>
        <v>1.1135858611798202E-3</v>
      </c>
      <c r="G312" s="33"/>
      <c r="H312" s="33">
        <f>LN(Assets!L214/Assets!L215)</f>
        <v>-2.5378843761446963E-2</v>
      </c>
      <c r="I312" s="33"/>
      <c r="J312" s="33">
        <f>LN(Assets!N214/Assets!N215)</f>
        <v>-1.850001374392023E-2</v>
      </c>
      <c r="K312" s="33"/>
      <c r="L312" s="33">
        <f>LN(Assets!P214/Assets!P215)</f>
        <v>-2.4724746782761525E-2</v>
      </c>
      <c r="M312" s="33"/>
      <c r="N312" s="33">
        <f>LN(Assets!R214/Assets!R215)</f>
        <v>-1.0181526407969663E-2</v>
      </c>
    </row>
    <row r="313" spans="3:14" x14ac:dyDescent="0.2">
      <c r="C313" s="3">
        <v>45449</v>
      </c>
      <c r="D313" s="33">
        <f>LN(Assets!H215/Assets!H216)</f>
        <v>3.7896008134125671E-3</v>
      </c>
      <c r="E313" s="33"/>
      <c r="F313" s="33">
        <f>LN(Assets!J215/Assets!J216)</f>
        <v>-7.1996711983349851E-2</v>
      </c>
      <c r="G313" s="33"/>
      <c r="H313" s="33">
        <f>LN(Assets!L215/Assets!L216)</f>
        <v>3.2451434154373432E-3</v>
      </c>
      <c r="I313" s="33"/>
      <c r="J313" s="33">
        <f>LN(Assets!N215/Assets!N216)</f>
        <v>-1.6161967956998102E-2</v>
      </c>
      <c r="K313" s="33"/>
      <c r="L313" s="33">
        <f>LN(Assets!P215/Assets!P216)</f>
        <v>-5.1282163669195665E-3</v>
      </c>
      <c r="M313" s="33"/>
      <c r="N313" s="33">
        <f>LN(Assets!R215/Assets!R216)</f>
        <v>1.0395011331048442E-3</v>
      </c>
    </row>
    <row r="314" spans="3:14" x14ac:dyDescent="0.2">
      <c r="C314" s="3">
        <v>45448</v>
      </c>
      <c r="D314" s="33">
        <f>LN(Assets!H216/Assets!H217)</f>
        <v>7.5624975137752719E-3</v>
      </c>
      <c r="E314" s="33"/>
      <c r="F314" s="33">
        <f>LN(Assets!J216/Assets!J217)</f>
        <v>6.8104574737445786E-2</v>
      </c>
      <c r="G314" s="33"/>
      <c r="H314" s="33">
        <f>LN(Assets!L216/Assets!L217)</f>
        <v>3.6959920754311613E-2</v>
      </c>
      <c r="I314" s="33"/>
      <c r="J314" s="33">
        <f>LN(Assets!N216/Assets!N217)</f>
        <v>3.8819991849582236E-2</v>
      </c>
      <c r="K314" s="33"/>
      <c r="L314" s="33">
        <f>LN(Assets!P216/Assets!P217)</f>
        <v>3.2491487107862239E-2</v>
      </c>
      <c r="M314" s="33"/>
      <c r="N314" s="33">
        <f>LN(Assets!R216/Assets!R217)</f>
        <v>1.0717655852938995E-2</v>
      </c>
    </row>
    <row r="315" spans="3:14" x14ac:dyDescent="0.2">
      <c r="C315" s="3">
        <v>45447</v>
      </c>
      <c r="D315" s="33">
        <f>LN(Assets!H217/Assets!H218)</f>
        <v>-6.282384121469582E-3</v>
      </c>
      <c r="E315" s="33"/>
      <c r="F315" s="33">
        <f>LN(Assets!J217/Assets!J218)</f>
        <v>-5.0189744523855398E-2</v>
      </c>
      <c r="G315" s="33"/>
      <c r="H315" s="33">
        <f>LN(Assets!L217/Assets!L218)</f>
        <v>3.4422223327051861E-4</v>
      </c>
      <c r="I315" s="33"/>
      <c r="J315" s="33">
        <f>LN(Assets!N217/Assets!N218)</f>
        <v>2.3183335455657067E-2</v>
      </c>
      <c r="K315" s="33"/>
      <c r="L315" s="33">
        <f>LN(Assets!P217/Assets!P218)</f>
        <v>-4.7443420567105082E-3</v>
      </c>
      <c r="M315" s="33"/>
      <c r="N315" s="33">
        <f>LN(Assets!R217/Assets!R218)</f>
        <v>-3.5372217416879383E-2</v>
      </c>
    </row>
    <row r="316" spans="3:14" x14ac:dyDescent="0.2">
      <c r="C316" s="3">
        <v>45446</v>
      </c>
      <c r="D316" s="33">
        <f>LN(Assets!H218/Assets!H219)</f>
        <v>-6.8684383250241501E-3</v>
      </c>
      <c r="E316" s="33"/>
      <c r="F316" s="33">
        <f>LN(Assets!J218/Assets!J219)</f>
        <v>-5.263862660980426E-3</v>
      </c>
      <c r="G316" s="33"/>
      <c r="H316" s="33">
        <f>LN(Assets!L218/Assets!L219)</f>
        <v>-8.3653806540298307E-3</v>
      </c>
      <c r="I316" s="33"/>
      <c r="J316" s="33">
        <f>LN(Assets!N218/Assets!N219)</f>
        <v>-4.2553255701382716E-3</v>
      </c>
      <c r="K316" s="33"/>
      <c r="L316" s="33">
        <f>LN(Assets!P218/Assets!P219)</f>
        <v>-7.0745742464319071E-3</v>
      </c>
      <c r="M316" s="33"/>
      <c r="N316" s="33">
        <f>LN(Assets!R218/Assets!R219)</f>
        <v>-1.1601643369063474E-2</v>
      </c>
    </row>
    <row r="317" spans="3:14" x14ac:dyDescent="0.2">
      <c r="C317" s="3">
        <v>45443</v>
      </c>
      <c r="D317" s="33">
        <f>LN(Assets!H219/Assets!H220)</f>
        <v>8.9042674356207049E-3</v>
      </c>
      <c r="E317" s="33"/>
      <c r="F317" s="33">
        <f>LN(Assets!J219/Assets!J220)</f>
        <v>-2.9995784725246021E-2</v>
      </c>
      <c r="G317" s="33"/>
      <c r="H317" s="33">
        <f>LN(Assets!L219/Assets!L220)</f>
        <v>1.5899023777447417E-2</v>
      </c>
      <c r="I317" s="33"/>
      <c r="J317" s="33">
        <f>LN(Assets!N219/Assets!N220)</f>
        <v>-1.2658396871923354E-2</v>
      </c>
      <c r="K317" s="33"/>
      <c r="L317" s="33">
        <f>LN(Assets!P219/Assets!P220)</f>
        <v>-3.438881327518703E-2</v>
      </c>
      <c r="M317" s="33"/>
      <c r="N317" s="33">
        <f>LN(Assets!R219/Assets!R220)</f>
        <v>1.008073052835695E-2</v>
      </c>
    </row>
    <row r="318" spans="3:14" x14ac:dyDescent="0.2">
      <c r="C318" s="3">
        <v>45442</v>
      </c>
      <c r="D318" s="33">
        <f>LN(Assets!H220/Assets!H221)</f>
        <v>7.9023028848591512E-3</v>
      </c>
      <c r="E318" s="33"/>
      <c r="F318" s="33">
        <f>LN(Assets!J220/Assets!J221)</f>
        <v>-3.4181731502019599E-2</v>
      </c>
      <c r="G318" s="33"/>
      <c r="H318" s="33">
        <f>LN(Assets!L220/Assets!L221)</f>
        <v>-4.4970447294532374E-2</v>
      </c>
      <c r="I318" s="33"/>
      <c r="J318" s="33">
        <f>LN(Assets!N220/Assets!N221)</f>
        <v>2.0986366569212054E-3</v>
      </c>
      <c r="K318" s="33"/>
      <c r="L318" s="33">
        <f>LN(Assets!P220/Assets!P221)</f>
        <v>3.6218161753465948E-2</v>
      </c>
      <c r="M318" s="33"/>
      <c r="N318" s="33">
        <f>LN(Assets!R220/Assets!R221)</f>
        <v>-2.5507759547212749E-2</v>
      </c>
    </row>
    <row r="319" spans="3:14" x14ac:dyDescent="0.2">
      <c r="C319" s="3">
        <v>45441</v>
      </c>
      <c r="D319" s="33">
        <f>LN(Assets!H221/Assets!H222)</f>
        <v>-1.6623789322817543E-2</v>
      </c>
      <c r="E319" s="33"/>
      <c r="F319" s="33">
        <f>LN(Assets!J221/Assets!J222)</f>
        <v>2.0947577125680957E-3</v>
      </c>
      <c r="G319" s="33"/>
      <c r="H319" s="33">
        <f>LN(Assets!L221/Assets!L222)</f>
        <v>1.2816409329041954E-2</v>
      </c>
      <c r="I319" s="33"/>
      <c r="J319" s="33">
        <f>LN(Assets!N221/Assets!N222)</f>
        <v>-3.9139908337270324E-2</v>
      </c>
      <c r="K319" s="33"/>
      <c r="L319" s="33">
        <f>LN(Assets!P221/Assets!P222)</f>
        <v>1.2635072013287674E-2</v>
      </c>
      <c r="M319" s="33"/>
      <c r="N319" s="33">
        <f>LN(Assets!R221/Assets!R222)</f>
        <v>-6.1538655743782235E-3</v>
      </c>
    </row>
    <row r="320" spans="3:14" x14ac:dyDescent="0.2">
      <c r="C320" s="3">
        <v>45440</v>
      </c>
      <c r="D320" s="33">
        <f>LN(Assets!H222/Assets!H223)</f>
        <v>-4.8536748568981589E-3</v>
      </c>
      <c r="E320" s="33"/>
      <c r="F320" s="33">
        <f>LN(Assets!J222/Assets!J223)</f>
        <v>5.8143294870332653E-3</v>
      </c>
      <c r="G320" s="33"/>
      <c r="H320" s="33">
        <f>LN(Assets!L222/Assets!L223)</f>
        <v>-1.3427326622952233E-3</v>
      </c>
      <c r="I320" s="33"/>
      <c r="J320" s="33">
        <f>LN(Assets!N222/Assets!N223)</f>
        <v>-2.9852963149681045E-2</v>
      </c>
      <c r="K320" s="33"/>
      <c r="L320" s="33">
        <f>LN(Assets!P222/Assets!P223)</f>
        <v>0</v>
      </c>
      <c r="M320" s="33"/>
      <c r="N320" s="33">
        <f>LN(Assets!R222/Assets!R223)</f>
        <v>-4.6517405462717133E-3</v>
      </c>
    </row>
    <row r="321" spans="3:14" x14ac:dyDescent="0.2">
      <c r="C321" s="3">
        <v>45439</v>
      </c>
      <c r="D321" s="33">
        <f>LN(Assets!H223/Assets!H224)</f>
        <v>2.3497440570218399E-3</v>
      </c>
      <c r="E321" s="33"/>
      <c r="F321" s="33">
        <f>LN(Assets!J223/Assets!J224)</f>
        <v>3.2310205814463189E-3</v>
      </c>
      <c r="G321" s="33"/>
      <c r="H321" s="33">
        <f>LN(Assets!L223/Assets!L224)</f>
        <v>-4.4182693376647771E-3</v>
      </c>
      <c r="I321" s="33"/>
      <c r="J321" s="33">
        <f>LN(Assets!N223/Assets!N224)</f>
        <v>3.929278139889557E-3</v>
      </c>
      <c r="K321" s="33"/>
      <c r="L321" s="33">
        <f>LN(Assets!P223/Assets!P224)</f>
        <v>-2.666127598780408E-2</v>
      </c>
      <c r="M321" s="33"/>
      <c r="N321" s="33">
        <f>LN(Assets!R223/Assets!R224)</f>
        <v>-3.657202662175093E-3</v>
      </c>
    </row>
    <row r="322" spans="3:14" x14ac:dyDescent="0.2">
      <c r="C322" s="3">
        <v>45436</v>
      </c>
      <c r="D322" s="33">
        <f>LN(Assets!H224/Assets!H225)</f>
        <v>5.3942414174245031E-3</v>
      </c>
      <c r="E322" s="33"/>
      <c r="F322" s="33">
        <f>LN(Assets!J224/Assets!J225)</f>
        <v>5.4613659921926405E-2</v>
      </c>
      <c r="G322" s="33"/>
      <c r="H322" s="33">
        <f>LN(Assets!L224/Assets!L225)</f>
        <v>-7.453285318415704E-3</v>
      </c>
      <c r="I322" s="33"/>
      <c r="J322" s="33">
        <f>LN(Assets!N224/Assets!N225)</f>
        <v>2.1891421481853197E-2</v>
      </c>
      <c r="K322" s="33"/>
      <c r="L322" s="33">
        <f>LN(Assets!P224/Assets!P225)</f>
        <v>7.5081258853322598E-3</v>
      </c>
      <c r="M322" s="33"/>
      <c r="N322" s="33">
        <f>LN(Assets!R224/Assets!R225)</f>
        <v>-1.497612531353542E-2</v>
      </c>
    </row>
    <row r="323" spans="3:14" x14ac:dyDescent="0.2">
      <c r="C323" s="3">
        <v>45435</v>
      </c>
      <c r="D323" s="33">
        <f>LN(Assets!H225/Assets!H226)</f>
        <v>-6.5534702773068429E-3</v>
      </c>
      <c r="E323" s="33"/>
      <c r="F323" s="33">
        <f>LN(Assets!J225/Assets!J226)</f>
        <v>3.1108576203211381E-2</v>
      </c>
      <c r="G323" s="33"/>
      <c r="H323" s="33">
        <f>LN(Assets!L225/Assets!L226)</f>
        <v>-2.8045636154235342E-2</v>
      </c>
      <c r="I323" s="33"/>
      <c r="J323" s="33">
        <f>LN(Assets!N225/Assets!N226)</f>
        <v>-2.582069962174275E-2</v>
      </c>
      <c r="K323" s="33"/>
      <c r="L323" s="33">
        <f>LN(Assets!P225/Assets!P226)</f>
        <v>-2.0576857688759501E-2</v>
      </c>
      <c r="M323" s="33"/>
      <c r="N323" s="33">
        <f>LN(Assets!R225/Assets!R226)</f>
        <v>-1.4755146323978357E-2</v>
      </c>
    </row>
    <row r="324" spans="3:14" x14ac:dyDescent="0.2">
      <c r="C324" s="3">
        <v>45434</v>
      </c>
      <c r="D324" s="33">
        <f>LN(Assets!H226/Assets!H227)</f>
        <v>-5.4178517759516506E-3</v>
      </c>
      <c r="E324" s="33"/>
      <c r="F324" s="33">
        <f>LN(Assets!J226/Assets!J227)</f>
        <v>2.5964780280964533E-2</v>
      </c>
      <c r="G324" s="33"/>
      <c r="H324" s="33">
        <f>LN(Assets!L226/Assets!L227)</f>
        <v>2.7112533553761398E-3</v>
      </c>
      <c r="I324" s="33"/>
      <c r="J324" s="33">
        <f>LN(Assets!N226/Assets!N227)</f>
        <v>-3.9138993211364406E-3</v>
      </c>
      <c r="K324" s="33"/>
      <c r="L324" s="33">
        <f>LN(Assets!P226/Assets!P227)</f>
        <v>9.2072261684608952E-3</v>
      </c>
      <c r="M324" s="33"/>
      <c r="N324" s="33">
        <f>LN(Assets!R226/Assets!R227)</f>
        <v>2.8388947384248714E-3</v>
      </c>
    </row>
    <row r="325" spans="3:14" x14ac:dyDescent="0.2">
      <c r="C325" s="3">
        <v>45433</v>
      </c>
      <c r="D325" s="33">
        <f>LN(Assets!H227/Assets!H228)</f>
        <v>1.2418343288785942E-4</v>
      </c>
      <c r="E325" s="33"/>
      <c r="F325" s="33">
        <f>LN(Assets!J227/Assets!J228)</f>
        <v>2.2805042354104792E-2</v>
      </c>
      <c r="G325" s="33"/>
      <c r="H325" s="33">
        <f>LN(Assets!L227/Assets!L228)</f>
        <v>-9.7775126031308546E-3</v>
      </c>
      <c r="I325" s="33"/>
      <c r="J325" s="33">
        <f>LN(Assets!N227/Assets!N228)</f>
        <v>-2.5073637552115963E-2</v>
      </c>
      <c r="K325" s="33"/>
      <c r="L325" s="33">
        <f>LN(Assets!P227/Assets!P228)</f>
        <v>1.0850016024065844E-2</v>
      </c>
      <c r="M325" s="33"/>
      <c r="N325" s="33">
        <f>LN(Assets!R227/Assets!R228)</f>
        <v>1.7928052786773958E-2</v>
      </c>
    </row>
    <row r="326" spans="3:14" x14ac:dyDescent="0.2">
      <c r="C326" s="3">
        <v>45429</v>
      </c>
      <c r="D326" s="33">
        <f>LN(Assets!H228/Assets!H229)</f>
        <v>7.3959573324081443E-3</v>
      </c>
      <c r="E326" s="33"/>
      <c r="F326" s="33">
        <f>LN(Assets!J228/Assets!J229)</f>
        <v>-1.6382233343440019E-2</v>
      </c>
      <c r="G326" s="33"/>
      <c r="H326" s="33">
        <f>LN(Assets!L228/Assets!L229)</f>
        <v>-1.0126507577890074E-2</v>
      </c>
      <c r="I326" s="33"/>
      <c r="J326" s="33">
        <f>LN(Assets!N228/Assets!N229)</f>
        <v>-2.6317308317373302E-2</v>
      </c>
      <c r="K326" s="33"/>
      <c r="L326" s="33">
        <f>LN(Assets!P228/Assets!P229)</f>
        <v>-6.4725145056174788E-3</v>
      </c>
      <c r="M326" s="33"/>
      <c r="N326" s="33">
        <f>LN(Assets!R228/Assets!R229)</f>
        <v>-7.2098365667496436E-3</v>
      </c>
    </row>
    <row r="327" spans="3:14" x14ac:dyDescent="0.2">
      <c r="C327" s="3">
        <v>45428</v>
      </c>
      <c r="D327" s="33">
        <f>LN(Assets!H229/Assets!H230)</f>
        <v>6.760183540509895E-4</v>
      </c>
      <c r="E327" s="33"/>
      <c r="F327" s="33">
        <f>LN(Assets!J229/Assets!J230)</f>
        <v>8.2988028146950641E-3</v>
      </c>
      <c r="G327" s="33"/>
      <c r="H327" s="33">
        <f>LN(Assets!L229/Assets!L230)</f>
        <v>3.7511256913764973E-2</v>
      </c>
      <c r="I327" s="33"/>
      <c r="J327" s="33">
        <f>LN(Assets!N229/Assets!N230)</f>
        <v>-1.1070223754247033E-2</v>
      </c>
      <c r="K327" s="33"/>
      <c r="L327" s="33">
        <f>LN(Assets!P229/Assets!P230)</f>
        <v>0</v>
      </c>
      <c r="M327" s="33"/>
      <c r="N327" s="33">
        <f>LN(Assets!R229/Assets!R230)</f>
        <v>-5.7306747089850953E-3</v>
      </c>
    </row>
    <row r="328" spans="3:14" x14ac:dyDescent="0.2">
      <c r="C328" s="3">
        <v>45427</v>
      </c>
      <c r="D328" s="33">
        <f>LN(Assets!H230/Assets!H231)</f>
        <v>1.860398801947737E-3</v>
      </c>
      <c r="E328" s="33"/>
      <c r="F328" s="33">
        <f>LN(Assets!J230/Assets!J231)</f>
        <v>7.7045790489965293E-2</v>
      </c>
      <c r="G328" s="33"/>
      <c r="H328" s="33">
        <f>LN(Assets!L230/Assets!L231)</f>
        <v>6.0048350945267562E-3</v>
      </c>
      <c r="I328" s="33"/>
      <c r="J328" s="33">
        <f>LN(Assets!N230/Assets!N231)</f>
        <v>5.081055240376102E-2</v>
      </c>
      <c r="K328" s="33"/>
      <c r="L328" s="33">
        <f>LN(Assets!P230/Assets!P231)</f>
        <v>1.1680859612755808E-2</v>
      </c>
      <c r="M328" s="33"/>
      <c r="N328" s="33">
        <f>LN(Assets!R230/Assets!R231)</f>
        <v>7.168489478612497E-3</v>
      </c>
    </row>
    <row r="329" spans="3:14" x14ac:dyDescent="0.2">
      <c r="C329" s="3">
        <v>45426</v>
      </c>
      <c r="D329" s="33">
        <f>LN(Assets!H231/Assets!H232)</f>
        <v>-7.114205768463123E-4</v>
      </c>
      <c r="E329" s="33"/>
      <c r="F329" s="33">
        <f>LN(Assets!J231/Assets!J232)</f>
        <v>2.4398986747662482E-2</v>
      </c>
      <c r="G329" s="33"/>
      <c r="H329" s="33">
        <f>LN(Assets!L231/Assets!L232)</f>
        <v>9.7769393074908072E-3</v>
      </c>
      <c r="I329" s="33"/>
      <c r="J329" s="33">
        <f>LN(Assets!N231/Assets!N232)</f>
        <v>1.3605652055778459E-2</v>
      </c>
      <c r="K329" s="33"/>
      <c r="L329" s="33">
        <f>LN(Assets!P231/Assets!P232)</f>
        <v>0</v>
      </c>
      <c r="M329" s="33"/>
      <c r="N329" s="33">
        <f>LN(Assets!R231/Assets!R232)</f>
        <v>-3.1126566493512218E-3</v>
      </c>
    </row>
    <row r="330" spans="3:14" x14ac:dyDescent="0.2">
      <c r="C330" s="3">
        <v>45425</v>
      </c>
      <c r="D330" s="33">
        <f>LN(Assets!H232/Assets!H233)</f>
        <v>-2.2329881990150462E-3</v>
      </c>
      <c r="E330" s="33"/>
      <c r="F330" s="33">
        <f>LN(Assets!J232/Assets!J233)</f>
        <v>-3.5926491918730014E-2</v>
      </c>
      <c r="G330" s="33"/>
      <c r="H330" s="33">
        <f>LN(Assets!L232/Assets!L233)</f>
        <v>1.0030426465356811E-3</v>
      </c>
      <c r="I330" s="33"/>
      <c r="J330" s="33">
        <f>LN(Assets!N232/Assets!N233)</f>
        <v>9.8329209162390536E-3</v>
      </c>
      <c r="K330" s="33"/>
      <c r="L330" s="33">
        <f>LN(Assets!P232/Assets!P233)</f>
        <v>1.2083152002922639E-2</v>
      </c>
      <c r="M330" s="33"/>
      <c r="N330" s="33">
        <f>LN(Assets!R232/Assets!R233)</f>
        <v>8.8846784464734312E-3</v>
      </c>
    </row>
    <row r="331" spans="3:14" x14ac:dyDescent="0.2">
      <c r="C331" s="3">
        <v>45422</v>
      </c>
      <c r="D331" s="33">
        <f>LN(Assets!H233/Assets!H234)</f>
        <v>-2.9943117064924166E-3</v>
      </c>
      <c r="E331" s="33"/>
      <c r="F331" s="33">
        <f>LN(Assets!J233/Assets!J234)</f>
        <v>4.0800963288488519E-3</v>
      </c>
      <c r="G331" s="33"/>
      <c r="H331" s="33">
        <f>LN(Assets!L233/Assets!L234)</f>
        <v>-3.8062214159633764E-3</v>
      </c>
      <c r="I331" s="33"/>
      <c r="J331" s="33">
        <f>LN(Assets!N233/Assets!N234)</f>
        <v>-1.9743343037177405E-3</v>
      </c>
      <c r="K331" s="33"/>
      <c r="L331" s="33">
        <f>LN(Assets!P233/Assets!P234)</f>
        <v>9.0258112073125073E-3</v>
      </c>
      <c r="M331" s="33"/>
      <c r="N331" s="33">
        <f>LN(Assets!R233/Assets!R234)</f>
        <v>6.2908506521526667E-3</v>
      </c>
    </row>
    <row r="332" spans="3:14" x14ac:dyDescent="0.2">
      <c r="C332" s="3">
        <v>45421</v>
      </c>
      <c r="D332" s="33">
        <f>LN(Assets!H234/Assets!H235)</f>
        <v>5.2277491586577218E-3</v>
      </c>
      <c r="E332" s="33"/>
      <c r="F332" s="33">
        <f>LN(Assets!J234/Assets!J235)</f>
        <v>-2.7186140304156718E-2</v>
      </c>
      <c r="G332" s="33"/>
      <c r="H332" s="33">
        <f>LN(Assets!L234/Assets!L235)</f>
        <v>3.8938161765700023E-2</v>
      </c>
      <c r="I332" s="33"/>
      <c r="J332" s="33">
        <f>LN(Assets!N234/Assets!N235)</f>
        <v>-0.12237471312355641</v>
      </c>
      <c r="K332" s="33"/>
      <c r="L332" s="33">
        <f>LN(Assets!P234/Assets!P235)</f>
        <v>-1.5873349156290233E-2</v>
      </c>
      <c r="M332" s="33"/>
      <c r="N332" s="33">
        <f>LN(Assets!R234/Assets!R235)</f>
        <v>-1.7086205581499266E-2</v>
      </c>
    </row>
    <row r="333" spans="3:14" x14ac:dyDescent="0.2">
      <c r="C333" s="3">
        <v>45420</v>
      </c>
      <c r="D333" s="33">
        <f>LN(Assets!H235/Assets!H236)</f>
        <v>-1.41235288836636E-3</v>
      </c>
      <c r="E333" s="33"/>
      <c r="F333" s="33">
        <f>LN(Assets!J235/Assets!J236)</f>
        <v>3.2956847282637619E-2</v>
      </c>
      <c r="G333" s="33"/>
      <c r="H333" s="33">
        <f>LN(Assets!L235/Assets!L236)</f>
        <v>-8.8306886372481498E-3</v>
      </c>
      <c r="I333" s="33"/>
      <c r="J333" s="33">
        <f>LN(Assets!N235/Assets!N236)</f>
        <v>2.6526754333428604E-2</v>
      </c>
      <c r="K333" s="33"/>
      <c r="L333" s="33">
        <f>LN(Assets!P235/Assets!P236)</f>
        <v>-1.0703665694162133E-2</v>
      </c>
      <c r="M333" s="33"/>
      <c r="N333" s="33">
        <f>LN(Assets!R235/Assets!R236)</f>
        <v>1.0313078575653549E-2</v>
      </c>
    </row>
    <row r="334" spans="3:14" x14ac:dyDescent="0.2">
      <c r="C334" s="3">
        <v>45419</v>
      </c>
      <c r="D334" s="33">
        <f>LN(Assets!H236/Assets!H237)</f>
        <v>1.3984261345553273E-3</v>
      </c>
      <c r="E334" s="33"/>
      <c r="F334" s="33">
        <f>LN(Assets!J236/Assets!J237)</f>
        <v>2.4513676422516544E-2</v>
      </c>
      <c r="G334" s="33"/>
      <c r="H334" s="33">
        <f>LN(Assets!L236/Assets!L237)</f>
        <v>-4.0385055886692445E-2</v>
      </c>
      <c r="I334" s="33"/>
      <c r="J334" s="33">
        <f>LN(Assets!N236/Assets!N237)</f>
        <v>9.0009608589761234E-3</v>
      </c>
      <c r="K334" s="33"/>
      <c r="L334" s="33">
        <f>LN(Assets!P236/Assets!P237)</f>
        <v>1.7286967943359554E-2</v>
      </c>
      <c r="M334" s="33"/>
      <c r="N334" s="33">
        <f>LN(Assets!R236/Assets!R237)</f>
        <v>4.8332621880190739E-3</v>
      </c>
    </row>
    <row r="335" spans="3:14" x14ac:dyDescent="0.2">
      <c r="C335" s="3">
        <v>45418</v>
      </c>
      <c r="D335" s="33">
        <f>LN(Assets!H237/Assets!H238)</f>
        <v>1.4118398925159171E-2</v>
      </c>
      <c r="E335" s="33"/>
      <c r="F335" s="33">
        <f>LN(Assets!J237/Assets!J238)</f>
        <v>4.3055119249924521E-2</v>
      </c>
      <c r="G335" s="33"/>
      <c r="H335" s="33">
        <f>LN(Assets!L237/Assets!L238)</f>
        <v>1.3862760909054983E-3</v>
      </c>
      <c r="I335" s="33"/>
      <c r="J335" s="33">
        <f>LN(Assets!N237/Assets!N238)</f>
        <v>2.7499441360550526E-2</v>
      </c>
      <c r="K335" s="33"/>
      <c r="L335" s="33">
        <f>LN(Assets!P237/Assets!P238)</f>
        <v>-3.9551798429279432E-3</v>
      </c>
      <c r="M335" s="33"/>
      <c r="N335" s="33">
        <f>LN(Assets!R237/Assets!R238)</f>
        <v>-2.4195511440896988E-3</v>
      </c>
    </row>
    <row r="336" spans="3:14" x14ac:dyDescent="0.2">
      <c r="C336" s="3">
        <v>45415</v>
      </c>
      <c r="D336" s="33">
        <f>LN(Assets!H238/Assets!H239)</f>
        <v>5.6745965618411835E-3</v>
      </c>
      <c r="E336" s="33"/>
      <c r="F336" s="33">
        <f>LN(Assets!J238/Assets!J239)</f>
        <v>2.0245938840622649E-2</v>
      </c>
      <c r="G336" s="33"/>
      <c r="H336" s="33">
        <f>LN(Assets!L238/Assets!L239)</f>
        <v>3.3084129958740314E-3</v>
      </c>
      <c r="I336" s="33"/>
      <c r="J336" s="33">
        <f>LN(Assets!N238/Assets!N239)</f>
        <v>1.8762276455522819E-2</v>
      </c>
      <c r="K336" s="33"/>
      <c r="L336" s="33">
        <f>LN(Assets!P238/Assets!P239)</f>
        <v>4.9079679759236793E-2</v>
      </c>
      <c r="M336" s="33"/>
      <c r="N336" s="33">
        <f>LN(Assets!R238/Assets!R239)</f>
        <v>-0.15959052798105822</v>
      </c>
    </row>
    <row r="337" spans="3:14" x14ac:dyDescent="0.2">
      <c r="C337" s="3">
        <v>45414</v>
      </c>
      <c r="D337" s="33">
        <f>LN(Assets!H239/Assets!H240)</f>
        <v>4.3474765369840391E-3</v>
      </c>
      <c r="E337" s="33"/>
      <c r="F337" s="33">
        <f>LN(Assets!J239/Assets!J240)</f>
        <v>5.0008438941610877E-3</v>
      </c>
      <c r="G337" s="33"/>
      <c r="H337" s="33">
        <f>LN(Assets!L239/Assets!L240)</f>
        <v>-1.0614201241773541E-2</v>
      </c>
      <c r="I337" s="33"/>
      <c r="J337" s="33">
        <f>LN(Assets!N239/Assets!N240)</f>
        <v>3.7950709685517555E-3</v>
      </c>
      <c r="K337" s="33"/>
      <c r="L337" s="33">
        <f>LN(Assets!P239/Assets!P240)</f>
        <v>-5.4329035645380525E-2</v>
      </c>
      <c r="M337" s="33"/>
      <c r="N337" s="33">
        <f>LN(Assets!R239/Assets!R240)</f>
        <v>-2.674623546907695E-3</v>
      </c>
    </row>
    <row r="338" spans="3:14" x14ac:dyDescent="0.2">
      <c r="C338" s="3">
        <v>45413</v>
      </c>
      <c r="D338" s="33">
        <f>LN(Assets!H240/Assets!H241)</f>
        <v>6.4498176744245755E-4</v>
      </c>
      <c r="E338" s="33"/>
      <c r="F338" s="33">
        <f>LN(Assets!J240/Assets!J241)</f>
        <v>3.8509884343866031E-3</v>
      </c>
      <c r="G338" s="33"/>
      <c r="H338" s="33">
        <f>LN(Assets!L240/Assets!L241)</f>
        <v>3.9459445824981086E-2</v>
      </c>
      <c r="I338" s="33"/>
      <c r="J338" s="33">
        <f>LN(Assets!N240/Assets!N241)</f>
        <v>-1.6965534158296668E-2</v>
      </c>
      <c r="K338" s="33"/>
      <c r="L338" s="33">
        <f>LN(Assets!P240/Assets!P241)</f>
        <v>1.2910204342263837E-2</v>
      </c>
      <c r="M338" s="33"/>
      <c r="N338" s="33">
        <f>LN(Assets!R240/Assets!R241)</f>
        <v>1.233552787998879E-3</v>
      </c>
    </row>
    <row r="339" spans="3:14" x14ac:dyDescent="0.2">
      <c r="C339" s="3">
        <v>45412</v>
      </c>
      <c r="D339" s="33">
        <f>LN(Assets!H241/Assets!H242)</f>
        <v>-1.3588413488867112E-2</v>
      </c>
      <c r="E339" s="33"/>
      <c r="F339" s="33">
        <f>LN(Assets!J241/Assets!J242)</f>
        <v>-9.3505440004252819E-3</v>
      </c>
      <c r="G339" s="33"/>
      <c r="H339" s="33">
        <f>LN(Assets!L241/Assets!L242)</f>
        <v>-1.4627470123799422E-2</v>
      </c>
      <c r="I339" s="33"/>
      <c r="J339" s="33">
        <f>LN(Assets!N241/Assets!N242)</f>
        <v>-2.4008540052009156E-2</v>
      </c>
      <c r="K339" s="33"/>
      <c r="L339" s="33">
        <f>LN(Assets!P241/Assets!P242)</f>
        <v>1.6308341656876366E-2</v>
      </c>
      <c r="M339" s="33"/>
      <c r="N339" s="33">
        <f>LN(Assets!R241/Assets!R242)</f>
        <v>2.2654731139266468E-3</v>
      </c>
    </row>
    <row r="340" spans="3:14" x14ac:dyDescent="0.2">
      <c r="C340" s="3">
        <v>45411</v>
      </c>
      <c r="D340" s="33">
        <f>LN(Assets!H242/Assets!H243)</f>
        <v>1.9272025657067679E-3</v>
      </c>
      <c r="E340" s="33"/>
      <c r="F340" s="33">
        <f>LN(Assets!J242/Assets!J243)</f>
        <v>1.3553290373135395E-2</v>
      </c>
      <c r="G340" s="33"/>
      <c r="H340" s="33">
        <f>LN(Assets!L242/Assets!L243)</f>
        <v>-9.7672705842240318E-3</v>
      </c>
      <c r="I340" s="33"/>
      <c r="J340" s="33">
        <f>LN(Assets!N242/Assets!N243)</f>
        <v>-3.6429912785009805E-3</v>
      </c>
      <c r="K340" s="33"/>
      <c r="L340" s="33">
        <f>LN(Assets!P242/Assets!P243)</f>
        <v>-2.5021268063800058E-2</v>
      </c>
      <c r="M340" s="33"/>
      <c r="N340" s="33">
        <f>LN(Assets!R242/Assets!R243)</f>
        <v>-5.7565948443367449E-3</v>
      </c>
    </row>
    <row r="341" spans="3:14" x14ac:dyDescent="0.2">
      <c r="C341" s="3">
        <v>45408</v>
      </c>
      <c r="D341" s="33">
        <f>LN(Assets!H243/Assets!H244)</f>
        <v>3.824459188780938E-3</v>
      </c>
      <c r="E341" s="33"/>
      <c r="F341" s="33">
        <f>LN(Assets!J243/Assets!J244)</f>
        <v>4.0513222191787242E-3</v>
      </c>
      <c r="G341" s="33"/>
      <c r="H341" s="33">
        <f>LN(Assets!L243/Assets!L244)</f>
        <v>4.3366649010501751E-3</v>
      </c>
      <c r="I341" s="33"/>
      <c r="J341" s="33">
        <f>LN(Assets!N243/Assets!N244)</f>
        <v>-7.2464085207671978E-3</v>
      </c>
      <c r="K341" s="33"/>
      <c r="L341" s="33">
        <f>LN(Assets!P243/Assets!P244)</f>
        <v>2.9614008812717724E-2</v>
      </c>
      <c r="M341" s="33"/>
      <c r="N341" s="33">
        <f>LN(Assets!R243/Assets!R244)</f>
        <v>-1.4339857010174822E-3</v>
      </c>
    </row>
    <row r="342" spans="3:14" x14ac:dyDescent="0.2">
      <c r="C342" s="3">
        <v>45407</v>
      </c>
      <c r="D342" s="33">
        <f>LN(Assets!H244/Assets!H245)</f>
        <v>5.3291773715420741E-4</v>
      </c>
      <c r="E342" s="33"/>
      <c r="F342" s="33">
        <f>LN(Assets!J244/Assets!J245)</f>
        <v>-2.1750899318579694E-2</v>
      </c>
      <c r="G342" s="33"/>
      <c r="H342" s="33">
        <f>LN(Assets!L244/Assets!L245)</f>
        <v>-1.4273153651088418E-2</v>
      </c>
      <c r="I342" s="33"/>
      <c r="J342" s="33">
        <f>LN(Assets!N244/Assets!N245)</f>
        <v>-2.3194616980468204E-2</v>
      </c>
      <c r="K342" s="33"/>
      <c r="L342" s="33">
        <f>LN(Assets!P244/Assets!P245)</f>
        <v>1.1711968276025955E-2</v>
      </c>
      <c r="M342" s="33"/>
      <c r="N342" s="33">
        <f>LN(Assets!R244/Assets!R245)</f>
        <v>-9.7780367568550183E-3</v>
      </c>
    </row>
    <row r="343" spans="3:14" x14ac:dyDescent="0.2">
      <c r="C343" s="3">
        <v>45406</v>
      </c>
      <c r="D343" s="33">
        <f>LN(Assets!H245/Assets!H246)</f>
        <v>-6.2891225363088752E-3</v>
      </c>
      <c r="E343" s="33"/>
      <c r="F343" s="33">
        <f>LN(Assets!J245/Assets!J246)</f>
        <v>1.0649019102734138E-2</v>
      </c>
      <c r="G343" s="33"/>
      <c r="H343" s="33">
        <f>LN(Assets!L245/Assets!L246)</f>
        <v>-5.2593639080909969E-3</v>
      </c>
      <c r="I343" s="33"/>
      <c r="J343" s="33">
        <f>LN(Assets!N245/Assets!N246)</f>
        <v>8.8574538340610229E-3</v>
      </c>
      <c r="K343" s="33"/>
      <c r="L343" s="33">
        <f>LN(Assets!P245/Assets!P246)</f>
        <v>-1.1441149046205608E-2</v>
      </c>
      <c r="M343" s="33"/>
      <c r="N343" s="33">
        <f>LN(Assets!R245/Assets!R246)</f>
        <v>1.0140960203824144E-3</v>
      </c>
    </row>
    <row r="344" spans="3:14" x14ac:dyDescent="0.2">
      <c r="C344" s="3">
        <v>45405</v>
      </c>
      <c r="D344" s="33">
        <f>LN(Assets!H246/Assets!H247)</f>
        <v>6.3695876245622026E-3</v>
      </c>
      <c r="E344" s="33"/>
      <c r="F344" s="33">
        <f>LN(Assets!J246/Assets!J247)</f>
        <v>1.4320858005969923E-2</v>
      </c>
      <c r="G344" s="33"/>
      <c r="H344" s="33">
        <f>LN(Assets!L246/Assets!L247)</f>
        <v>1.0480272571982753E-2</v>
      </c>
      <c r="I344" s="33"/>
      <c r="J344" s="33">
        <f>LN(Assets!N246/Assets!N247)</f>
        <v>-1.763714148610673E-2</v>
      </c>
      <c r="K344" s="33"/>
      <c r="L344" s="33">
        <f>LN(Assets!P246/Assets!P247)</f>
        <v>2.5512287543712125E-2</v>
      </c>
      <c r="M344" s="33"/>
      <c r="N344" s="33">
        <f>LN(Assets!R246/Assets!R247)</f>
        <v>1.3689048167900297E-2</v>
      </c>
    </row>
    <row r="345" spans="3:14" x14ac:dyDescent="0.2">
      <c r="C345" s="3">
        <v>45404</v>
      </c>
      <c r="D345" s="33">
        <f>LN(Assets!H247/Assets!H248)</f>
        <v>2.9574651020776734E-3</v>
      </c>
      <c r="E345" s="33"/>
      <c r="F345" s="33">
        <f>LN(Assets!J247/Assets!J248)</f>
        <v>5.0463037272628783E-2</v>
      </c>
      <c r="G345" s="33"/>
      <c r="H345" s="33">
        <f>LN(Assets!L247/Assets!L248)</f>
        <v>1.4213979256503723E-2</v>
      </c>
      <c r="I345" s="33"/>
      <c r="J345" s="33">
        <f>LN(Assets!N247/Assets!N248)</f>
        <v>5.3872989940151612E-2</v>
      </c>
      <c r="K345" s="33"/>
      <c r="L345" s="33">
        <f>LN(Assets!P247/Assets!P248)</f>
        <v>-3.328713198426995E-3</v>
      </c>
      <c r="M345" s="33"/>
      <c r="N345" s="33">
        <f>LN(Assets!R247/Assets!R248)</f>
        <v>8.8852738706387789E-3</v>
      </c>
    </row>
    <row r="346" spans="3:14" x14ac:dyDescent="0.2">
      <c r="C346" s="3">
        <v>45401</v>
      </c>
      <c r="D346" s="33">
        <f>LN(Assets!H248/Assets!H249)</f>
        <v>4.5468610346166664E-3</v>
      </c>
      <c r="E346" s="33"/>
      <c r="F346" s="33">
        <f>LN(Assets!J248/Assets!J249)</f>
        <v>-7.410797215372196E-2</v>
      </c>
      <c r="G346" s="33"/>
      <c r="H346" s="33">
        <f>LN(Assets!L248/Assets!L249)</f>
        <v>-1.8511648603959516E-2</v>
      </c>
      <c r="I346" s="33"/>
      <c r="J346" s="33">
        <f>LN(Assets!N248/Assets!N249)</f>
        <v>5.5504305306490415E-3</v>
      </c>
      <c r="K346" s="33"/>
      <c r="L346" s="33">
        <f>LN(Assets!P248/Assets!P249)</f>
        <v>-5.8357731295387204E-2</v>
      </c>
      <c r="M346" s="33"/>
      <c r="N346" s="33">
        <f>LN(Assets!R248/Assets!R249)</f>
        <v>6.2461164969527692E-3</v>
      </c>
    </row>
    <row r="347" spans="3:14" x14ac:dyDescent="0.2">
      <c r="C347" s="3">
        <v>45400</v>
      </c>
      <c r="D347" s="33">
        <f>LN(Assets!H249/Assets!H250)</f>
        <v>2.4162638826919444E-3</v>
      </c>
      <c r="E347" s="33"/>
      <c r="F347" s="33">
        <f>LN(Assets!J249/Assets!J250)</f>
        <v>-1.8391322971423544E-2</v>
      </c>
      <c r="G347" s="33"/>
      <c r="H347" s="33">
        <f>LN(Assets!L249/Assets!L250)</f>
        <v>-7.2547406314618223E-4</v>
      </c>
      <c r="I347" s="33"/>
      <c r="J347" s="33">
        <f>LN(Assets!N249/Assets!N250)</f>
        <v>1.3072081567352701E-2</v>
      </c>
      <c r="K347" s="33"/>
      <c r="L347" s="33">
        <f>LN(Assets!P249/Assets!P250)</f>
        <v>2.4594655005927155E-2</v>
      </c>
      <c r="M347" s="33"/>
      <c r="N347" s="33">
        <f>LN(Assets!R249/Assets!R250)</f>
        <v>4.3956114730381293E-3</v>
      </c>
    </row>
    <row r="348" spans="3:14" x14ac:dyDescent="0.2">
      <c r="C348" s="3">
        <v>45399</v>
      </c>
      <c r="D348" s="33">
        <f>LN(Assets!H250/Assets!H251)</f>
        <v>6.0879118495674699E-4</v>
      </c>
      <c r="E348" s="33"/>
      <c r="F348" s="33">
        <f>LN(Assets!J250/Assets!J251)</f>
        <v>-2.6809535677195639E-2</v>
      </c>
      <c r="G348" s="33"/>
      <c r="H348" s="33">
        <f>LN(Assets!L250/Assets!L251)</f>
        <v>9.073210361576935E-3</v>
      </c>
      <c r="I348" s="33"/>
      <c r="J348" s="33">
        <f>LN(Assets!N250/Assets!N251)</f>
        <v>-1.3072081567352662E-2</v>
      </c>
      <c r="K348" s="33"/>
      <c r="L348" s="33">
        <f>LN(Assets!P250/Assets!P251)</f>
        <v>1.0226138630285809E-2</v>
      </c>
      <c r="M348" s="33"/>
      <c r="N348" s="33">
        <f>LN(Assets!R250/Assets!R251)</f>
        <v>2.0979754613842933E-4</v>
      </c>
    </row>
    <row r="349" spans="3:14" x14ac:dyDescent="0.2">
      <c r="C349" s="3">
        <v>45398</v>
      </c>
      <c r="D349" s="33">
        <f>LN(Assets!H251/Assets!H252)</f>
        <v>-4.4870113294218248E-3</v>
      </c>
      <c r="E349" s="33"/>
      <c r="F349" s="33">
        <f>LN(Assets!J251/Assets!J252)</f>
        <v>3.153921912506083E-2</v>
      </c>
      <c r="G349" s="33"/>
      <c r="H349" s="33">
        <f>LN(Assets!L251/Assets!L252)</f>
        <v>3.9925472981779993E-4</v>
      </c>
      <c r="I349" s="33"/>
      <c r="J349" s="33">
        <f>LN(Assets!N251/Assets!N252)</f>
        <v>7.448824012990695E-3</v>
      </c>
      <c r="K349" s="33"/>
      <c r="L349" s="33">
        <f>LN(Assets!P251/Assets!P252)</f>
        <v>-1.4234160027824584E-2</v>
      </c>
      <c r="M349" s="33"/>
      <c r="N349" s="33">
        <f>LN(Assets!R251/Assets!R252)</f>
        <v>-4.1876108096313121E-3</v>
      </c>
    </row>
    <row r="350" spans="3:14" x14ac:dyDescent="0.2">
      <c r="C350" s="3">
        <v>45397</v>
      </c>
      <c r="D350" s="33">
        <f>LN(Assets!H252/Assets!H253)</f>
        <v>-7.3230989185845662E-3</v>
      </c>
      <c r="E350" s="33"/>
      <c r="F350" s="33">
        <f>LN(Assets!J252/Assets!J253)</f>
        <v>-7.6541371974414877E-3</v>
      </c>
      <c r="G350" s="33"/>
      <c r="H350" s="33">
        <f>LN(Assets!L252/Assets!L253)</f>
        <v>-7.4265973591569143E-3</v>
      </c>
      <c r="I350" s="33"/>
      <c r="J350" s="33">
        <f>LN(Assets!N252/Assets!N253)</f>
        <v>9.3897403498389171E-3</v>
      </c>
      <c r="K350" s="33"/>
      <c r="L350" s="33">
        <f>LN(Assets!P252/Assets!P253)</f>
        <v>-2.9429344024003129E-2</v>
      </c>
      <c r="M350" s="33"/>
      <c r="N350" s="33">
        <f>LN(Assets!R252/Assets!R253)</f>
        <v>-2.1906228338744355E-2</v>
      </c>
    </row>
    <row r="351" spans="3:14" x14ac:dyDescent="0.2">
      <c r="C351" s="3">
        <v>45394</v>
      </c>
      <c r="D351" s="33">
        <f>LN(Assets!H253/Assets!H254)</f>
        <v>-9.5487897800107524E-3</v>
      </c>
      <c r="E351" s="33"/>
      <c r="F351" s="33">
        <f>LN(Assets!J253/Assets!J254)</f>
        <v>-2.1029750038441212E-2</v>
      </c>
      <c r="G351" s="33"/>
      <c r="H351" s="33">
        <f>LN(Assets!L253/Assets!L254)</f>
        <v>-1.0776107959248127E-2</v>
      </c>
      <c r="I351" s="33"/>
      <c r="J351" s="33">
        <f>LN(Assets!N253/Assets!N254)</f>
        <v>-4.2480994976167349E-2</v>
      </c>
      <c r="K351" s="33"/>
      <c r="L351" s="33">
        <f>LN(Assets!P253/Assets!P254)</f>
        <v>3.1120357066298002E-3</v>
      </c>
      <c r="M351" s="33"/>
      <c r="N351" s="33">
        <f>LN(Assets!R253/Assets!R254)</f>
        <v>-4.2835353615852468E-3</v>
      </c>
    </row>
    <row r="352" spans="3:14" x14ac:dyDescent="0.2">
      <c r="C352" s="3">
        <v>45393</v>
      </c>
      <c r="D352" s="33">
        <f>LN(Assets!H254/Assets!H255)</f>
        <v>-4.0181289397711291E-3</v>
      </c>
      <c r="E352" s="33"/>
      <c r="F352" s="33">
        <f>LN(Assets!J254/Assets!J255)</f>
        <v>-1.4286850592674372E-3</v>
      </c>
      <c r="G352" s="33"/>
      <c r="H352" s="33">
        <f>LN(Assets!L254/Assets!L255)</f>
        <v>1.0643990109934618E-2</v>
      </c>
      <c r="I352" s="33"/>
      <c r="J352" s="33">
        <f>LN(Assets!N254/Assets!N255)</f>
        <v>2.935990701347008E-2</v>
      </c>
      <c r="K352" s="33"/>
      <c r="L352" s="33">
        <f>LN(Assets!P254/Assets!P255)</f>
        <v>3.3823370348775869E-3</v>
      </c>
      <c r="M352" s="33"/>
      <c r="N352" s="33">
        <f>LN(Assets!R254/Assets!R255)</f>
        <v>-7.0987013437301414E-3</v>
      </c>
    </row>
    <row r="353" spans="3:14" x14ac:dyDescent="0.2">
      <c r="C353" s="3">
        <v>45392</v>
      </c>
      <c r="D353" s="33">
        <f>LN(Assets!H255/Assets!H256)</f>
        <v>-7.3001526374171207E-3</v>
      </c>
      <c r="E353" s="33"/>
      <c r="F353" s="33">
        <f>LN(Assets!J255/Assets!J256)</f>
        <v>-1.2610507591929696E-2</v>
      </c>
      <c r="G353" s="33"/>
      <c r="H353" s="33">
        <f>LN(Assets!L255/Assets!L256)</f>
        <v>-1.1232014039850656E-2</v>
      </c>
      <c r="I353" s="33"/>
      <c r="J353" s="33">
        <f>LN(Assets!N255/Assets!N256)</f>
        <v>-4.1938689220330193E-2</v>
      </c>
      <c r="K353" s="33"/>
      <c r="L353" s="33">
        <f>LN(Assets!P255/Assets!P256)</f>
        <v>-1.6285741870785447E-2</v>
      </c>
      <c r="M353" s="33"/>
      <c r="N353" s="33">
        <f>LN(Assets!R255/Assets!R256)</f>
        <v>-2.2580637701699505E-2</v>
      </c>
    </row>
    <row r="354" spans="3:14" x14ac:dyDescent="0.2">
      <c r="C354" s="3">
        <v>45391</v>
      </c>
      <c r="D354" s="33">
        <f>LN(Assets!H256/Assets!H257)</f>
        <v>4.5484287130129995E-3</v>
      </c>
      <c r="E354" s="33"/>
      <c r="F354" s="33">
        <f>LN(Assets!J256/Assets!J257)</f>
        <v>-5.0251084809106769E-2</v>
      </c>
      <c r="G354" s="33"/>
      <c r="H354" s="33">
        <f>LN(Assets!L256/Assets!L257)</f>
        <v>7.9347280137106648E-3</v>
      </c>
      <c r="I354" s="33"/>
      <c r="J354" s="33">
        <f>LN(Assets!N256/Assets!N257)</f>
        <v>1.8018505502678212E-2</v>
      </c>
      <c r="K354" s="33"/>
      <c r="L354" s="33">
        <f>LN(Assets!P256/Assets!P257)</f>
        <v>6.160266404641182E-2</v>
      </c>
      <c r="M354" s="33"/>
      <c r="N354" s="33">
        <f>LN(Assets!R256/Assets!R257)</f>
        <v>4.158010148663677E-3</v>
      </c>
    </row>
    <row r="355" spans="3:14" x14ac:dyDescent="0.2">
      <c r="C355" s="3">
        <v>45390</v>
      </c>
      <c r="D355" s="33">
        <f>LN(Assets!H257/Assets!H258)</f>
        <v>-1.8326914472697157E-4</v>
      </c>
      <c r="E355" s="33"/>
      <c r="F355" s="33">
        <f>LN(Assets!J257/Assets!J258)</f>
        <v>1.1924282229726303E-3</v>
      </c>
      <c r="G355" s="33"/>
      <c r="H355" s="33">
        <f>LN(Assets!L257/Assets!L258)</f>
        <v>-3.7456919102003632E-3</v>
      </c>
      <c r="I355" s="33"/>
      <c r="J355" s="33">
        <f>LN(Assets!N257/Assets!N258)</f>
        <v>-2.6907452919924382E-2</v>
      </c>
      <c r="K355" s="33"/>
      <c r="L355" s="33">
        <f>LN(Assets!P257/Assets!P258)</f>
        <v>1.9107416759139807E-3</v>
      </c>
      <c r="M355" s="33"/>
      <c r="N355" s="33">
        <f>LN(Assets!R257/Assets!R258)</f>
        <v>-1.3793322132335873E-2</v>
      </c>
    </row>
    <row r="356" spans="3:14" x14ac:dyDescent="0.2">
      <c r="C356" s="3">
        <v>45387</v>
      </c>
      <c r="D356" s="33">
        <f>LN(Assets!H258/Assets!H259)</f>
        <v>9.5943142539301786E-3</v>
      </c>
      <c r="E356" s="33"/>
      <c r="F356" s="33">
        <f>LN(Assets!J258/Assets!J259)</f>
        <v>2.9053337169377323E-2</v>
      </c>
      <c r="G356" s="33"/>
      <c r="H356" s="33">
        <f>LN(Assets!L258/Assets!L259)</f>
        <v>3.7082112177792032E-2</v>
      </c>
      <c r="I356" s="33"/>
      <c r="J356" s="33">
        <f>LN(Assets!N258/Assets!N259)</f>
        <v>1.6057436895858687E-2</v>
      </c>
      <c r="K356" s="33"/>
      <c r="L356" s="33">
        <f>LN(Assets!P258/Assets!P259)</f>
        <v>4.3811680155630946E-3</v>
      </c>
      <c r="M356" s="33"/>
      <c r="N356" s="33">
        <f>LN(Assets!R258/Assets!R259)</f>
        <v>6.6758543634720131E-3</v>
      </c>
    </row>
    <row r="357" spans="3:14" x14ac:dyDescent="0.2">
      <c r="C357" s="3">
        <v>45386</v>
      </c>
      <c r="D357" s="33">
        <f>LN(Assets!H259/Assets!H260)</f>
        <v>-2.7474728163386286E-3</v>
      </c>
      <c r="E357" s="33"/>
      <c r="F357" s="33">
        <f>LN(Assets!J259/Assets!J260)</f>
        <v>-2.2469443866777985E-2</v>
      </c>
      <c r="G357" s="33"/>
      <c r="H357" s="33">
        <f>LN(Assets!L259/Assets!L260)</f>
        <v>-2.0815139713920117E-2</v>
      </c>
      <c r="I357" s="33"/>
      <c r="J357" s="33">
        <f>LN(Assets!N259/Assets!N260)</f>
        <v>-3.7073972257517213E-2</v>
      </c>
      <c r="K357" s="33"/>
      <c r="L357" s="33">
        <f>LN(Assets!P259/Assets!P260)</f>
        <v>-5.4869685875948376E-4</v>
      </c>
      <c r="M357" s="33"/>
      <c r="N357" s="33">
        <f>LN(Assets!R259/Assets!R260)</f>
        <v>-1.2334958157951397E-2</v>
      </c>
    </row>
    <row r="358" spans="3:14" x14ac:dyDescent="0.2">
      <c r="C358" s="3">
        <v>45385</v>
      </c>
      <c r="D358" s="33">
        <f>LN(Assets!H260/Assets!H261)</f>
        <v>1.6909740615794274E-3</v>
      </c>
      <c r="E358" s="33"/>
      <c r="F358" s="33">
        <f>LN(Assets!J260/Assets!J261)</f>
        <v>4.5612512955501852E-2</v>
      </c>
      <c r="G358" s="33"/>
      <c r="H358" s="33">
        <f>LN(Assets!L260/Assets!L261)</f>
        <v>-1.6660440893107316E-2</v>
      </c>
      <c r="I358" s="33"/>
      <c r="J358" s="33">
        <f>LN(Assets!N260/Assets!N261)</f>
        <v>-1.20587163201276E-2</v>
      </c>
      <c r="K358" s="33"/>
      <c r="L358" s="33">
        <f>LN(Assets!P260/Assets!P261)</f>
        <v>5.7287491900084538E-2</v>
      </c>
      <c r="M358" s="33"/>
      <c r="N358" s="33">
        <f>LN(Assets!R260/Assets!R261)</f>
        <v>-2.7205613359946998E-3</v>
      </c>
    </row>
    <row r="359" spans="3:14" x14ac:dyDescent="0.2">
      <c r="C359" s="3">
        <v>45384</v>
      </c>
      <c r="D359" s="33">
        <f>LN(Assets!H261/Assets!H262)</f>
        <v>-4.9773771516575943E-3</v>
      </c>
      <c r="E359" s="33"/>
      <c r="F359" s="33">
        <f>LN(Assets!J261/Assets!J262)</f>
        <v>2.1441304203531974E-2</v>
      </c>
      <c r="G359" s="33"/>
      <c r="H359" s="33">
        <f>LN(Assets!L261/Assets!L262)</f>
        <v>-5.5575676733254295E-3</v>
      </c>
      <c r="I359" s="33"/>
      <c r="J359" s="33">
        <f>LN(Assets!N261/Assets!N262)</f>
        <v>3.3075251681785996E-2</v>
      </c>
      <c r="K359" s="33"/>
      <c r="L359" s="33">
        <f>LN(Assets!P261/Assets!P262)</f>
        <v>-2.4954686588818577E-2</v>
      </c>
      <c r="M359" s="33"/>
      <c r="N359" s="33">
        <f>LN(Assets!R261/Assets!R262)</f>
        <v>-1.1384589916511402E-2</v>
      </c>
    </row>
    <row r="360" spans="3:14" x14ac:dyDescent="0.2">
      <c r="C360" s="3">
        <v>45383</v>
      </c>
      <c r="D360" s="33">
        <f>LN(Assets!H262/Assets!H263)</f>
        <v>8.2160380593409535E-4</v>
      </c>
      <c r="E360" s="33"/>
      <c r="F360" s="33">
        <f>LN(Assets!J262/Assets!J263)</f>
        <v>2.3224754797229113E-2</v>
      </c>
      <c r="G360" s="33"/>
      <c r="H360" s="33">
        <f>LN(Assets!L262/Assets!L263)</f>
        <v>-4.0992997509406428E-3</v>
      </c>
      <c r="I360" s="33"/>
      <c r="J360" s="33">
        <f>LN(Assets!N262/Assets!N263)</f>
        <v>-2.9644716584996886E-2</v>
      </c>
      <c r="K360" s="33"/>
      <c r="L360" s="33">
        <f>LN(Assets!P262/Assets!P263)</f>
        <v>-1.4344220071090399E-2</v>
      </c>
      <c r="M360" s="33"/>
      <c r="N360" s="33">
        <f>LN(Assets!R262/Assets!R263)</f>
        <v>-8.4066219197107862E-3</v>
      </c>
    </row>
    <row r="361" spans="3:14" x14ac:dyDescent="0.2">
      <c r="C361" s="3">
        <v>45379</v>
      </c>
      <c r="D361" s="33">
        <f>LN(Assets!H263/Assets!H264)</f>
        <v>2.7081306270996678E-3</v>
      </c>
      <c r="E361" s="33"/>
      <c r="F361" s="33">
        <f>LN(Assets!J263/Assets!J264)</f>
        <v>-1.5165394604063128E-2</v>
      </c>
      <c r="G361" s="33"/>
      <c r="H361" s="33">
        <f>LN(Assets!L263/Assets!L264)</f>
        <v>6.9069147975501059E-3</v>
      </c>
      <c r="I361" s="33"/>
      <c r="J361" s="33">
        <f>LN(Assets!N263/Assets!N264)</f>
        <v>8.6281812233384089E-3</v>
      </c>
      <c r="K361" s="33"/>
      <c r="L361" s="33">
        <f>LN(Assets!P263/Assets!P264)</f>
        <v>-5.9358975716044378E-2</v>
      </c>
      <c r="M361" s="33"/>
      <c r="N361" s="33">
        <f>LN(Assets!R263/Assets!R264)</f>
        <v>-1.5209128407066201E-3</v>
      </c>
    </row>
    <row r="362" spans="3:14" x14ac:dyDescent="0.2">
      <c r="C362" s="3">
        <v>45378</v>
      </c>
      <c r="D362" s="33">
        <f>LN(Assets!H264/Assets!H265)</f>
        <v>8.8397562417258917E-3</v>
      </c>
      <c r="E362" s="33"/>
      <c r="F362" s="33">
        <f>LN(Assets!J264/Assets!J265)</f>
        <v>-1.9075676599990314E-2</v>
      </c>
      <c r="G362" s="33"/>
      <c r="H362" s="33">
        <f>LN(Assets!L264/Assets!L265)</f>
        <v>1.7212809976336004E-2</v>
      </c>
      <c r="I362" s="33"/>
      <c r="J362" s="33">
        <f>LN(Assets!N264/Assets!N265)</f>
        <v>1.7346058122083715E-3</v>
      </c>
      <c r="K362" s="33"/>
      <c r="L362" s="33">
        <f>LN(Assets!P264/Assets!P265)</f>
        <v>8.3095608651101424E-2</v>
      </c>
      <c r="M362" s="33"/>
      <c r="N362" s="33">
        <f>LN(Assets!R264/Assets!R265)</f>
        <v>-1.6018433526096946E-2</v>
      </c>
    </row>
    <row r="363" spans="3:14" x14ac:dyDescent="0.2">
      <c r="C363" s="3">
        <v>45377</v>
      </c>
      <c r="D363" s="33">
        <f>LN(Assets!H265/Assets!H266)</f>
        <v>-1.3572062610332338E-3</v>
      </c>
      <c r="E363" s="33"/>
      <c r="F363" s="33">
        <f>LN(Assets!J265/Assets!J266)</f>
        <v>1.5879317222726718E-4</v>
      </c>
      <c r="G363" s="33"/>
      <c r="H363" s="33">
        <f>LN(Assets!L265/Assets!L266)</f>
        <v>4.6575069872865877E-4</v>
      </c>
      <c r="I363" s="33"/>
      <c r="J363" s="33">
        <f>LN(Assets!N265/Assets!N266)</f>
        <v>2.1053409197832263E-2</v>
      </c>
      <c r="K363" s="33"/>
      <c r="L363" s="33">
        <f>LN(Assets!P265/Assets!P266)</f>
        <v>3.5213881347528099E-2</v>
      </c>
      <c r="M363" s="33"/>
      <c r="N363" s="33">
        <f>LN(Assets!R265/Assets!R266)</f>
        <v>5.2483719348807535E-3</v>
      </c>
    </row>
    <row r="364" spans="3:14" x14ac:dyDescent="0.2">
      <c r="C364" s="3">
        <v>45376</v>
      </c>
      <c r="D364" s="33">
        <f>LN(Assets!H266/Assets!H267)</f>
        <v>-1.9031858144876773E-3</v>
      </c>
      <c r="E364" s="33"/>
      <c r="F364" s="33">
        <f>LN(Assets!J266/Assets!J267)</f>
        <v>-1.5912112020720633E-2</v>
      </c>
      <c r="G364" s="33"/>
      <c r="H364" s="33">
        <f>LN(Assets!L266/Assets!L267)</f>
        <v>-1.7288387842220307E-3</v>
      </c>
      <c r="I364" s="33"/>
      <c r="J364" s="33">
        <f>LN(Assets!N266/Assets!N267)</f>
        <v>-3.5398267051241737E-3</v>
      </c>
      <c r="K364" s="33"/>
      <c r="L364" s="33">
        <f>LN(Assets!P266/Assets!P267)</f>
        <v>-7.0838548884050436E-3</v>
      </c>
      <c r="M364" s="33"/>
      <c r="N364" s="33">
        <f>LN(Assets!R266/Assets!R267)</f>
        <v>-7.5145598125657138E-4</v>
      </c>
    </row>
    <row r="365" spans="3:14" x14ac:dyDescent="0.2">
      <c r="C365" s="3">
        <v>45373</v>
      </c>
      <c r="D365" s="33">
        <f>LN(Assets!H267/Assets!H268)</f>
        <v>-4.6824166689104271E-3</v>
      </c>
      <c r="E365" s="33"/>
      <c r="F365" s="33">
        <f>LN(Assets!J267/Assets!J268)</f>
        <v>4.6999929852442881E-3</v>
      </c>
      <c r="G365" s="33"/>
      <c r="H365" s="33">
        <f>LN(Assets!L267/Assets!L268)</f>
        <v>-2.1427043878798194E-2</v>
      </c>
      <c r="I365" s="33"/>
      <c r="J365" s="33">
        <f>LN(Assets!N267/Assets!N268)</f>
        <v>-1.9248188304916578E-2</v>
      </c>
      <c r="K365" s="33"/>
      <c r="L365" s="33">
        <f>LN(Assets!P267/Assets!P268)</f>
        <v>7.38010729762246E-3</v>
      </c>
      <c r="M365" s="33"/>
      <c r="N365" s="33">
        <f>LN(Assets!R267/Assets!R268)</f>
        <v>-1.5836381262901319E-2</v>
      </c>
    </row>
    <row r="366" spans="3:14" x14ac:dyDescent="0.2">
      <c r="C366" s="3">
        <v>45372</v>
      </c>
      <c r="D366" s="33">
        <f>LN(Assets!H268/Assets!H269)</f>
        <v>1.8829465715200812E-3</v>
      </c>
      <c r="E366" s="33"/>
      <c r="F366" s="33">
        <f>LN(Assets!J268/Assets!J269)</f>
        <v>6.9576315167528421E-2</v>
      </c>
      <c r="G366" s="33"/>
      <c r="H366" s="33">
        <f>LN(Assets!L268/Assets!L269)</f>
        <v>1.0984810338787582E-2</v>
      </c>
      <c r="I366" s="33"/>
      <c r="J366" s="33">
        <f>LN(Assets!N268/Assets!N269)</f>
        <v>-5.1858370323655256E-3</v>
      </c>
      <c r="K366" s="33"/>
      <c r="L366" s="33">
        <f>LN(Assets!P268/Assets!P269)</f>
        <v>2.8247070345528487E-2</v>
      </c>
      <c r="M366" s="33"/>
      <c r="N366" s="33">
        <f>LN(Assets!R268/Assets!R269)</f>
        <v>2.0730969347765141E-2</v>
      </c>
    </row>
    <row r="367" spans="3:14" x14ac:dyDescent="0.2">
      <c r="C367" s="3">
        <v>45371</v>
      </c>
      <c r="D367" s="33">
        <f>LN(Assets!H269/Assets!H270)</f>
        <v>8.4330102650702812E-3</v>
      </c>
      <c r="E367" s="33"/>
      <c r="F367" s="33">
        <f>LN(Assets!J269/Assets!J270)</f>
        <v>1.7663502714014345E-2</v>
      </c>
      <c r="G367" s="33"/>
      <c r="H367" s="33">
        <f>LN(Assets!L269/Assets!L270)</f>
        <v>3.0438873809091042E-2</v>
      </c>
      <c r="I367" s="33"/>
      <c r="J367" s="33">
        <f>LN(Assets!N269/Assets!N270)</f>
        <v>-8.5837436913914419E-3</v>
      </c>
      <c r="K367" s="33"/>
      <c r="L367" s="33">
        <f>LN(Assets!P269/Assets!P270)</f>
        <v>-5.774214493469953E-3</v>
      </c>
      <c r="M367" s="33"/>
      <c r="N367" s="33">
        <f>LN(Assets!R269/Assets!R270)</f>
        <v>1.674634758354757E-2</v>
      </c>
    </row>
    <row r="368" spans="3:14" x14ac:dyDescent="0.2">
      <c r="C368" s="3">
        <v>45370</v>
      </c>
      <c r="D368" s="33">
        <f>LN(Assets!H270/Assets!H271)</f>
        <v>1.070993215062069E-3</v>
      </c>
      <c r="E368" s="33"/>
      <c r="F368" s="33">
        <f>LN(Assets!J270/Assets!J271)</f>
        <v>-3.6177916979645224E-2</v>
      </c>
      <c r="G368" s="33"/>
      <c r="H368" s="33">
        <f>LN(Assets!L270/Assets!L271)</f>
        <v>6.7801209458829528E-4</v>
      </c>
      <c r="I368" s="33"/>
      <c r="J368" s="33">
        <f>LN(Assets!N270/Assets!N271)</f>
        <v>-3.4129725962400688E-3</v>
      </c>
      <c r="K368" s="33"/>
      <c r="L368" s="33">
        <f>LN(Assets!P270/Assets!P271)</f>
        <v>-2.9558802241544505E-2</v>
      </c>
      <c r="M368" s="33"/>
      <c r="N368" s="33">
        <f>LN(Assets!R270/Assets!R271)</f>
        <v>-1.9171785013377934E-3</v>
      </c>
    </row>
    <row r="369" spans="3:14" x14ac:dyDescent="0.2">
      <c r="C369" s="3">
        <v>45369</v>
      </c>
      <c r="D369" s="33">
        <f>LN(Assets!H271/Assets!H272)</f>
        <v>-5.4799752231656342E-4</v>
      </c>
      <c r="E369" s="33"/>
      <c r="F369" s="33">
        <f>LN(Assets!J271/Assets!J272)</f>
        <v>1.8009491255660908E-2</v>
      </c>
      <c r="G369" s="33"/>
      <c r="H369" s="33">
        <f>LN(Assets!L271/Assets!L272)</f>
        <v>-1.3339819186087315E-2</v>
      </c>
      <c r="I369" s="33"/>
      <c r="J369" s="33">
        <f>LN(Assets!N271/Assets!N272)</f>
        <v>2.2395423508529955E-2</v>
      </c>
      <c r="K369" s="33"/>
      <c r="L369" s="33">
        <f>LN(Assets!P271/Assets!P272)</f>
        <v>2.0208711502436243E-2</v>
      </c>
      <c r="M369" s="33"/>
      <c r="N369" s="33">
        <f>LN(Assets!R271/Assets!R272)</f>
        <v>1.3416389171053004E-3</v>
      </c>
    </row>
    <row r="370" spans="3:14" x14ac:dyDescent="0.2">
      <c r="C370" s="3">
        <v>45366</v>
      </c>
      <c r="D370" s="33">
        <f>LN(Assets!H272/Assets!H273)</f>
        <v>8.8371992289428014E-4</v>
      </c>
      <c r="E370" s="33"/>
      <c r="F370" s="33">
        <f>LN(Assets!J272/Assets!J273)</f>
        <v>-1.1876028181813813E-2</v>
      </c>
      <c r="G370" s="33"/>
      <c r="H370" s="33">
        <f>LN(Assets!L272/Assets!L273)</f>
        <v>-1.4880040725134366E-2</v>
      </c>
      <c r="I370" s="33"/>
      <c r="J370" s="33">
        <f>LN(Assets!N272/Assets!N273)</f>
        <v>-4.4300258896579951E-2</v>
      </c>
      <c r="K370" s="33"/>
      <c r="L370" s="33">
        <f>LN(Assets!P272/Assets!P273)</f>
        <v>-2.0796946813515654E-2</v>
      </c>
      <c r="M370" s="33"/>
      <c r="N370" s="33">
        <f>LN(Assets!R272/Assets!R273)</f>
        <v>-5.9279263369505873E-3</v>
      </c>
    </row>
    <row r="371" spans="3:14" x14ac:dyDescent="0.2">
      <c r="C371" s="3">
        <v>45365</v>
      </c>
      <c r="D371" s="33">
        <f>LN(Assets!H273/Assets!H274)</f>
        <v>-6.4045939512893408E-3</v>
      </c>
      <c r="E371" s="33"/>
      <c r="F371" s="33">
        <f>LN(Assets!J273/Assets!J274)</f>
        <v>-8.7741643938235216E-3</v>
      </c>
      <c r="G371" s="33"/>
      <c r="H371" s="33">
        <f>LN(Assets!L273/Assets!L274)</f>
        <v>7.8109882800145233E-3</v>
      </c>
      <c r="I371" s="33"/>
      <c r="J371" s="33">
        <f>LN(Assets!N273/Assets!N274)</f>
        <v>1.8503471564559726E-2</v>
      </c>
      <c r="K371" s="33"/>
      <c r="L371" s="33">
        <f>LN(Assets!P273/Assets!P274)</f>
        <v>-3.2970019237569828E-2</v>
      </c>
      <c r="M371" s="33"/>
      <c r="N371" s="33">
        <f>LN(Assets!R273/Assets!R274)</f>
        <v>-5.7034375138696426E-3</v>
      </c>
    </row>
    <row r="372" spans="3:14" x14ac:dyDescent="0.2">
      <c r="C372" s="3">
        <v>45364</v>
      </c>
      <c r="D372" s="33">
        <f>LN(Assets!H274/Assets!H275)</f>
        <v>6.350999050396205E-3</v>
      </c>
      <c r="E372" s="33"/>
      <c r="F372" s="33">
        <f>LN(Assets!J274/Assets!J275)</f>
        <v>-5.2605743541585138E-3</v>
      </c>
      <c r="G372" s="33"/>
      <c r="H372" s="33">
        <f>LN(Assets!L274/Assets!L275)</f>
        <v>-4.5748463678414366E-3</v>
      </c>
      <c r="I372" s="33"/>
      <c r="J372" s="33">
        <f>LN(Assets!N274/Assets!N275)</f>
        <v>2.928719227178888E-2</v>
      </c>
      <c r="K372" s="33"/>
      <c r="L372" s="33">
        <f>LN(Assets!P274/Assets!P275)</f>
        <v>-2.222626309873902E-2</v>
      </c>
      <c r="M372" s="33"/>
      <c r="N372" s="33">
        <f>LN(Assets!R274/Assets!R275)</f>
        <v>1.9719218452519248E-2</v>
      </c>
    </row>
    <row r="373" spans="3:14" x14ac:dyDescent="0.2">
      <c r="C373" s="3">
        <v>45363</v>
      </c>
      <c r="D373" s="33">
        <f>LN(Assets!H275/Assets!H276)</f>
        <v>2.8348486791487148E-3</v>
      </c>
      <c r="E373" s="33"/>
      <c r="F373" s="33">
        <f>LN(Assets!J275/Assets!J276)</f>
        <v>3.5548173503038329E-2</v>
      </c>
      <c r="G373" s="33"/>
      <c r="H373" s="33">
        <f>LN(Assets!L275/Assets!L276)</f>
        <v>2.7564364592540004E-2</v>
      </c>
      <c r="I373" s="33"/>
      <c r="J373" s="33">
        <f>LN(Assets!N275/Assets!N276)</f>
        <v>3.7404182226883499E-2</v>
      </c>
      <c r="K373" s="33"/>
      <c r="L373" s="33">
        <f>LN(Assets!P275/Assets!P276)</f>
        <v>-1.5461379233032865E-2</v>
      </c>
      <c r="M373" s="33"/>
      <c r="N373" s="33">
        <f>LN(Assets!R275/Assets!R276)</f>
        <v>-7.7041983529875643E-3</v>
      </c>
    </row>
    <row r="374" spans="3:14" x14ac:dyDescent="0.2">
      <c r="C374" s="3">
        <v>45362</v>
      </c>
      <c r="D374" s="33">
        <f>LN(Assets!H276/Assets!H277)</f>
        <v>1.4567856989752331E-3</v>
      </c>
      <c r="E374" s="33"/>
      <c r="F374" s="33">
        <f>LN(Assets!J276/Assets!J277)</f>
        <v>-5.535401572160175E-2</v>
      </c>
      <c r="G374" s="33"/>
      <c r="H374" s="33">
        <f>LN(Assets!L276/Assets!L277)</f>
        <v>5.3864378690792868E-3</v>
      </c>
      <c r="I374" s="33"/>
      <c r="J374" s="33">
        <f>LN(Assets!N276/Assets!N277)</f>
        <v>1.6468807713268165E-2</v>
      </c>
      <c r="K374" s="33"/>
      <c r="L374" s="33">
        <f>LN(Assets!P276/Assets!P277)</f>
        <v>-8.4572868024839608E-3</v>
      </c>
      <c r="M374" s="33"/>
      <c r="N374" s="33">
        <f>LN(Assets!R276/Assets!R277)</f>
        <v>5.3867002126249727E-3</v>
      </c>
    </row>
    <row r="375" spans="3:14" x14ac:dyDescent="0.2">
      <c r="C375" s="3">
        <v>45359</v>
      </c>
      <c r="D375" s="33">
        <f>LN(Assets!H277/Assets!H278)</f>
        <v>-2.6201375870759415E-3</v>
      </c>
      <c r="E375" s="33"/>
      <c r="F375" s="33">
        <f>LN(Assets!J277/Assets!J278)</f>
        <v>-2.3668804051189332E-2</v>
      </c>
      <c r="G375" s="33"/>
      <c r="H375" s="33">
        <f>LN(Assets!L277/Assets!L278)</f>
        <v>-1.1758044865118082E-2</v>
      </c>
      <c r="I375" s="33"/>
      <c r="J375" s="33">
        <f>LN(Assets!N277/Assets!N278)</f>
        <v>3.5684537374723213E-2</v>
      </c>
      <c r="K375" s="33"/>
      <c r="L375" s="33">
        <f>LN(Assets!P277/Assets!P278)</f>
        <v>-3.2546814735420373E-3</v>
      </c>
      <c r="M375" s="33"/>
      <c r="N375" s="33">
        <f>LN(Assets!R277/Assets!R278)</f>
        <v>-2.8893403516050704E-3</v>
      </c>
    </row>
    <row r="376" spans="3:14" x14ac:dyDescent="0.2">
      <c r="C376" s="3">
        <v>45358</v>
      </c>
      <c r="D376" s="33">
        <f>LN(Assets!H278/Assets!H279)</f>
        <v>9.2467514131977704E-3</v>
      </c>
      <c r="E376" s="33"/>
      <c r="F376" s="33">
        <f>LN(Assets!J278/Assets!J279)</f>
        <v>-9.4147190384184765E-4</v>
      </c>
      <c r="G376" s="33"/>
      <c r="H376" s="33">
        <f>LN(Assets!L278/Assets!L279)</f>
        <v>1.3605652055778678E-2</v>
      </c>
      <c r="I376" s="33"/>
      <c r="J376" s="33">
        <f>LN(Assets!N278/Assets!N279)</f>
        <v>7.677580899034332E-3</v>
      </c>
      <c r="K376" s="33"/>
      <c r="L376" s="33">
        <f>LN(Assets!P278/Assets!P279)</f>
        <v>5.4303690328959559E-3</v>
      </c>
      <c r="M376" s="33"/>
      <c r="N376" s="33">
        <f>LN(Assets!R278/Assets!R279)</f>
        <v>2.2564660936813363E-2</v>
      </c>
    </row>
    <row r="377" spans="3:14" x14ac:dyDescent="0.2">
      <c r="C377" s="3">
        <v>45357</v>
      </c>
      <c r="D377" s="33">
        <f>LN(Assets!H279/Assets!H280)</f>
        <v>3.1553910014614208E-3</v>
      </c>
      <c r="E377" s="33"/>
      <c r="F377" s="33">
        <f>LN(Assets!J279/Assets!J280)</f>
        <v>2.4610275955031131E-2</v>
      </c>
      <c r="G377" s="33"/>
      <c r="H377" s="33">
        <f>LN(Assets!L279/Assets!L280)</f>
        <v>1.4835531710779611E-2</v>
      </c>
      <c r="I377" s="33"/>
      <c r="J377" s="33">
        <f>LN(Assets!N279/Assets!N280)</f>
        <v>6.1588477312741551E-2</v>
      </c>
      <c r="K377" s="33"/>
      <c r="L377" s="33">
        <f>LN(Assets!P279/Assets!P280)</f>
        <v>9.0250851888809339E-3</v>
      </c>
      <c r="M377" s="33"/>
      <c r="N377" s="33">
        <f>LN(Assets!R279/Assets!R280)</f>
        <v>-1.3677430881321792E-2</v>
      </c>
    </row>
    <row r="378" spans="3:14" x14ac:dyDescent="0.2">
      <c r="C378" s="3">
        <v>45356</v>
      </c>
      <c r="D378" s="33">
        <f>LN(Assets!H280/Assets!H281)</f>
        <v>-2.3875328166924321E-4</v>
      </c>
      <c r="E378" s="33"/>
      <c r="F378" s="33">
        <f>LN(Assets!J280/Assets!J281)</f>
        <v>-2.852356262698371E-2</v>
      </c>
      <c r="G378" s="33"/>
      <c r="H378" s="33">
        <f>LN(Assets!L280/Assets!L281)</f>
        <v>-6.6881967073986789E-2</v>
      </c>
      <c r="I378" s="33"/>
      <c r="J378" s="33">
        <f>LN(Assets!N280/Assets!N281)</f>
        <v>-7.4985806884562634E-2</v>
      </c>
      <c r="K378" s="33"/>
      <c r="L378" s="33">
        <f>LN(Assets!P280/Assets!P281)</f>
        <v>-2.9772158333670144E-2</v>
      </c>
      <c r="M378" s="33"/>
      <c r="N378" s="33">
        <f>LN(Assets!R280/Assets!R281)</f>
        <v>-4.0503682657345143E-2</v>
      </c>
    </row>
    <row r="379" spans="3:14" x14ac:dyDescent="0.2">
      <c r="C379" s="3">
        <v>45355</v>
      </c>
      <c r="D379" s="33">
        <f>LN(Assets!H281/Assets!H282)</f>
        <v>-9.8785109123209858E-4</v>
      </c>
      <c r="E379" s="33"/>
      <c r="F379" s="33">
        <f>LN(Assets!J281/Assets!J282)</f>
        <v>4.2118204752906598E-2</v>
      </c>
      <c r="G379" s="33"/>
      <c r="H379" s="33">
        <f>LN(Assets!L281/Assets!L282)</f>
        <v>3.1237062789204767E-2</v>
      </c>
      <c r="I379" s="33"/>
      <c r="J379" s="33">
        <f>LN(Assets!N281/Assets!N282)</f>
        <v>3.0890487019338511E-2</v>
      </c>
      <c r="K379" s="33"/>
      <c r="L379" s="33">
        <f>LN(Assets!P281/Assets!P282)</f>
        <v>0</v>
      </c>
      <c r="M379" s="33"/>
      <c r="N379" s="33">
        <f>LN(Assets!R281/Assets!R282)</f>
        <v>7.8578514705672006E-3</v>
      </c>
    </row>
    <row r="380" spans="3:14" x14ac:dyDescent="0.2">
      <c r="C380" s="3">
        <v>45352</v>
      </c>
      <c r="D380" s="33">
        <f>LN(Assets!H282/Assets!H283)</f>
        <v>8.7958520258010243E-3</v>
      </c>
      <c r="E380" s="33"/>
      <c r="F380" s="33">
        <f>LN(Assets!J282/Assets!J283)</f>
        <v>6.2010623424312024E-2</v>
      </c>
      <c r="G380" s="33"/>
      <c r="H380" s="33">
        <f>LN(Assets!L282/Assets!L283)</f>
        <v>5.7928186676557067E-2</v>
      </c>
      <c r="I380" s="33"/>
      <c r="J380" s="33">
        <f>LN(Assets!N282/Assets!N283)</f>
        <v>3.929278139889557E-3</v>
      </c>
      <c r="K380" s="33"/>
      <c r="L380" s="33">
        <f>LN(Assets!P282/Assets!P283)</f>
        <v>-2.6631174194837732E-3</v>
      </c>
      <c r="M380" s="33"/>
      <c r="N380" s="33">
        <f>LN(Assets!R282/Assets!R283)</f>
        <v>1.9919087871589206E-2</v>
      </c>
    </row>
    <row r="381" spans="3:14" x14ac:dyDescent="0.2">
      <c r="C381" s="3">
        <v>45351</v>
      </c>
      <c r="D381" s="33">
        <f>LN(Assets!H283/Assets!H284)</f>
        <v>5.6253313872592289E-3</v>
      </c>
      <c r="E381" s="33"/>
      <c r="F381" s="33">
        <f>LN(Assets!J283/Assets!J284)</f>
        <v>3.2061932459662879E-2</v>
      </c>
      <c r="G381" s="33"/>
      <c r="H381" s="33">
        <f>LN(Assets!L283/Assets!L284)</f>
        <v>-9.2929287915926015E-2</v>
      </c>
      <c r="I381" s="33"/>
      <c r="J381" s="33">
        <f>LN(Assets!N283/Assets!N284)</f>
        <v>5.0464793925909121E-2</v>
      </c>
      <c r="K381" s="33"/>
      <c r="L381" s="33">
        <f>LN(Assets!P283/Assets!P284)</f>
        <v>5.6063894146599048E-2</v>
      </c>
      <c r="M381" s="33"/>
      <c r="N381" s="33">
        <f>LN(Assets!R283/Assets!R284)</f>
        <v>-5.3506720432985088E-3</v>
      </c>
    </row>
    <row r="382" spans="3:14" x14ac:dyDescent="0.2">
      <c r="C382" s="3">
        <v>45350</v>
      </c>
      <c r="D382" s="33">
        <f>LN(Assets!H284/Assets!H285)</f>
        <v>-3.5303273046578304E-3</v>
      </c>
      <c r="E382" s="33"/>
      <c r="F382" s="33">
        <f>LN(Assets!J284/Assets!J285)</f>
        <v>-1.2099791748413599E-2</v>
      </c>
      <c r="G382" s="33"/>
      <c r="H382" s="33">
        <f>LN(Assets!L284/Assets!L285)</f>
        <v>1.7116769894949157E-2</v>
      </c>
      <c r="I382" s="33"/>
      <c r="J382" s="33">
        <f>LN(Assets!N284/Assets!N285)</f>
        <v>-5.243136289794998E-2</v>
      </c>
      <c r="K382" s="33"/>
      <c r="L382" s="33">
        <f>LN(Assets!P284/Assets!P285)</f>
        <v>2.3912326375554842E-2</v>
      </c>
      <c r="M382" s="33"/>
      <c r="N382" s="33">
        <f>LN(Assets!R284/Assets!R285)</f>
        <v>-9.4841378578149043E-3</v>
      </c>
    </row>
    <row r="383" spans="3:14" x14ac:dyDescent="0.2">
      <c r="C383" s="3">
        <v>45349</v>
      </c>
      <c r="D383" s="33">
        <f>LN(Assets!H285/Assets!H286)</f>
        <v>-2.5373324517668301E-4</v>
      </c>
      <c r="E383" s="33"/>
      <c r="F383" s="33">
        <f>LN(Assets!J285/Assets!J286)</f>
        <v>2.4791937614309914E-3</v>
      </c>
      <c r="G383" s="33"/>
      <c r="H383" s="33">
        <f>LN(Assets!L285/Assets!L286)</f>
        <v>-2.035029790150818E-2</v>
      </c>
      <c r="I383" s="33"/>
      <c r="J383" s="33">
        <f>LN(Assets!N285/Assets!N286)</f>
        <v>4.0085527075650849E-2</v>
      </c>
      <c r="K383" s="33"/>
      <c r="L383" s="33">
        <f>LN(Assets!P285/Assets!P286)</f>
        <v>6.0685058363808787E-3</v>
      </c>
      <c r="M383" s="33"/>
      <c r="N383" s="33">
        <f>LN(Assets!R285/Assets!R286)</f>
        <v>1.9251523754036427E-2</v>
      </c>
    </row>
    <row r="384" spans="3:14" x14ac:dyDescent="0.2">
      <c r="C384" s="3">
        <v>45348</v>
      </c>
      <c r="D384" s="33">
        <f>LN(Assets!H286/Assets!H287)</f>
        <v>-4.1574828248607792E-3</v>
      </c>
      <c r="E384" s="33"/>
      <c r="F384" s="33">
        <f>LN(Assets!J286/Assets!J287)</f>
        <v>3.2984877305872545E-2</v>
      </c>
      <c r="G384" s="33"/>
      <c r="H384" s="33">
        <f>LN(Assets!L286/Assets!L287)</f>
        <v>3.5574566155266011E-3</v>
      </c>
      <c r="I384" s="33"/>
      <c r="J384" s="33">
        <f>LN(Assets!N286/Assets!N287)</f>
        <v>4.8176855349226146E-2</v>
      </c>
      <c r="K384" s="33"/>
      <c r="L384" s="33">
        <f>LN(Assets!P286/Assets!P287)</f>
        <v>-1.4482261763647637E-3</v>
      </c>
      <c r="M384" s="33"/>
      <c r="N384" s="33">
        <f>LN(Assets!R286/Assets!R287)</f>
        <v>-5.3742931657768042E-3</v>
      </c>
    </row>
    <row r="385" spans="3:14" x14ac:dyDescent="0.2">
      <c r="C385" s="3">
        <v>45345</v>
      </c>
      <c r="D385" s="33">
        <f>LN(Assets!H287/Assets!H288)</f>
        <v>4.4496803327550901E-3</v>
      </c>
      <c r="E385" s="33"/>
      <c r="F385" s="33">
        <f>LN(Assets!J287/Assets!J288)</f>
        <v>-3.0854951048047748E-2</v>
      </c>
      <c r="G385" s="33"/>
      <c r="H385" s="33">
        <f>LN(Assets!L287/Assets!L288)</f>
        <v>3.7027823499551589E-2</v>
      </c>
      <c r="I385" s="33"/>
      <c r="J385" s="33">
        <f>LN(Assets!N287/Assets!N288)</f>
        <v>4.3866682105581929E-2</v>
      </c>
      <c r="K385" s="33"/>
      <c r="L385" s="33">
        <f>LN(Assets!P287/Assets!P288)</f>
        <v>-3.6936016831950559E-2</v>
      </c>
      <c r="M385" s="33"/>
      <c r="N385" s="33">
        <f>LN(Assets!R287/Assets!R288)</f>
        <v>-9.5666323186357008E-4</v>
      </c>
    </row>
    <row r="386" spans="3:14" x14ac:dyDescent="0.2">
      <c r="C386" s="3">
        <v>45344</v>
      </c>
      <c r="D386" s="33">
        <f>LN(Assets!H288/Assets!H289)</f>
        <v>6.8580368889654582E-3</v>
      </c>
      <c r="E386" s="33"/>
      <c r="F386" s="33">
        <f>LN(Assets!J288/Assets!J289)</f>
        <v>0.11392587851674935</v>
      </c>
      <c r="G386" s="33"/>
      <c r="H386" s="33">
        <f>LN(Assets!L288/Assets!L289)</f>
        <v>-8.5699506830672328E-3</v>
      </c>
      <c r="I386" s="33"/>
      <c r="J386" s="33">
        <f>LN(Assets!N288/Assets!N289)</f>
        <v>-1.5573173462970033E-2</v>
      </c>
      <c r="K386" s="33"/>
      <c r="L386" s="33">
        <f>LN(Assets!P288/Assets!P289)</f>
        <v>5.6518697261775767E-2</v>
      </c>
      <c r="M386" s="33"/>
      <c r="N386" s="33">
        <f>LN(Assets!R288/Assets!R289)</f>
        <v>1.7945488818333532E-2</v>
      </c>
    </row>
    <row r="387" spans="3:14" x14ac:dyDescent="0.2">
      <c r="C387" s="3">
        <v>45343</v>
      </c>
      <c r="D387" s="33">
        <f>LN(Assets!H289/Assets!H290)</f>
        <v>-2.1302247196884339E-3</v>
      </c>
      <c r="E387" s="33"/>
      <c r="F387" s="33">
        <f>LN(Assets!J289/Assets!J290)</f>
        <v>-8.1309322523789602E-3</v>
      </c>
      <c r="G387" s="33"/>
      <c r="H387" s="33">
        <f>LN(Assets!L289/Assets!L290)</f>
        <v>-2.6122484145571626E-2</v>
      </c>
      <c r="I387" s="33"/>
      <c r="J387" s="33">
        <f>LN(Assets!N289/Assets!N290)</f>
        <v>1.1098893068048765E-2</v>
      </c>
      <c r="K387" s="33"/>
      <c r="L387" s="33">
        <f>LN(Assets!P289/Assets!P290)</f>
        <v>-8.5231963433467679E-3</v>
      </c>
      <c r="M387" s="33"/>
      <c r="N387" s="33">
        <f>LN(Assets!R289/Assets!R290)</f>
        <v>-3.1620915618008949E-2</v>
      </c>
    </row>
    <row r="388" spans="3:14" x14ac:dyDescent="0.2">
      <c r="C388" s="3">
        <v>45342</v>
      </c>
      <c r="D388" s="33">
        <f>LN(Assets!H290/Assets!H291)</f>
        <v>-1.7931337406799166E-3</v>
      </c>
      <c r="E388" s="33"/>
      <c r="F388" s="33">
        <f>LN(Assets!J290/Assets!J291)</f>
        <v>-5.1954738630692943E-2</v>
      </c>
      <c r="G388" s="33"/>
      <c r="H388" s="33">
        <f>LN(Assets!L290/Assets!L291)</f>
        <v>-4.0788221137055242E-2</v>
      </c>
      <c r="I388" s="33"/>
      <c r="J388" s="33">
        <f>LN(Assets!N290/Assets!N291)</f>
        <v>-1.5504186535965086E-2</v>
      </c>
      <c r="K388" s="33"/>
      <c r="L388" s="33">
        <f>LN(Assets!P290/Assets!P291)</f>
        <v>5.6590481357016734E-2</v>
      </c>
      <c r="M388" s="33"/>
      <c r="N388" s="33">
        <f>LN(Assets!R290/Assets!R291)</f>
        <v>-1.7206334349420972E-2</v>
      </c>
    </row>
    <row r="389" spans="3:14" x14ac:dyDescent="0.2">
      <c r="C389" s="3">
        <v>45338</v>
      </c>
      <c r="D389" s="33">
        <f>LN(Assets!H291/Assets!H292)</f>
        <v>1.5499681762494194E-3</v>
      </c>
      <c r="E389" s="33"/>
      <c r="F389" s="33">
        <f>LN(Assets!J291/Assets!J292)</f>
        <v>-7.2863470425259787E-3</v>
      </c>
      <c r="G389" s="33"/>
      <c r="H389" s="33">
        <f>LN(Assets!L291/Assets!L292)</f>
        <v>-1.0852483183095091E-2</v>
      </c>
      <c r="I389" s="33"/>
      <c r="J389" s="33">
        <f>LN(Assets!N291/Assets!N292)</f>
        <v>-4.3859719432544405E-3</v>
      </c>
      <c r="K389" s="33"/>
      <c r="L389" s="33">
        <f>LN(Assets!P291/Assets!P292)</f>
        <v>1.2465103748217462E-2</v>
      </c>
      <c r="M389" s="33"/>
      <c r="N389" s="33">
        <f>LN(Assets!R291/Assets!R292)</f>
        <v>-1.234697340172378E-2</v>
      </c>
    </row>
    <row r="390" spans="3:14" x14ac:dyDescent="0.2">
      <c r="C390" s="3">
        <v>45337</v>
      </c>
      <c r="D390" s="33">
        <f>LN(Assets!H292/Assets!H293)</f>
        <v>1.5829039072810792E-2</v>
      </c>
      <c r="E390" s="33"/>
      <c r="F390" s="33">
        <f>LN(Assets!J292/Assets!J293)</f>
        <v>1.2927580505998251E-2</v>
      </c>
      <c r="G390" s="33"/>
      <c r="H390" s="33">
        <f>LN(Assets!L292/Assets!L293)</f>
        <v>1.5431625543128927E-3</v>
      </c>
      <c r="I390" s="33"/>
      <c r="J390" s="33">
        <f>LN(Assets!N292/Assets!N293)</f>
        <v>1.5435808129839248E-2</v>
      </c>
      <c r="K390" s="33"/>
      <c r="L390" s="33">
        <f>LN(Assets!P292/Assets!P293)</f>
        <v>-9.0526605422709145E-3</v>
      </c>
      <c r="M390" s="33"/>
      <c r="N390" s="33">
        <f>LN(Assets!R292/Assets!R293)</f>
        <v>7.3286921565269766E-4</v>
      </c>
    </row>
    <row r="391" spans="3:14" x14ac:dyDescent="0.2">
      <c r="C391" s="3">
        <v>45336</v>
      </c>
      <c r="D391" s="33">
        <f>LN(Assets!H293/Assets!H294)</f>
        <v>1.4680655430564099E-2</v>
      </c>
      <c r="E391" s="33"/>
      <c r="F391" s="33">
        <f>LN(Assets!J293/Assets!J294)</f>
        <v>4.0798423234794157E-2</v>
      </c>
      <c r="G391" s="33"/>
      <c r="H391" s="33">
        <f>LN(Assets!L293/Assets!L294)</f>
        <v>1.5250365588390793E-2</v>
      </c>
      <c r="I391" s="33"/>
      <c r="J391" s="33">
        <f>LN(Assets!N293/Assets!N294)</f>
        <v>1.342302033214055E-2</v>
      </c>
      <c r="K391" s="33"/>
      <c r="L391" s="33">
        <f>LN(Assets!P293/Assets!P294)</f>
        <v>2.6769036600136908E-2</v>
      </c>
      <c r="M391" s="33"/>
      <c r="N391" s="33">
        <f>LN(Assets!R293/Assets!R294)</f>
        <v>2.900909998308495E-2</v>
      </c>
    </row>
    <row r="392" spans="3:14" x14ac:dyDescent="0.2">
      <c r="C392" s="3">
        <v>45335</v>
      </c>
      <c r="D392" s="33">
        <f>LN(Assets!H294/Assets!H295)</f>
        <v>-2.3160877475016221E-2</v>
      </c>
      <c r="E392" s="33"/>
      <c r="F392" s="33">
        <f>LN(Assets!J294/Assets!J295)</f>
        <v>-1.0551094365814086E-2</v>
      </c>
      <c r="G392" s="33"/>
      <c r="H392" s="33">
        <f>LN(Assets!L294/Assets!L295)</f>
        <v>-7.9965441417046753E-3</v>
      </c>
      <c r="I392" s="33"/>
      <c r="J392" s="33">
        <f>LN(Assets!N294/Assets!N295)</f>
        <v>-2.0067563050809256E-2</v>
      </c>
      <c r="K392" s="33"/>
      <c r="L392" s="33">
        <f>LN(Assets!P294/Assets!P295)</f>
        <v>-6.3816211482940115E-4</v>
      </c>
      <c r="M392" s="33"/>
      <c r="N392" s="33">
        <f>LN(Assets!R294/Assets!R295)</f>
        <v>-3.4857069865507996E-2</v>
      </c>
    </row>
    <row r="393" spans="3:14" x14ac:dyDescent="0.2">
      <c r="C393" s="3">
        <v>45334</v>
      </c>
      <c r="D393" s="33">
        <f>LN(Assets!H295/Assets!H296)</f>
        <v>2.7425992013460658E-3</v>
      </c>
      <c r="E393" s="33"/>
      <c r="F393" s="33">
        <f>LN(Assets!J295/Assets!J296)</f>
        <v>-1.1017797740446891E-2</v>
      </c>
      <c r="G393" s="33"/>
      <c r="H393" s="33">
        <f>LN(Assets!L295/Assets!L296)</f>
        <v>2.616823923189091E-3</v>
      </c>
      <c r="I393" s="33"/>
      <c r="J393" s="33">
        <f>LN(Assets!N295/Assets!N296)</f>
        <v>-1.3158084577511088E-2</v>
      </c>
      <c r="K393" s="33"/>
      <c r="L393" s="33">
        <f>LN(Assets!P295/Assets!P296)</f>
        <v>1.1227062593783402E-2</v>
      </c>
      <c r="M393" s="33"/>
      <c r="N393" s="33">
        <f>LN(Assets!R295/Assets!R296)</f>
        <v>-2.6788118675853786E-2</v>
      </c>
    </row>
    <row r="394" spans="3:14" x14ac:dyDescent="0.2">
      <c r="C394" s="3">
        <v>45331</v>
      </c>
      <c r="D394" s="33">
        <f>LN(Assets!H296/Assets!H297)</f>
        <v>4.2910454869497048E-3</v>
      </c>
      <c r="E394" s="33"/>
      <c r="F394" s="33">
        <f>LN(Assets!J296/Assets!J297)</f>
        <v>2.9258962538215114E-2</v>
      </c>
      <c r="G394" s="33"/>
      <c r="H394" s="33">
        <f>LN(Assets!L296/Assets!L297)</f>
        <v>2.3928664657581748E-2</v>
      </c>
      <c r="I394" s="33"/>
      <c r="J394" s="33">
        <f>LN(Assets!N296/Assets!N297)</f>
        <v>3.7740327982847113E-2</v>
      </c>
      <c r="K394" s="33"/>
      <c r="L394" s="33">
        <f>LN(Assets!P296/Assets!P297)</f>
        <v>-3.2061149496625356E-2</v>
      </c>
      <c r="M394" s="33"/>
      <c r="N394" s="33">
        <f>LN(Assets!R296/Assets!R297)</f>
        <v>1.9164193565194498E-2</v>
      </c>
    </row>
    <row r="395" spans="3:14" x14ac:dyDescent="0.2">
      <c r="C395" s="3">
        <v>45330</v>
      </c>
      <c r="D395" s="33">
        <f>LN(Assets!H297/Assets!H298)</f>
        <v>-2.3653100324501491E-3</v>
      </c>
      <c r="E395" s="33"/>
      <c r="F395" s="33">
        <f>LN(Assets!J297/Assets!J298)</f>
        <v>3.0957245958268834E-2</v>
      </c>
      <c r="G395" s="33"/>
      <c r="H395" s="33">
        <f>LN(Assets!L297/Assets!L298)</f>
        <v>-6.242456095328826E-3</v>
      </c>
      <c r="I395" s="33"/>
      <c r="J395" s="33">
        <f>LN(Assets!N297/Assets!N298)</f>
        <v>-6.142281262640624E-2</v>
      </c>
      <c r="K395" s="33"/>
      <c r="L395" s="33">
        <f>LN(Assets!P297/Assets!P298)</f>
        <v>-1.0256500167189221E-2</v>
      </c>
      <c r="M395" s="33"/>
      <c r="N395" s="33">
        <f>LN(Assets!R297/Assets!R298)</f>
        <v>4.1678052538989627E-3</v>
      </c>
    </row>
    <row r="396" spans="3:14" x14ac:dyDescent="0.2">
      <c r="C396" s="3">
        <v>45329</v>
      </c>
      <c r="D396" s="33">
        <f>LN(Assets!H298/Assets!H299)</f>
        <v>5.4571145621490238E-4</v>
      </c>
      <c r="E396" s="33"/>
      <c r="F396" s="33">
        <f>LN(Assets!J298/Assets!J299)</f>
        <v>1.6346550431952567E-3</v>
      </c>
      <c r="G396" s="33"/>
      <c r="H396" s="33">
        <f>LN(Assets!L298/Assets!L299)</f>
        <v>-3.6129725860900778E-3</v>
      </c>
      <c r="I396" s="33"/>
      <c r="J396" s="33">
        <f>LN(Assets!N298/Assets!N299)</f>
        <v>-4.2462908814509849E-3</v>
      </c>
      <c r="K396" s="33"/>
      <c r="L396" s="33">
        <f>LN(Assets!P298/Assets!P299)</f>
        <v>-2.7790661702656533E-3</v>
      </c>
      <c r="M396" s="33"/>
      <c r="N396" s="33">
        <f>LN(Assets!R298/Assets!R299)</f>
        <v>-1.2451663177878278E-2</v>
      </c>
    </row>
    <row r="397" spans="3:14" x14ac:dyDescent="0.2">
      <c r="C397" s="3">
        <v>45328</v>
      </c>
      <c r="D397" s="33">
        <f>LN(Assets!H299/Assets!H300)</f>
        <v>4.1047516098239867E-3</v>
      </c>
      <c r="E397" s="33"/>
      <c r="F397" s="33">
        <f>LN(Assets!J299/Assets!J300)</f>
        <v>-2.2245608947319737E-2</v>
      </c>
      <c r="G397" s="33"/>
      <c r="H397" s="33">
        <f>LN(Assets!L299/Assets!L300)</f>
        <v>-2.2150824322529659E-2</v>
      </c>
      <c r="I397" s="33"/>
      <c r="J397" s="33">
        <f>LN(Assets!N299/Assets!N300)</f>
        <v>1.709443335930004E-2</v>
      </c>
      <c r="K397" s="33"/>
      <c r="L397" s="33">
        <f>LN(Assets!P299/Assets!P300)</f>
        <v>-1.0429542391496767E-2</v>
      </c>
      <c r="M397" s="33"/>
      <c r="N397" s="33">
        <f>LN(Assets!R299/Assets!R300)</f>
        <v>-1.5835221021746913E-2</v>
      </c>
    </row>
    <row r="398" spans="3:14" x14ac:dyDescent="0.2">
      <c r="C398" s="3">
        <v>45327</v>
      </c>
      <c r="D398" s="33">
        <f>LN(Assets!H300/Assets!H301)</f>
        <v>-1.0162878024626044E-2</v>
      </c>
      <c r="E398" s="33"/>
      <c r="F398" s="33">
        <f>LN(Assets!J300/Assets!J301)</f>
        <v>2.963480512969072E-2</v>
      </c>
      <c r="G398" s="33"/>
      <c r="H398" s="33">
        <f>LN(Assets!L300/Assets!L301)</f>
        <v>-2.5780291529124779E-2</v>
      </c>
      <c r="I398" s="33"/>
      <c r="J398" s="33">
        <f>LN(Assets!N300/Assets!N301)</f>
        <v>-4.8379570856334618E-2</v>
      </c>
      <c r="K398" s="33"/>
      <c r="L398" s="33">
        <f>LN(Assets!P300/Assets!P301)</f>
        <v>1.7236499367615805E-2</v>
      </c>
      <c r="M398" s="33"/>
      <c r="N398" s="33">
        <f>LN(Assets!R300/Assets!R301)</f>
        <v>-2.3033647877626233E-2</v>
      </c>
    </row>
    <row r="399" spans="3:14" x14ac:dyDescent="0.2">
      <c r="C399" s="3">
        <v>45324</v>
      </c>
      <c r="D399" s="33">
        <f>LN(Assets!H301/Assets!H302)</f>
        <v>-1.6168972087435124E-3</v>
      </c>
      <c r="E399" s="33"/>
      <c r="F399" s="33">
        <f>LN(Assets!J301/Assets!J302)</f>
        <v>3.9219783991520391E-3</v>
      </c>
      <c r="G399" s="33"/>
      <c r="H399" s="33">
        <f>LN(Assets!L301/Assets!L302)</f>
        <v>9.6964580095351884E-3</v>
      </c>
      <c r="I399" s="33"/>
      <c r="J399" s="33">
        <f>LN(Assets!N301/Assets!N302)</f>
        <v>2.7056801387513294E-2</v>
      </c>
      <c r="K399" s="33"/>
      <c r="L399" s="33">
        <f>LN(Assets!P301/Assets!P302)</f>
        <v>2.2289417511520176E-2</v>
      </c>
      <c r="M399" s="33"/>
      <c r="N399" s="33">
        <f>LN(Assets!R301/Assets!R302)</f>
        <v>-1.8289544940575577E-2</v>
      </c>
    </row>
    <row r="400" spans="3:14" x14ac:dyDescent="0.2">
      <c r="C400" s="3">
        <v>45323</v>
      </c>
      <c r="D400" s="33">
        <f>LN(Assets!H302/Assets!H303)</f>
        <v>4.6192527561489862E-3</v>
      </c>
      <c r="E400" s="33"/>
      <c r="F400" s="33">
        <f>LN(Assets!J302/Assets!J303)</f>
        <v>4.5269997017128409E-2</v>
      </c>
      <c r="G400" s="33"/>
      <c r="H400" s="33">
        <f>LN(Assets!L302/Assets!L303)</f>
        <v>2.9884448795437909E-3</v>
      </c>
      <c r="I400" s="33"/>
      <c r="J400" s="33">
        <f>LN(Assets!N302/Assets!N303)</f>
        <v>4.3110123653728627E-2</v>
      </c>
      <c r="K400" s="33"/>
      <c r="L400" s="33">
        <f>LN(Assets!P302/Assets!P303)</f>
        <v>4.4543503493803746E-3</v>
      </c>
      <c r="M400" s="33"/>
      <c r="N400" s="33">
        <f>LN(Assets!R302/Assets!R303)</f>
        <v>6.9686693160932152E-3</v>
      </c>
    </row>
    <row r="401" spans="3:14" x14ac:dyDescent="0.2">
      <c r="C401" s="3">
        <v>45322</v>
      </c>
      <c r="D401" s="33">
        <f>LN(Assets!H303/Assets!H304)</f>
        <v>-9.7511408804244575E-3</v>
      </c>
      <c r="E401" s="33"/>
      <c r="F401" s="33">
        <f>LN(Assets!J303/Assets!J304)</f>
        <v>4.1760182443146589E-2</v>
      </c>
      <c r="G401" s="33"/>
      <c r="H401" s="33">
        <f>LN(Assets!L303/Assets!L304)</f>
        <v>-1.4191517209682324E-2</v>
      </c>
      <c r="I401" s="33"/>
      <c r="J401" s="33">
        <f>LN(Assets!N303/Assets!N304)</f>
        <v>-3.0371097876298644E-2</v>
      </c>
      <c r="K401" s="33"/>
      <c r="L401" s="33">
        <f>LN(Assets!P303/Assets!P304)</f>
        <v>-2.5501145768728008E-2</v>
      </c>
      <c r="M401" s="33"/>
      <c r="N401" s="33">
        <f>LN(Assets!R303/Assets!R304)</f>
        <v>-6.1214270388602107E-3</v>
      </c>
    </row>
    <row r="402" spans="3:14" x14ac:dyDescent="0.2">
      <c r="C402" s="3">
        <v>45321</v>
      </c>
      <c r="D402" s="33">
        <f>LN(Assets!H304/Assets!H305)</f>
        <v>1.3109290970690611E-3</v>
      </c>
      <c r="E402" s="33"/>
      <c r="F402" s="33">
        <f>LN(Assets!J304/Assets!J305)</f>
        <v>1.5691055303510074E-2</v>
      </c>
      <c r="G402" s="33"/>
      <c r="H402" s="33">
        <f>LN(Assets!L304/Assets!L305)</f>
        <v>4.5266697689638584E-3</v>
      </c>
      <c r="I402" s="33"/>
      <c r="J402" s="33">
        <f>LN(Assets!N304/Assets!N305)</f>
        <v>0.12260232209233228</v>
      </c>
      <c r="K402" s="33"/>
      <c r="L402" s="33">
        <f>LN(Assets!P304/Assets!P305)</f>
        <v>2.9655169955947757E-2</v>
      </c>
      <c r="M402" s="33"/>
      <c r="N402" s="33">
        <f>LN(Assets!R304/Assets!R305)</f>
        <v>-3.8913846584612455E-3</v>
      </c>
    </row>
    <row r="403" spans="3:14" x14ac:dyDescent="0.2">
      <c r="C403" s="3">
        <v>45320</v>
      </c>
      <c r="D403" s="33">
        <f>LN(Assets!H305/Assets!H306)</f>
        <v>3.5335842693731715E-3</v>
      </c>
      <c r="E403" s="33"/>
      <c r="F403" s="33">
        <f>LN(Assets!J305/Assets!J306)</f>
        <v>1.5242789348614479E-2</v>
      </c>
      <c r="G403" s="33"/>
      <c r="H403" s="33">
        <f>LN(Assets!L305/Assets!L306)</f>
        <v>4.7903557026974745E-3</v>
      </c>
      <c r="I403" s="33"/>
      <c r="J403" s="33">
        <f>LN(Assets!N305/Assets!N306)</f>
        <v>9.7088141269609032E-3</v>
      </c>
      <c r="K403" s="33"/>
      <c r="L403" s="33">
        <f>LN(Assets!P305/Assets!P306)</f>
        <v>2.430844047654164E-2</v>
      </c>
      <c r="M403" s="33"/>
      <c r="N403" s="33">
        <f>LN(Assets!R305/Assets!R306)</f>
        <v>1.2745520485866127E-2</v>
      </c>
    </row>
    <row r="404" spans="3:14" x14ac:dyDescent="0.2">
      <c r="C404" s="3">
        <v>45317</v>
      </c>
      <c r="D404" s="33">
        <f>LN(Assets!H306/Assets!H307)</f>
        <v>1.1244039925891462E-3</v>
      </c>
      <c r="E404" s="33"/>
      <c r="F404" s="33">
        <f>LN(Assets!J306/Assets!J307)</f>
        <v>5.6009481309701719E-3</v>
      </c>
      <c r="G404" s="33"/>
      <c r="H404" s="33">
        <f>LN(Assets!L306/Assets!L307)</f>
        <v>1.137001062359423E-2</v>
      </c>
      <c r="I404" s="33"/>
      <c r="J404" s="33">
        <f>LN(Assets!N306/Assets!N307)</f>
        <v>3.7271394797231384E-2</v>
      </c>
      <c r="K404" s="33"/>
      <c r="L404" s="33">
        <f>LN(Assets!P306/Assets!P307)</f>
        <v>-1.2066019532951344E-2</v>
      </c>
      <c r="M404" s="33"/>
      <c r="N404" s="33">
        <f>LN(Assets!R306/Assets!R307)</f>
        <v>6.3481383297135487E-3</v>
      </c>
    </row>
    <row r="405" spans="3:14" x14ac:dyDescent="0.2">
      <c r="C405" s="3">
        <v>45316</v>
      </c>
      <c r="D405" s="33">
        <f>LN(Assets!H307/Assets!H308)</f>
        <v>3.5967197377733246E-3</v>
      </c>
      <c r="E405" s="33"/>
      <c r="F405" s="33">
        <f>LN(Assets!J307/Assets!J308)</f>
        <v>2.944881531115694E-2</v>
      </c>
      <c r="G405" s="33"/>
      <c r="H405" s="33">
        <f>LN(Assets!L307/Assets!L308)</f>
        <v>-6.3733516384600038E-3</v>
      </c>
      <c r="I405" s="33"/>
      <c r="J405" s="33">
        <f>LN(Assets!N307/Assets!N308)</f>
        <v>0</v>
      </c>
      <c r="K405" s="33"/>
      <c r="L405" s="33">
        <f>LN(Assets!P307/Assets!P308)</f>
        <v>-3.8160433015282054E-2</v>
      </c>
      <c r="M405" s="33"/>
      <c r="N405" s="33">
        <f>LN(Assets!R307/Assets!R308)</f>
        <v>2.4744249035385885E-2</v>
      </c>
    </row>
    <row r="406" spans="3:14" x14ac:dyDescent="0.2">
      <c r="C406" s="3">
        <v>45315</v>
      </c>
      <c r="D406" s="33">
        <f>LN(Assets!H308/Assets!H309)</f>
        <v>-4.1892166563648104E-4</v>
      </c>
      <c r="E406" s="33"/>
      <c r="F406" s="33">
        <f>LN(Assets!J308/Assets!J309)</f>
        <v>7.0141779892958136E-3</v>
      </c>
      <c r="G406" s="33"/>
      <c r="H406" s="33">
        <f>LN(Assets!L308/Assets!L309)</f>
        <v>-1.1116962894984955E-2</v>
      </c>
      <c r="I406" s="33"/>
      <c r="J406" s="33">
        <f>LN(Assets!N308/Assets!N309)</f>
        <v>7.6239251106593664E-3</v>
      </c>
      <c r="K406" s="33"/>
      <c r="L406" s="33">
        <f>LN(Assets!P308/Assets!P309)</f>
        <v>-2.6175474404647209E-2</v>
      </c>
      <c r="M406" s="33"/>
      <c r="N406" s="33">
        <f>LN(Assets!R308/Assets!R309)</f>
        <v>1.3678159783925736E-2</v>
      </c>
    </row>
    <row r="407" spans="3:14" x14ac:dyDescent="0.2">
      <c r="C407" s="3">
        <v>45314</v>
      </c>
      <c r="D407" s="33">
        <f>LN(Assets!H309/Assets!H310)</f>
        <v>5.2570625202069824E-3</v>
      </c>
      <c r="E407" s="33"/>
      <c r="F407" s="33">
        <f>LN(Assets!J309/Assets!J310)</f>
        <v>-3.4354523502108346E-2</v>
      </c>
      <c r="G407" s="33"/>
      <c r="H407" s="33">
        <f>LN(Assets!L309/Assets!L310)</f>
        <v>5.6949142160973741E-3</v>
      </c>
      <c r="I407" s="33"/>
      <c r="J407" s="33">
        <f>LN(Assets!N309/Assets!N310)</f>
        <v>1.0256500167189061E-2</v>
      </c>
      <c r="K407" s="33"/>
      <c r="L407" s="33">
        <f>LN(Assets!P309/Assets!P310)</f>
        <v>-1.3285219551321869E-2</v>
      </c>
      <c r="M407" s="33"/>
      <c r="N407" s="33">
        <f>LN(Assets!R309/Assets!R310)</f>
        <v>-5.173501861091505E-3</v>
      </c>
    </row>
    <row r="408" spans="3:14" x14ac:dyDescent="0.2">
      <c r="C408" s="3">
        <v>45313</v>
      </c>
      <c r="D408" s="33">
        <f>LN(Assets!H310/Assets!H311)</f>
        <v>8.5009096502202948E-4</v>
      </c>
      <c r="E408" s="33"/>
      <c r="F408" s="33">
        <f>LN(Assets!J310/Assets!J311)</f>
        <v>2.6376722214926835E-2</v>
      </c>
      <c r="G408" s="33"/>
      <c r="H408" s="33">
        <f>LN(Assets!L310/Assets!L311)</f>
        <v>-7.2040751074035486E-3</v>
      </c>
      <c r="I408" s="33"/>
      <c r="J408" s="33">
        <f>LN(Assets!N310/Assets!N311)</f>
        <v>-2.5740039951728773E-3</v>
      </c>
      <c r="K408" s="33"/>
      <c r="L408" s="33">
        <f>LN(Assets!P310/Assets!P311)</f>
        <v>9.9473314575465391E-3</v>
      </c>
      <c r="M408" s="33"/>
      <c r="N408" s="33">
        <f>LN(Assets!R310/Assets!R311)</f>
        <v>1.6867437404374921E-2</v>
      </c>
    </row>
    <row r="409" spans="3:14" x14ac:dyDescent="0.2">
      <c r="C409" s="3">
        <v>45310</v>
      </c>
      <c r="D409" s="33">
        <f>LN(Assets!H311/Assets!H312)</f>
        <v>7.1905406031961055E-3</v>
      </c>
      <c r="E409" s="33"/>
      <c r="F409" s="33">
        <f>LN(Assets!J311/Assets!J312)</f>
        <v>7.3422882093134717E-2</v>
      </c>
      <c r="G409" s="33"/>
      <c r="H409" s="33">
        <f>LN(Assets!L311/Assets!L312)</f>
        <v>1.4950141712005116E-2</v>
      </c>
      <c r="I409" s="33"/>
      <c r="J409" s="33">
        <f>LN(Assets!N311/Assets!N312)</f>
        <v>3.9323546203914303E-2</v>
      </c>
      <c r="K409" s="33"/>
      <c r="L409" s="33">
        <f>LN(Assets!P311/Assets!P312)</f>
        <v>2.453358252199405E-2</v>
      </c>
      <c r="M409" s="33"/>
      <c r="N409" s="33">
        <f>LN(Assets!R311/Assets!R312)</f>
        <v>1.2675420438606549E-3</v>
      </c>
    </row>
    <row r="410" spans="3:14" x14ac:dyDescent="0.2">
      <c r="C410" s="3">
        <v>45309</v>
      </c>
      <c r="D410" s="33">
        <f>LN(Assets!H312/Assets!H313)</f>
        <v>2.9774398228791825E-3</v>
      </c>
      <c r="E410" s="33"/>
      <c r="F410" s="33">
        <f>LN(Assets!J312/Assets!J313)</f>
        <v>3.3999848899757615E-2</v>
      </c>
      <c r="G410" s="33"/>
      <c r="H410" s="33">
        <f>LN(Assets!L312/Assets!L313)</f>
        <v>2.3981072995308422E-2</v>
      </c>
      <c r="I410" s="33"/>
      <c r="J410" s="33">
        <f>LN(Assets!N312/Assets!N313)</f>
        <v>-1.0638398205055643E-2</v>
      </c>
      <c r="K410" s="33"/>
      <c r="L410" s="33">
        <f>LN(Assets!P312/Assets!P313)</f>
        <v>1.4699248244844546E-2</v>
      </c>
      <c r="M410" s="33"/>
      <c r="N410" s="33">
        <f>LN(Assets!R312/Assets!R313)</f>
        <v>2.3094868102274145E-2</v>
      </c>
    </row>
    <row r="411" spans="3:14" x14ac:dyDescent="0.2">
      <c r="C411" s="3">
        <v>45308</v>
      </c>
      <c r="D411" s="33">
        <f>LN(Assets!H313/Assets!H314)</f>
        <v>-1.2154381143648064E-2</v>
      </c>
      <c r="E411" s="33"/>
      <c r="F411" s="33">
        <f>LN(Assets!J313/Assets!J314)</f>
        <v>-3.2184260280155162E-2</v>
      </c>
      <c r="G411" s="33"/>
      <c r="H411" s="33">
        <f>LN(Assets!L313/Assets!L314)</f>
        <v>2.6049757617010109E-2</v>
      </c>
      <c r="I411" s="33"/>
      <c r="J411" s="33">
        <f>LN(Assets!N313/Assets!N314)</f>
        <v>1.3315775975772156E-2</v>
      </c>
      <c r="K411" s="33"/>
      <c r="L411" s="33">
        <f>LN(Assets!P313/Assets!P314)</f>
        <v>-2.5173078113778055E-3</v>
      </c>
      <c r="M411" s="33"/>
      <c r="N411" s="33">
        <f>LN(Assets!R313/Assets!R314)</f>
        <v>-9.0448240059646141E-3</v>
      </c>
    </row>
    <row r="412" spans="3:14" x14ac:dyDescent="0.2">
      <c r="C412" s="3">
        <v>45307</v>
      </c>
      <c r="D412" s="33">
        <f>LN(Assets!H314/Assets!H315)</f>
        <v>-5.4172987166609078E-3</v>
      </c>
      <c r="E412" s="33"/>
      <c r="F412" s="33">
        <f>LN(Assets!J314/Assets!J315)</f>
        <v>1.1225806439412062E-2</v>
      </c>
      <c r="G412" s="33"/>
      <c r="H412" s="33">
        <f>LN(Assets!L314/Assets!L315)</f>
        <v>4.3279146669904123E-2</v>
      </c>
      <c r="I412" s="33"/>
      <c r="J412" s="33">
        <f>LN(Assets!N314/Assets!N315)</f>
        <v>-3.1664914643968693E-2</v>
      </c>
      <c r="K412" s="33"/>
      <c r="L412" s="33">
        <f>LN(Assets!P314/Assets!P315)</f>
        <v>6.3051911283148708E-3</v>
      </c>
      <c r="M412" s="33"/>
      <c r="N412" s="33">
        <f>LN(Assets!R314/Assets!R315)</f>
        <v>-9.5099473120275474E-3</v>
      </c>
    </row>
    <row r="413" spans="3:14" x14ac:dyDescent="0.2">
      <c r="C413" s="3">
        <v>45306</v>
      </c>
      <c r="D413" s="33">
        <f>LN(Assets!H315/Assets!H316)</f>
        <v>3.4081565184170756E-3</v>
      </c>
      <c r="E413" s="33"/>
      <c r="F413" s="33">
        <f>LN(Assets!J315/Assets!J316)</f>
        <v>-1.1225806439412069E-2</v>
      </c>
      <c r="G413" s="33"/>
      <c r="H413" s="33">
        <f>LN(Assets!L315/Assets!L316)</f>
        <v>4.3112225751914153E-3</v>
      </c>
      <c r="I413" s="33"/>
      <c r="J413" s="33">
        <f>LN(Assets!N315/Assets!N316)</f>
        <v>-2.3107575010149605E-2</v>
      </c>
      <c r="K413" s="33"/>
      <c r="L413" s="33">
        <f>LN(Assets!P315/Assets!P316)</f>
        <v>4.2642119266002539E-2</v>
      </c>
      <c r="M413" s="33"/>
      <c r="N413" s="33">
        <f>LN(Assets!R315/Assets!R316)</f>
        <v>-1.4097468244477216E-2</v>
      </c>
    </row>
    <row r="414" spans="3:14" x14ac:dyDescent="0.2">
      <c r="C414" s="3">
        <v>45303</v>
      </c>
      <c r="D414" s="33">
        <f>LN(Assets!H316/Assets!H317)</f>
        <v>3.4274605228560755E-3</v>
      </c>
      <c r="E414" s="33"/>
      <c r="F414" s="33">
        <f>LN(Assets!J316/Assets!J317)</f>
        <v>2.0790028278331553E-3</v>
      </c>
      <c r="G414" s="33"/>
      <c r="H414" s="33">
        <f>LN(Assets!L316/Assets!L317)</f>
        <v>2.8624249535775855E-2</v>
      </c>
      <c r="I414" s="33"/>
      <c r="J414" s="33">
        <f>LN(Assets!N316/Assets!N317)</f>
        <v>0</v>
      </c>
      <c r="K414" s="33"/>
      <c r="L414" s="33">
        <f>LN(Assets!P316/Assets!P317)</f>
        <v>3.4243023422212658E-2</v>
      </c>
      <c r="M414" s="33"/>
      <c r="N414" s="33">
        <f>LN(Assets!R316/Assets!R317)</f>
        <v>-1.3901489240790361E-2</v>
      </c>
    </row>
    <row r="415" spans="3:14" x14ac:dyDescent="0.2">
      <c r="C415" s="3">
        <v>45302</v>
      </c>
      <c r="D415" s="33">
        <f>LN(Assets!H317/Assets!H318)</f>
        <v>-3.3893468086793601E-3</v>
      </c>
      <c r="E415" s="33"/>
      <c r="F415" s="33">
        <f>LN(Assets!J317/Assets!J318)</f>
        <v>-2.7455220321207618E-2</v>
      </c>
      <c r="G415" s="33"/>
      <c r="H415" s="33">
        <f>LN(Assets!L317/Assets!L318)</f>
        <v>4.1070678315643797E-3</v>
      </c>
      <c r="I415" s="33"/>
      <c r="J415" s="33">
        <f>LN(Assets!N317/Assets!N318)</f>
        <v>-1.7610518008635279E-2</v>
      </c>
      <c r="K415" s="33"/>
      <c r="L415" s="33">
        <f>LN(Assets!P317/Assets!P318)</f>
        <v>2.0007566327535527E-2</v>
      </c>
      <c r="M415" s="33"/>
      <c r="N415" s="33">
        <f>LN(Assets!R317/Assets!R318)</f>
        <v>1.5697789346576604E-2</v>
      </c>
    </row>
    <row r="416" spans="3:14" x14ac:dyDescent="0.2">
      <c r="C416" s="3">
        <v>45301</v>
      </c>
      <c r="D416" s="33">
        <f>LN(Assets!H318/Assets!H319)</f>
        <v>8.789239943891628E-4</v>
      </c>
      <c r="E416" s="33"/>
      <c r="F416" s="33">
        <f>LN(Assets!J318/Assets!J319)</f>
        <v>2.4857141437078917E-2</v>
      </c>
      <c r="G416" s="33"/>
      <c r="H416" s="33">
        <f>LN(Assets!L318/Assets!L319)</f>
        <v>2.5143189667130596E-3</v>
      </c>
      <c r="I416" s="33"/>
      <c r="J416" s="33">
        <f>LN(Assets!N318/Assets!N319)</f>
        <v>-7.4534506545808907E-3</v>
      </c>
      <c r="K416" s="33"/>
      <c r="L416" s="33">
        <f>LN(Assets!P318/Assets!P319)</f>
        <v>6.2915272194802507E-3</v>
      </c>
      <c r="M416" s="33"/>
      <c r="N416" s="33">
        <f>LN(Assets!R318/Assets!R319)</f>
        <v>1.5765480109208453E-2</v>
      </c>
    </row>
    <row r="417" spans="3:14" x14ac:dyDescent="0.2">
      <c r="C417" s="3">
        <v>45300</v>
      </c>
      <c r="D417" s="33">
        <f>LN(Assets!H319/Assets!H320)</f>
        <v>-4.9436561656037064E-3</v>
      </c>
      <c r="E417" s="33"/>
      <c r="F417" s="33">
        <f>LN(Assets!J319/Assets!J320)</f>
        <v>5.1907605629550671E-4</v>
      </c>
      <c r="G417" s="33"/>
      <c r="H417" s="33">
        <f>LN(Assets!L319/Assets!L320)</f>
        <v>1.2950631452837893E-2</v>
      </c>
      <c r="I417" s="33"/>
      <c r="J417" s="33">
        <f>LN(Assets!N319/Assets!N320)</f>
        <v>-2.2032714999882692E-2</v>
      </c>
      <c r="K417" s="33"/>
      <c r="L417" s="33">
        <f>LN(Assets!P319/Assets!P320)</f>
        <v>-1.0513405559240232E-3</v>
      </c>
      <c r="M417" s="33"/>
      <c r="N417" s="33">
        <f>LN(Assets!R319/Assets!R320)</f>
        <v>-6.7352580087928519E-3</v>
      </c>
    </row>
    <row r="418" spans="3:14" x14ac:dyDescent="0.2">
      <c r="C418" s="3">
        <v>45299</v>
      </c>
      <c r="D418" s="33">
        <f>LN(Assets!H320/Assets!H321)</f>
        <v>6.5390357740320411E-3</v>
      </c>
      <c r="E418" s="33"/>
      <c r="F418" s="33">
        <f>LN(Assets!J320/Assets!J321)</f>
        <v>3.1380294003432445E-2</v>
      </c>
      <c r="G418" s="33"/>
      <c r="H418" s="33">
        <f>LN(Assets!L320/Assets!L321)</f>
        <v>3.1739557504978679E-2</v>
      </c>
      <c r="I418" s="33"/>
      <c r="J418" s="33">
        <f>LN(Assets!N320/Assets!N321)</f>
        <v>7.290433262679274E-3</v>
      </c>
      <c r="K418" s="33"/>
      <c r="L418" s="33">
        <f>LN(Assets!P320/Assets!P321)</f>
        <v>2.6620915405427895E-2</v>
      </c>
      <c r="M418" s="33"/>
      <c r="N418" s="33">
        <f>LN(Assets!R320/Assets!R321)</f>
        <v>2.7404013710569223E-2</v>
      </c>
    </row>
    <row r="419" spans="3:14" x14ac:dyDescent="0.2">
      <c r="C419" s="3">
        <v>45296</v>
      </c>
      <c r="D419" s="33">
        <f>LN(Assets!H321/Assets!H322)</f>
        <v>3.166792492713128E-3</v>
      </c>
      <c r="E419" s="33"/>
      <c r="F419" s="33">
        <f>LN(Assets!J321/Assets!J322)</f>
        <v>8.0396627672263876E-4</v>
      </c>
      <c r="G419" s="33"/>
      <c r="H419" s="33">
        <f>LN(Assets!L321/Assets!L322)</f>
        <v>-6.5597902865257305E-3</v>
      </c>
      <c r="I419" s="33"/>
      <c r="J419" s="33">
        <f>LN(Assets!N321/Assets!N322)</f>
        <v>4.8899852941917702E-3</v>
      </c>
      <c r="K419" s="33"/>
      <c r="L419" s="33">
        <f>LN(Assets!P321/Assets!P322)</f>
        <v>-2.4517127813225431E-2</v>
      </c>
      <c r="M419" s="33"/>
      <c r="N419" s="33">
        <f>LN(Assets!R321/Assets!R322)</f>
        <v>9.5551078266555584E-3</v>
      </c>
    </row>
    <row r="420" spans="3:14" x14ac:dyDescent="0.2">
      <c r="C420" s="3">
        <v>45295</v>
      </c>
      <c r="D420" s="33">
        <f>LN(Assets!H322/Assets!H323)</f>
        <v>2.5315479389103179E-3</v>
      </c>
      <c r="E420" s="33"/>
      <c r="F420" s="33">
        <f>LN(Assets!J322/Assets!J323)</f>
        <v>-8.8082779555762065E-3</v>
      </c>
      <c r="G420" s="33"/>
      <c r="H420" s="33">
        <f>LN(Assets!L322/Assets!L323)</f>
        <v>-9.9035760837234959E-3</v>
      </c>
      <c r="I420" s="33"/>
      <c r="J420" s="33">
        <f>LN(Assets!N322/Assets!N323)</f>
        <v>2.7330893716971266E-2</v>
      </c>
      <c r="K420" s="33"/>
      <c r="L420" s="33">
        <f>LN(Assets!P322/Assets!P323)</f>
        <v>-2.1037875922023841E-3</v>
      </c>
      <c r="M420" s="33"/>
      <c r="N420" s="33">
        <f>LN(Assets!R322/Assets!R323)</f>
        <v>-1.504891179420388E-3</v>
      </c>
    </row>
    <row r="421" spans="3:14" x14ac:dyDescent="0.2">
      <c r="C421" s="3">
        <v>45294</v>
      </c>
      <c r="D421" s="33">
        <f>LN(Assets!H323/Assets!H324)</f>
        <v>-2.56939815220549E-3</v>
      </c>
      <c r="E421" s="33"/>
      <c r="F421" s="33">
        <f>LN(Assets!J323/Assets!J324)</f>
        <v>-7.9691862366031705E-4</v>
      </c>
      <c r="G421" s="33"/>
      <c r="H421" s="33">
        <f>LN(Assets!L323/Assets!L324)</f>
        <v>-2.3811494953314551E-2</v>
      </c>
      <c r="I421" s="33"/>
      <c r="J421" s="33">
        <f>LN(Assets!N323/Assets!N324)</f>
        <v>-2.241687891454203E-2</v>
      </c>
      <c r="K421" s="33"/>
      <c r="L421" s="33">
        <f>LN(Assets!P323/Assets!P324)</f>
        <v>-1.2184659016367217E-2</v>
      </c>
      <c r="M421" s="33"/>
      <c r="N421" s="33">
        <f>LN(Assets!R323/Assets!R324)</f>
        <v>-1.8437993230424093E-2</v>
      </c>
    </row>
    <row r="422" spans="3:14" x14ac:dyDescent="0.2">
      <c r="C422" s="3">
        <v>45293</v>
      </c>
      <c r="D422" s="33">
        <f>LN(Assets!H324/Assets!H325)</f>
        <v>-4.1261738393454633E-3</v>
      </c>
      <c r="E422" s="33"/>
      <c r="F422" s="33">
        <f>LN(Assets!J324/Assets!J325)</f>
        <v>-3.0079422151808709E-2</v>
      </c>
      <c r="G422" s="33"/>
      <c r="H422" s="33">
        <f>LN(Assets!L324/Assets!L325)</f>
        <v>-4.3568798074937798E-2</v>
      </c>
      <c r="I422" s="33"/>
      <c r="J422" s="33">
        <f>LN(Assets!N324/Assets!N325)</f>
        <v>-1.9512814223581715E-2</v>
      </c>
      <c r="K422" s="33"/>
      <c r="L422" s="33">
        <f>LN(Assets!P324/Assets!P325)</f>
        <v>-3.4016885278254243E-2</v>
      </c>
      <c r="M422" s="33"/>
      <c r="N422" s="33">
        <f>LN(Assets!R324/Assets!R325)</f>
        <v>-2.7304208023554433E-2</v>
      </c>
    </row>
    <row r="423" spans="3:14" x14ac:dyDescent="0.2">
      <c r="C423" s="3">
        <v>45289</v>
      </c>
      <c r="D423" s="33">
        <f>LN(Assets!H325/Assets!H326)</f>
        <v>1.3875157342725978E-3</v>
      </c>
      <c r="E423" s="33"/>
      <c r="F423" s="33">
        <f>LN(Assets!J325/Assets!J326)</f>
        <v>-8.9778722814945096E-3</v>
      </c>
      <c r="G423" s="33"/>
      <c r="H423" s="33">
        <f>LN(Assets!L325/Assets!L326)</f>
        <v>6.0538797126900585E-4</v>
      </c>
      <c r="I423" s="33"/>
      <c r="J423" s="33">
        <f>LN(Assets!N325/Assets!N326)</f>
        <v>-1.438873745209978E-2</v>
      </c>
      <c r="K423" s="33"/>
      <c r="L423" s="33">
        <f>LN(Assets!P325/Assets!P326)</f>
        <v>-9.9834439841832625E-3</v>
      </c>
      <c r="M423" s="33"/>
      <c r="N423" s="33">
        <f>LN(Assets!R325/Assets!R326)</f>
        <v>-4.6578371563571084E-3</v>
      </c>
    </row>
    <row r="424" spans="3:14" x14ac:dyDescent="0.2">
      <c r="C424" s="3">
        <v>45288</v>
      </c>
      <c r="D424" s="33">
        <f>LN(Assets!H326/Assets!H327)</f>
        <v>-4.125856454813147E-3</v>
      </c>
      <c r="E424" s="33"/>
      <c r="F424" s="33">
        <f>LN(Assets!J326/Assets!J327)</f>
        <v>5.1203388879751096E-3</v>
      </c>
      <c r="G424" s="33"/>
      <c r="H424" s="33">
        <f>LN(Assets!L326/Assets!L327)</f>
        <v>-2.5535932161359493E-3</v>
      </c>
      <c r="I424" s="33"/>
      <c r="J424" s="33">
        <f>LN(Assets!N326/Assets!N327)</f>
        <v>4.8790164169432049E-2</v>
      </c>
      <c r="K424" s="33"/>
      <c r="L424" s="33">
        <f>LN(Assets!P326/Assets!P327)</f>
        <v>2.6847250036188056E-2</v>
      </c>
      <c r="M424" s="33"/>
      <c r="N424" s="33">
        <f>LN(Assets!R326/Assets!R327)</f>
        <v>-5.880797488254077E-3</v>
      </c>
    </row>
    <row r="425" spans="3:14" x14ac:dyDescent="0.2">
      <c r="C425" s="3">
        <v>45287</v>
      </c>
      <c r="D425" s="33">
        <f>LN(Assets!H327/Assets!H328)</f>
        <v>6.4310161950023818E-3</v>
      </c>
      <c r="E425" s="33"/>
      <c r="F425" s="33">
        <f>LN(Assets!J327/Assets!J328)</f>
        <v>-1.4777338968136447E-2</v>
      </c>
      <c r="G425" s="33"/>
      <c r="H425" s="33">
        <f>LN(Assets!L327/Assets!L328)</f>
        <v>-1.3399753842238564E-2</v>
      </c>
      <c r="I425" s="33"/>
      <c r="J425" s="33">
        <f>LN(Assets!N327/Assets!N328)</f>
        <v>-2.2250608934819692E-2</v>
      </c>
      <c r="K425" s="33"/>
      <c r="L425" s="33">
        <f>LN(Assets!P327/Assets!P328)</f>
        <v>2.4446044351362332E-2</v>
      </c>
      <c r="M425" s="33"/>
      <c r="N425" s="33">
        <f>LN(Assets!R327/Assets!R328)</f>
        <v>7.6697067309785642E-3</v>
      </c>
    </row>
    <row r="426" spans="3:14" x14ac:dyDescent="0.2">
      <c r="C426" s="3">
        <v>45282</v>
      </c>
      <c r="D426" s="33">
        <f>LN(Assets!H328/Assets!H329)</f>
        <v>5.5447219534028808E-3</v>
      </c>
      <c r="E426" s="33"/>
      <c r="F426" s="33">
        <f>LN(Assets!J328/Assets!J329)</f>
        <v>2.7858698529349356E-3</v>
      </c>
      <c r="G426" s="33"/>
      <c r="H426" s="33">
        <f>LN(Assets!L328/Assets!L329)</f>
        <v>3.382975598767378E-3</v>
      </c>
      <c r="I426" s="33"/>
      <c r="J426" s="33">
        <f>LN(Assets!N328/Assets!N329)</f>
        <v>-1.6970104218461589E-2</v>
      </c>
      <c r="K426" s="33"/>
      <c r="L426" s="33">
        <f>LN(Assets!P328/Assets!P329)</f>
        <v>3.6922902024929719E-2</v>
      </c>
      <c r="M426" s="33"/>
      <c r="N426" s="33">
        <f>LN(Assets!R328/Assets!R329)</f>
        <v>-1.7889092427245995E-3</v>
      </c>
    </row>
    <row r="427" spans="3:14" x14ac:dyDescent="0.2">
      <c r="C427" s="3">
        <v>45281</v>
      </c>
      <c r="D427" s="33">
        <f>LN(Assets!H329/Assets!H330)</f>
        <v>7.9736363633394827E-3</v>
      </c>
      <c r="E427" s="33"/>
      <c r="F427" s="33">
        <f>LN(Assets!J329/Assets!J330)</f>
        <v>2.7511697874298278E-2</v>
      </c>
      <c r="G427" s="33"/>
      <c r="H427" s="33">
        <f>LN(Assets!L329/Assets!L330)</f>
        <v>1.3580166557026025E-2</v>
      </c>
      <c r="I427" s="33"/>
      <c r="J427" s="33">
        <f>LN(Assets!N329/Assets!N330)</f>
        <v>2.4067400305648376E-3</v>
      </c>
      <c r="K427" s="33"/>
      <c r="L427" s="33">
        <f>LN(Assets!P329/Assets!P330)</f>
        <v>4.8157452980972459E-2</v>
      </c>
      <c r="M427" s="33"/>
      <c r="N427" s="33">
        <f>LN(Assets!R329/Assets!R330)</f>
        <v>2.0038580063820515E-2</v>
      </c>
    </row>
    <row r="428" spans="3:14" x14ac:dyDescent="0.2">
      <c r="C428" s="3">
        <v>45280</v>
      </c>
      <c r="D428" s="33">
        <f>LN(Assets!H330/Assets!H331)</f>
        <v>-1.1526066998079582E-2</v>
      </c>
      <c r="E428" s="33"/>
      <c r="F428" s="33">
        <f>LN(Assets!J330/Assets!J331)</f>
        <v>-2.0640567647072037E-2</v>
      </c>
      <c r="G428" s="33"/>
      <c r="H428" s="33">
        <f>LN(Assets!L330/Assets!L331)</f>
        <v>-3.6569684781724753E-2</v>
      </c>
      <c r="I428" s="33"/>
      <c r="J428" s="33">
        <f>LN(Assets!N330/Assets!N331)</f>
        <v>2.4125464053841475E-3</v>
      </c>
      <c r="K428" s="33"/>
      <c r="L428" s="33">
        <f>LN(Assets!P330/Assets!P331)</f>
        <v>0.12774712371993094</v>
      </c>
      <c r="M428" s="33"/>
      <c r="N428" s="33">
        <f>LN(Assets!R330/Assets!R331)</f>
        <v>-2.1857932199802082E-3</v>
      </c>
    </row>
    <row r="429" spans="3:14" x14ac:dyDescent="0.2">
      <c r="C429" s="3">
        <v>45279</v>
      </c>
      <c r="D429" s="33">
        <f>LN(Assets!H331/Assets!H332)</f>
        <v>1.0463566655544354E-2</v>
      </c>
      <c r="E429" s="33"/>
      <c r="F429" s="33">
        <f>LN(Assets!J331/Assets!J332)</f>
        <v>-5.8561593205049911E-3</v>
      </c>
      <c r="G429" s="33"/>
      <c r="H429" s="33">
        <f>LN(Assets!L331/Assets!L332)</f>
        <v>2.6658879860922066E-3</v>
      </c>
      <c r="I429" s="33"/>
      <c r="J429" s="33">
        <f>LN(Assets!N331/Assets!N332)</f>
        <v>4.8426244757879908E-3</v>
      </c>
      <c r="K429" s="33"/>
      <c r="L429" s="33">
        <f>LN(Assets!P331/Assets!P332)</f>
        <v>-1.2928250023050822E-3</v>
      </c>
      <c r="M429" s="33"/>
      <c r="N429" s="33">
        <f>LN(Assets!R331/Assets!R332)</f>
        <v>-4.9006359990021783E-3</v>
      </c>
    </row>
    <row r="430" spans="3:14" x14ac:dyDescent="0.2">
      <c r="C430" s="3">
        <v>45278</v>
      </c>
      <c r="D430" s="33">
        <f>LN(Assets!H332/Assets!H333)</f>
        <v>4.5470684048063009E-3</v>
      </c>
      <c r="E430" s="33"/>
      <c r="F430" s="33">
        <f>LN(Assets!J332/Assets!J333)</f>
        <v>-2.5354983157436016E-3</v>
      </c>
      <c r="G430" s="33"/>
      <c r="H430" s="33">
        <f>LN(Assets!L332/Assets!L333)</f>
        <v>2.9341787425596903E-3</v>
      </c>
      <c r="I430" s="33"/>
      <c r="J430" s="33">
        <f>LN(Assets!N332/Assets!N333)</f>
        <v>-1.9231361927887644E-2</v>
      </c>
      <c r="K430" s="33"/>
      <c r="L430" s="33">
        <f>LN(Assets!P332/Assets!P333)</f>
        <v>-2.5511587657408619E-2</v>
      </c>
      <c r="M430" s="33"/>
      <c r="N430" s="33">
        <f>LN(Assets!R332/Assets!R333)</f>
        <v>4.173098680625144E-3</v>
      </c>
    </row>
    <row r="431" spans="3:14" x14ac:dyDescent="0.2">
      <c r="C431" s="3">
        <v>45275</v>
      </c>
      <c r="D431" s="33">
        <f>LN(Assets!H333/Assets!H334)</f>
        <v>-1.2087408820566999E-2</v>
      </c>
      <c r="E431" s="33"/>
      <c r="F431" s="33">
        <f>LN(Assets!J333/Assets!J334)</f>
        <v>1.5053224674157468E-2</v>
      </c>
      <c r="G431" s="33"/>
      <c r="H431" s="33">
        <f>LN(Assets!L333/Assets!L334)</f>
        <v>-1.394180089612047E-2</v>
      </c>
      <c r="I431" s="33"/>
      <c r="J431" s="33">
        <f>LN(Assets!N333/Assets!N334)</f>
        <v>-7.1174677688639896E-3</v>
      </c>
      <c r="K431" s="33"/>
      <c r="L431" s="33">
        <f>LN(Assets!P333/Assets!P334)</f>
        <v>-2.4057568372002062E-2</v>
      </c>
      <c r="M431" s="33"/>
      <c r="N431" s="33">
        <f>LN(Assets!R333/Assets!R334)</f>
        <v>-1.3364836821331232E-2</v>
      </c>
    </row>
    <row r="432" spans="3:14" x14ac:dyDescent="0.2">
      <c r="C432" s="3">
        <v>45274</v>
      </c>
      <c r="D432" s="33">
        <f>LN(Assets!H334/Assets!H335)</f>
        <v>7.2135696449707508E-3</v>
      </c>
      <c r="E432" s="33"/>
      <c r="F432" s="33">
        <f>LN(Assets!J334/Assets!J335)</f>
        <v>2.2881913564117493E-2</v>
      </c>
      <c r="G432" s="33"/>
      <c r="H432" s="33">
        <f>LN(Assets!L334/Assets!L335)</f>
        <v>4.259170093758557E-3</v>
      </c>
      <c r="I432" s="33"/>
      <c r="J432" s="33">
        <f>LN(Assets!N334/Assets!N335)</f>
        <v>2.1506205220963682E-2</v>
      </c>
      <c r="K432" s="33"/>
      <c r="L432" s="33">
        <f>LN(Assets!P334/Assets!P335)</f>
        <v>5.1293294387550481E-2</v>
      </c>
      <c r="M432" s="33"/>
      <c r="N432" s="33">
        <f>LN(Assets!R334/Assets!R335)</f>
        <v>6.8407107443879895E-3</v>
      </c>
    </row>
    <row r="433" spans="3:14" x14ac:dyDescent="0.2">
      <c r="C433" s="3">
        <v>45273</v>
      </c>
      <c r="D433" s="33">
        <f>LN(Assets!H335/Assets!H336)</f>
        <v>1.9363216254204927E-2</v>
      </c>
      <c r="E433" s="33"/>
      <c r="F433" s="33">
        <f>LN(Assets!J335/Assets!J336)</f>
        <v>1.724409356289076E-2</v>
      </c>
      <c r="G433" s="33"/>
      <c r="H433" s="33">
        <f>LN(Assets!L335/Assets!L336)</f>
        <v>2.0713602801662311E-2</v>
      </c>
      <c r="I433" s="33"/>
      <c r="J433" s="33">
        <f>LN(Assets!N335/Assets!N336)</f>
        <v>-3.0918039403310092E-2</v>
      </c>
      <c r="K433" s="33"/>
      <c r="L433" s="33">
        <f>LN(Assets!P335/Assets!P336)</f>
        <v>-3.1843064008676251E-2</v>
      </c>
      <c r="M433" s="33"/>
      <c r="N433" s="33">
        <f>LN(Assets!R335/Assets!R336)</f>
        <v>4.8890998247889525E-3</v>
      </c>
    </row>
    <row r="434" spans="3:14" x14ac:dyDescent="0.2">
      <c r="C434" s="3">
        <v>45272</v>
      </c>
      <c r="D434" s="33">
        <f>LN(Assets!H336/Assets!H337)</f>
        <v>-4.1684605217655376E-3</v>
      </c>
      <c r="E434" s="33"/>
      <c r="F434" s="33">
        <f>LN(Assets!J336/Assets!J337)</f>
        <v>-6.1358068984564175E-3</v>
      </c>
      <c r="G434" s="33"/>
      <c r="H434" s="33">
        <f>LN(Assets!L336/Assets!L337)</f>
        <v>-6.0558373591869238E-3</v>
      </c>
      <c r="I434" s="33"/>
      <c r="J434" s="33">
        <f>LN(Assets!N336/Assets!N337)</f>
        <v>-2.0858230120409924E-2</v>
      </c>
      <c r="K434" s="33"/>
      <c r="L434" s="33">
        <f>LN(Assets!P336/Assets!P337)</f>
        <v>-1.5754886407749972E-2</v>
      </c>
      <c r="M434" s="33"/>
      <c r="N434" s="33">
        <f>LN(Assets!R336/Assets!R337)</f>
        <v>6.373507872092201E-3</v>
      </c>
    </row>
    <row r="435" spans="3:14" x14ac:dyDescent="0.2">
      <c r="C435" s="3">
        <v>45271</v>
      </c>
      <c r="D435" s="33">
        <f>LN(Assets!H337/Assets!H338)</f>
        <v>-6.4846410258603718E-4</v>
      </c>
      <c r="E435" s="33"/>
      <c r="F435" s="33">
        <f>LN(Assets!J337/Assets!J338)</f>
        <v>1.7167803622365498E-2</v>
      </c>
      <c r="G435" s="33"/>
      <c r="H435" s="33">
        <f>LN(Assets!L337/Assets!L338)</f>
        <v>-1.3622501681296136E-2</v>
      </c>
      <c r="I435" s="33"/>
      <c r="J435" s="33">
        <f>LN(Assets!N337/Assets!N338)</f>
        <v>3.7387532071620412E-2</v>
      </c>
      <c r="K435" s="33"/>
      <c r="L435" s="33">
        <f>LN(Assets!P337/Assets!P338)</f>
        <v>4.4582656294666519E-2</v>
      </c>
      <c r="M435" s="33"/>
      <c r="N435" s="33">
        <f>LN(Assets!R337/Assets!R338)</f>
        <v>8.8073963817474361E-3</v>
      </c>
    </row>
    <row r="436" spans="3:14" x14ac:dyDescent="0.2">
      <c r="C436" s="3">
        <v>45268</v>
      </c>
      <c r="D436" s="33">
        <f>LN(Assets!H338/Assets!H339)</f>
        <v>2.611670270898384E-3</v>
      </c>
      <c r="E436" s="33"/>
      <c r="F436" s="33">
        <f>LN(Assets!J338/Assets!J339)</f>
        <v>1.8845293478672264E-2</v>
      </c>
      <c r="G436" s="33"/>
      <c r="H436" s="33">
        <f>LN(Assets!L338/Assets!L339)</f>
        <v>1.2948336156899719E-4</v>
      </c>
      <c r="I436" s="33"/>
      <c r="J436" s="33">
        <f>LN(Assets!N338/Assets!N339)</f>
        <v>2.6539555234612312E-2</v>
      </c>
      <c r="K436" s="33"/>
      <c r="L436" s="33">
        <f>LN(Assets!P338/Assets!P339)</f>
        <v>-1.7057982904576625E-2</v>
      </c>
      <c r="M436" s="33"/>
      <c r="N436" s="33">
        <f>LN(Assets!R338/Assets!R339)</f>
        <v>2.9531213783497083E-3</v>
      </c>
    </row>
    <row r="437" spans="3:14" x14ac:dyDescent="0.2">
      <c r="C437" s="3">
        <v>45267</v>
      </c>
      <c r="D437" s="33">
        <f>LN(Assets!H339/Assets!H340)</f>
        <v>2.1206962275849861E-4</v>
      </c>
      <c r="E437" s="33"/>
      <c r="F437" s="33">
        <f>LN(Assets!J339/Assets!J340)</f>
        <v>3.1366335038137259E-2</v>
      </c>
      <c r="G437" s="33"/>
      <c r="H437" s="33">
        <f>LN(Assets!L339/Assets!L340)</f>
        <v>1.8624946156319405E-2</v>
      </c>
      <c r="I437" s="33"/>
      <c r="J437" s="33">
        <f>LN(Assets!N339/Assets!N340)</f>
        <v>2.475373915293818E-2</v>
      </c>
      <c r="K437" s="33"/>
      <c r="L437" s="33">
        <f>LN(Assets!P339/Assets!P340)</f>
        <v>2.4830042752279621E-2</v>
      </c>
      <c r="M437" s="33"/>
      <c r="N437" s="33">
        <f>LN(Assets!R339/Assets!R340)</f>
        <v>1.4798374879663107E-3</v>
      </c>
    </row>
    <row r="438" spans="3:14" x14ac:dyDescent="0.2">
      <c r="C438" s="3">
        <v>45266</v>
      </c>
      <c r="D438" s="33">
        <f>LN(Assets!H340/Assets!H341)</f>
        <v>-5.0046672563682131E-3</v>
      </c>
      <c r="E438" s="33"/>
      <c r="F438" s="33">
        <f>LN(Assets!J340/Assets!J341)</f>
        <v>-4.7502333985003371E-2</v>
      </c>
      <c r="G438" s="33"/>
      <c r="H438" s="33">
        <f>LN(Assets!L340/Assets!L341)</f>
        <v>-5.9191228391950916E-3</v>
      </c>
      <c r="I438" s="33"/>
      <c r="J438" s="33">
        <f>LN(Assets!N340/Assets!N341)</f>
        <v>-1.4925650216675593E-2</v>
      </c>
      <c r="K438" s="33"/>
      <c r="L438" s="33">
        <f>LN(Assets!P340/Assets!P341)</f>
        <v>-7.7720598477029734E-3</v>
      </c>
      <c r="M438" s="33"/>
      <c r="N438" s="33">
        <f>LN(Assets!R340/Assets!R341)</f>
        <v>-1.1228834043156706E-2</v>
      </c>
    </row>
    <row r="439" spans="3:14" x14ac:dyDescent="0.2">
      <c r="C439" s="3">
        <v>45265</v>
      </c>
      <c r="D439" s="33">
        <f>LN(Assets!H341/Assets!H342)</f>
        <v>-1.6809635857625192E-3</v>
      </c>
      <c r="E439" s="33"/>
      <c r="F439" s="33">
        <f>LN(Assets!J341/Assets!J342)</f>
        <v>1.3382693242779587E-2</v>
      </c>
      <c r="G439" s="33"/>
      <c r="H439" s="33">
        <f>LN(Assets!L341/Assets!L342)</f>
        <v>-1.6380020042383583E-3</v>
      </c>
      <c r="I439" s="33"/>
      <c r="J439" s="33">
        <f>LN(Assets!N341/Assets!N342)</f>
        <v>-9.8280889362626512E-3</v>
      </c>
      <c r="K439" s="33"/>
      <c r="L439" s="33">
        <f>LN(Assets!P341/Assets!P342)</f>
        <v>-2.380052846540601E-2</v>
      </c>
      <c r="M439" s="33"/>
      <c r="N439" s="33">
        <f>LN(Assets!R341/Assets!R342)</f>
        <v>1.8321734696561543E-3</v>
      </c>
    </row>
    <row r="440" spans="3:14" x14ac:dyDescent="0.2">
      <c r="C440" s="3">
        <v>45264</v>
      </c>
      <c r="D440" s="33">
        <f>LN(Assets!H342/Assets!H343)</f>
        <v>-2.0879490972356357E-3</v>
      </c>
      <c r="E440" s="33"/>
      <c r="F440" s="33">
        <f>LN(Assets!J342/Assets!J343)</f>
        <v>-7.3962808070319038E-3</v>
      </c>
      <c r="G440" s="33"/>
      <c r="H440" s="33">
        <f>LN(Assets!L342/Assets!L343)</f>
        <v>-1.2361901079373983E-2</v>
      </c>
      <c r="I440" s="33"/>
      <c r="J440" s="33">
        <f>LN(Assets!N342/Assets!N343)</f>
        <v>9.8280889362626928E-3</v>
      </c>
      <c r="K440" s="33"/>
      <c r="L440" s="33">
        <f>LN(Assets!P342/Assets!P343)</f>
        <v>-1.0860591296209201E-2</v>
      </c>
      <c r="M440" s="33"/>
      <c r="N440" s="33">
        <f>LN(Assets!R342/Assets!R343)</f>
        <v>-7.4906717291575138E-3</v>
      </c>
    </row>
    <row r="441" spans="3:14" x14ac:dyDescent="0.2">
      <c r="C441" s="3">
        <v>45261</v>
      </c>
      <c r="D441" s="33">
        <f>LN(Assets!H343/Assets!H344)</f>
        <v>1.0645687717602883E-2</v>
      </c>
      <c r="E441" s="33"/>
      <c r="F441" s="33">
        <f>LN(Assets!J343/Assets!J344)</f>
        <v>2.1857932199802256E-3</v>
      </c>
      <c r="G441" s="33"/>
      <c r="H441" s="33">
        <f>LN(Assets!L343/Assets!L344)</f>
        <v>2.3884662316154232E-2</v>
      </c>
      <c r="I441" s="33"/>
      <c r="J441" s="33">
        <f>LN(Assets!N343/Assets!N344)</f>
        <v>1.7435061822101347E-2</v>
      </c>
      <c r="K441" s="33"/>
      <c r="L441" s="33">
        <f>LN(Assets!P343/Assets!P344)</f>
        <v>3.2512891223325638E-2</v>
      </c>
      <c r="M441" s="33"/>
      <c r="N441" s="33">
        <f>LN(Assets!R343/Assets!R344)</f>
        <v>1.1901632749768017E-2</v>
      </c>
    </row>
    <row r="442" spans="3:14" x14ac:dyDescent="0.2">
      <c r="C442" s="3">
        <v>45260</v>
      </c>
      <c r="D442" s="33">
        <f>LN(Assets!H344/Assets!H345)</f>
        <v>5.9520666276835759E-3</v>
      </c>
      <c r="E442" s="33"/>
      <c r="F442" s="33">
        <f>LN(Assets!J344/Assets!J345)</f>
        <v>-1.4392644915550208E-2</v>
      </c>
      <c r="G442" s="33"/>
      <c r="H442" s="33">
        <f>LN(Assets!L344/Assets!L345)</f>
        <v>-2.579451808862944E-3</v>
      </c>
      <c r="I442" s="33"/>
      <c r="J442" s="33">
        <f>LN(Assets!N344/Assets!N345)</f>
        <v>-2.481516911972402E-2</v>
      </c>
      <c r="K442" s="33"/>
      <c r="L442" s="33">
        <f>LN(Assets!P344/Assets!P345)</f>
        <v>-5.3479743566233813E-2</v>
      </c>
      <c r="M442" s="33"/>
      <c r="N442" s="33">
        <f>LN(Assets!R344/Assets!R345)</f>
        <v>-1.897520899265864E-2</v>
      </c>
    </row>
    <row r="443" spans="3:14" x14ac:dyDescent="0.2">
      <c r="C443" s="3">
        <v>45259</v>
      </c>
      <c r="D443" s="33">
        <f>LN(Assets!H345/Assets!H346)</f>
        <v>3.956375013312711E-3</v>
      </c>
      <c r="E443" s="33"/>
      <c r="F443" s="33">
        <f>LN(Assets!J345/Assets!J346)</f>
        <v>1.2479814710776352E-2</v>
      </c>
      <c r="G443" s="33"/>
      <c r="H443" s="33">
        <f>LN(Assets!L345/Assets!L346)</f>
        <v>7.9296904967926507E-4</v>
      </c>
      <c r="I443" s="33"/>
      <c r="J443" s="33">
        <f>LN(Assets!N345/Assets!N346)</f>
        <v>-1.4598799421152636E-2</v>
      </c>
      <c r="K443" s="33"/>
      <c r="L443" s="33">
        <f>LN(Assets!P345/Assets!P346)</f>
        <v>-1.0924648404749132E-2</v>
      </c>
      <c r="M443" s="33"/>
      <c r="N443" s="33">
        <f>LN(Assets!R345/Assets!R346)</f>
        <v>9.9900930750861858E-3</v>
      </c>
    </row>
    <row r="444" spans="3:14" x14ac:dyDescent="0.2">
      <c r="C444" s="3">
        <v>45258</v>
      </c>
      <c r="D444" s="33">
        <f>LN(Assets!H346/Assets!H347)</f>
        <v>2.0514392215782864E-4</v>
      </c>
      <c r="E444" s="33"/>
      <c r="F444" s="33">
        <f>LN(Assets!J346/Assets!J347)</f>
        <v>-5.7166345963830948E-3</v>
      </c>
      <c r="G444" s="33"/>
      <c r="H444" s="33">
        <f>LN(Assets!L346/Assets!L347)</f>
        <v>-3.2340060526507264E-3</v>
      </c>
      <c r="I444" s="33"/>
      <c r="J444" s="33">
        <f>LN(Assets!N346/Assets!N347)</f>
        <v>7.2727593290796569E-3</v>
      </c>
      <c r="K444" s="33"/>
      <c r="L444" s="33">
        <f>LN(Assets!P346/Assets!P347)</f>
        <v>7.8668735841630921E-2</v>
      </c>
      <c r="M444" s="33"/>
      <c r="N444" s="33">
        <f>LN(Assets!R346/Assets!R347)</f>
        <v>1.1751879648777048E-2</v>
      </c>
    </row>
    <row r="445" spans="3:14" x14ac:dyDescent="0.2">
      <c r="C445" s="3">
        <v>45257</v>
      </c>
      <c r="D445" s="33">
        <f>LN(Assets!H347/Assets!H348)</f>
        <v>-3.5105878050161283E-3</v>
      </c>
      <c r="E445" s="33"/>
      <c r="F445" s="33">
        <f>LN(Assets!J347/Assets!J348)</f>
        <v>1.0863662122210114E-3</v>
      </c>
      <c r="G445" s="33"/>
      <c r="H445" s="33">
        <f>LN(Assets!L347/Assets!L348)</f>
        <v>8.1379257543460239E-3</v>
      </c>
      <c r="I445" s="33"/>
      <c r="J445" s="33">
        <f>LN(Assets!N347/Assets!N348)</f>
        <v>-2.4039619186146777E-2</v>
      </c>
      <c r="K445" s="33"/>
      <c r="L445" s="33">
        <f>LN(Assets!P347/Assets!P348)</f>
        <v>-4.8437675492072854E-2</v>
      </c>
      <c r="M445" s="33"/>
      <c r="N445" s="33">
        <f>LN(Assets!R347/Assets!R348)</f>
        <v>1.56369530143564E-2</v>
      </c>
    </row>
    <row r="446" spans="3:14" x14ac:dyDescent="0.2">
      <c r="C446" s="3">
        <v>45254</v>
      </c>
      <c r="D446" s="33">
        <f>LN(Assets!H348/Assets!H349)</f>
        <v>-6.7379801091085249E-4</v>
      </c>
      <c r="E446" s="33"/>
      <c r="F446" s="33">
        <f>LN(Assets!J348/Assets!J349)</f>
        <v>-7.3101719877556861E-3</v>
      </c>
      <c r="G446" s="33"/>
      <c r="H446" s="33">
        <f>LN(Assets!L348/Assets!L349)</f>
        <v>-4.9700244777894781E-3</v>
      </c>
      <c r="I446" s="33"/>
      <c r="J446" s="33">
        <f>LN(Assets!N348/Assets!N349)</f>
        <v>1.4354313451683122E-2</v>
      </c>
      <c r="K446" s="33"/>
      <c r="L446" s="33">
        <f>LN(Assets!P348/Assets!P349)</f>
        <v>-5.789925190412523E-3</v>
      </c>
      <c r="M446" s="33"/>
      <c r="N446" s="33">
        <f>LN(Assets!R348/Assets!R349)</f>
        <v>1.3141839871328412E-3</v>
      </c>
    </row>
    <row r="447" spans="3:14" x14ac:dyDescent="0.2">
      <c r="C447" s="3">
        <v>45253</v>
      </c>
      <c r="D447" s="33">
        <f>LN(Assets!H349/Assets!H350)</f>
        <v>1.342261195107578E-4</v>
      </c>
      <c r="E447" s="33"/>
      <c r="F447" s="33">
        <f>LN(Assets!J349/Assets!J350)</f>
        <v>1.6866558707973569E-2</v>
      </c>
      <c r="G447" s="33"/>
      <c r="H447" s="33">
        <f>LN(Assets!L349/Assets!L350)</f>
        <v>-7.9291665314641896E-4</v>
      </c>
      <c r="I447" s="33"/>
      <c r="J447" s="33">
        <f>LN(Assets!N349/Assets!N350)</f>
        <v>0</v>
      </c>
      <c r="K447" s="33"/>
      <c r="L447" s="33">
        <f>LN(Assets!P349/Assets!P350)</f>
        <v>4.6421836851249176E-2</v>
      </c>
      <c r="M447" s="33"/>
      <c r="N447" s="33">
        <f>LN(Assets!R349/Assets!R350)</f>
        <v>4.1415721849513394E-3</v>
      </c>
    </row>
    <row r="448" spans="3:14" x14ac:dyDescent="0.2">
      <c r="C448" s="3">
        <v>45252</v>
      </c>
      <c r="D448" s="33">
        <f>LN(Assets!H350/Assets!H351)</f>
        <v>1.9838936737841246E-4</v>
      </c>
      <c r="E448" s="33"/>
      <c r="F448" s="33">
        <f>LN(Assets!J350/Assets!J351)</f>
        <v>-6.8352966058574782E-3</v>
      </c>
      <c r="G448" s="33"/>
      <c r="H448" s="33">
        <f>LN(Assets!L350/Assets!L351)</f>
        <v>-3.9551798429279432E-3</v>
      </c>
      <c r="I448" s="33"/>
      <c r="J448" s="33">
        <f>LN(Assets!N350/Assets!N351)</f>
        <v>1.2121360532345041E-2</v>
      </c>
      <c r="K448" s="33"/>
      <c r="L448" s="33">
        <f>LN(Assets!P350/Assets!P351)</f>
        <v>-5.5998423309940844E-3</v>
      </c>
      <c r="M448" s="33"/>
      <c r="N448" s="33">
        <f>LN(Assets!R350/Assets!R351)</f>
        <v>-9.4277370987891069E-4</v>
      </c>
    </row>
    <row r="449" spans="3:14" x14ac:dyDescent="0.2">
      <c r="C449" s="3">
        <v>45251</v>
      </c>
      <c r="D449" s="33">
        <f>LN(Assets!H351/Assets!H352)</f>
        <v>-6.7647453809032837E-3</v>
      </c>
      <c r="E449" s="33"/>
      <c r="F449" s="33">
        <f>LN(Assets!J351/Assets!J352)</f>
        <v>-5.0734555215620321E-2</v>
      </c>
      <c r="G449" s="33"/>
      <c r="H449" s="33">
        <f>LN(Assets!L351/Assets!L352)</f>
        <v>-3.9465895401426552E-4</v>
      </c>
      <c r="I449" s="33"/>
      <c r="J449" s="33">
        <f>LN(Assets!N351/Assets!N352)</f>
        <v>-2.4360547978813383E-3</v>
      </c>
      <c r="K449" s="33"/>
      <c r="L449" s="33">
        <f>LN(Assets!P351/Assets!P352)</f>
        <v>1.2894908298719137E-3</v>
      </c>
      <c r="M449" s="33"/>
      <c r="N449" s="33">
        <f>LN(Assets!R351/Assets!R352)</f>
        <v>-6.9490372600862771E-3</v>
      </c>
    </row>
    <row r="450" spans="3:14" x14ac:dyDescent="0.2">
      <c r="C450" s="3">
        <v>45250</v>
      </c>
      <c r="D450" s="33">
        <f>LN(Assets!H352/Assets!H353)</f>
        <v>3.4980778944290734E-3</v>
      </c>
      <c r="E450" s="33"/>
      <c r="F450" s="33">
        <f>LN(Assets!J352/Assets!J353)</f>
        <v>3.8925701155112275E-3</v>
      </c>
      <c r="G450" s="33"/>
      <c r="H450" s="33">
        <f>LN(Assets!L352/Assets!L353)</f>
        <v>1.7113148387608765E-3</v>
      </c>
      <c r="I450" s="33"/>
      <c r="J450" s="33">
        <f>LN(Assets!N352/Assets!N353)</f>
        <v>2.7128667388252696E-2</v>
      </c>
      <c r="K450" s="33"/>
      <c r="L450" s="33">
        <f>LN(Assets!P352/Assets!P353)</f>
        <v>5.6172183057889929E-2</v>
      </c>
      <c r="M450" s="33"/>
      <c r="N450" s="33">
        <f>LN(Assets!R352/Assets!R353)</f>
        <v>5.4424456380125887E-3</v>
      </c>
    </row>
    <row r="451" spans="3:14" x14ac:dyDescent="0.2">
      <c r="C451" s="3">
        <v>45247</v>
      </c>
      <c r="D451" s="33">
        <f>LN(Assets!H353/Assets!H354)</f>
        <v>6.1001202364777754E-3</v>
      </c>
      <c r="E451" s="33"/>
      <c r="F451" s="33">
        <f>LN(Assets!J353/Assets!J354)</f>
        <v>1.6251995976956056E-2</v>
      </c>
      <c r="G451" s="33"/>
      <c r="H451" s="33">
        <f>LN(Assets!L353/Assets!L354)</f>
        <v>-9.876544012724297E-4</v>
      </c>
      <c r="I451" s="33"/>
      <c r="J451" s="33">
        <f>LN(Assets!N353/Assets!N354)</f>
        <v>7.5282664207915878E-3</v>
      </c>
      <c r="K451" s="33"/>
      <c r="L451" s="33">
        <f>LN(Assets!P353/Assets!P354)</f>
        <v>4.5610511252052274E-2</v>
      </c>
      <c r="M451" s="33"/>
      <c r="N451" s="33">
        <f>LN(Assets!R353/Assets!R354)</f>
        <v>2.072149182628769E-3</v>
      </c>
    </row>
    <row r="452" spans="3:14" x14ac:dyDescent="0.2">
      <c r="C452" s="3">
        <v>45246</v>
      </c>
      <c r="D452" s="33">
        <f>LN(Assets!H354/Assets!H355)</f>
        <v>-2.403333165398984E-4</v>
      </c>
      <c r="E452" s="33"/>
      <c r="F452" s="33">
        <f>LN(Assets!J354/Assets!J355)</f>
        <v>1.571479935810903E-2</v>
      </c>
      <c r="G452" s="33"/>
      <c r="H452" s="33">
        <f>LN(Assets!L354/Assets!L355)</f>
        <v>2.7678942147311755E-3</v>
      </c>
      <c r="I452" s="33"/>
      <c r="J452" s="33">
        <f>LN(Assets!N354/Assets!N355)</f>
        <v>-5.0251362026730428E-3</v>
      </c>
      <c r="K452" s="33"/>
      <c r="L452" s="33">
        <f>LN(Assets!P354/Assets!P355)</f>
        <v>-2.5389234004819464E-2</v>
      </c>
      <c r="M452" s="33"/>
      <c r="N452" s="33">
        <f>LN(Assets!R354/Assets!R355)</f>
        <v>7.3815041319767894E-3</v>
      </c>
    </row>
    <row r="453" spans="3:14" x14ac:dyDescent="0.2">
      <c r="C453" s="3">
        <v>45245</v>
      </c>
      <c r="D453" s="33">
        <f>LN(Assets!H355/Assets!H356)</f>
        <v>1.70452233570868E-3</v>
      </c>
      <c r="E453" s="33"/>
      <c r="F453" s="33">
        <f>LN(Assets!J355/Assets!J356)</f>
        <v>1.2425875708885533E-2</v>
      </c>
      <c r="G453" s="33"/>
      <c r="H453" s="33">
        <f>LN(Assets!L355/Assets!L356)</f>
        <v>4.5639527579144903E-3</v>
      </c>
      <c r="I453" s="33"/>
      <c r="J453" s="33">
        <f>LN(Assets!N355/Assets!N356)</f>
        <v>7.0067562616716844E-2</v>
      </c>
      <c r="K453" s="33"/>
      <c r="L453" s="33">
        <f>LN(Assets!P355/Assets!P356)</f>
        <v>2.4913156871333379E-2</v>
      </c>
      <c r="M453" s="33"/>
      <c r="N453" s="33">
        <f>LN(Assets!R355/Assets!R356)</f>
        <v>2.3643580949648635E-2</v>
      </c>
    </row>
    <row r="454" spans="3:14" x14ac:dyDescent="0.2">
      <c r="C454" s="3">
        <v>45244</v>
      </c>
      <c r="D454" s="33">
        <f>LN(Assets!H356/Assets!H357)</f>
        <v>1.583507530154107E-2</v>
      </c>
      <c r="E454" s="33"/>
      <c r="F454" s="33">
        <f>LN(Assets!J356/Assets!J357)</f>
        <v>3.9927676774101174E-2</v>
      </c>
      <c r="G454" s="33"/>
      <c r="H454" s="33">
        <f>LN(Assets!L356/Assets!L357)</f>
        <v>1.0529920686915014E-2</v>
      </c>
      <c r="I454" s="33"/>
      <c r="J454" s="33">
        <f>LN(Assets!N356/Assets!N357)</f>
        <v>0.11375888535665817</v>
      </c>
      <c r="K454" s="33"/>
      <c r="L454" s="33">
        <f>LN(Assets!P356/Assets!P357)</f>
        <v>7.6445666120985908E-3</v>
      </c>
      <c r="M454" s="33"/>
      <c r="N454" s="33">
        <f>LN(Assets!R356/Assets!R357)</f>
        <v>1.1542728175395199E-2</v>
      </c>
    </row>
    <row r="455" spans="3:14" x14ac:dyDescent="0.2">
      <c r="C455" s="3">
        <v>45243</v>
      </c>
      <c r="D455" s="33">
        <f>LN(Assets!H357/Assets!H358)</f>
        <v>2.7782015561672304E-3</v>
      </c>
      <c r="E455" s="33"/>
      <c r="F455" s="33">
        <f>LN(Assets!J357/Assets!J358)</f>
        <v>6.5276235756659695E-3</v>
      </c>
      <c r="G455" s="33"/>
      <c r="H455" s="33">
        <f>LN(Assets!L357/Assets!L358)</f>
        <v>-3.7448218164954587E-3</v>
      </c>
      <c r="I455" s="33"/>
      <c r="J455" s="33">
        <f>LN(Assets!N357/Assets!N358)</f>
        <v>-1.4947961435873252E-2</v>
      </c>
      <c r="K455" s="33"/>
      <c r="L455" s="33">
        <f>LN(Assets!P357/Assets!P358)</f>
        <v>-2.6036973782995205E-2</v>
      </c>
      <c r="M455" s="33"/>
      <c r="N455" s="33">
        <f>LN(Assets!R357/Assets!R358)</f>
        <v>5.7227585882008523E-3</v>
      </c>
    </row>
    <row r="456" spans="3:14" x14ac:dyDescent="0.2">
      <c r="C456" s="3">
        <v>45240</v>
      </c>
      <c r="D456" s="33">
        <f>LN(Assets!H358/Assets!H359)</f>
        <v>3.4177804569280423E-3</v>
      </c>
      <c r="E456" s="33"/>
      <c r="F456" s="33">
        <f>LN(Assets!J358/Assets!J359)</f>
        <v>3.9494099039159569E-2</v>
      </c>
      <c r="G456" s="33"/>
      <c r="H456" s="33">
        <f>LN(Assets!L358/Assets!L359)</f>
        <v>4.2139121249798565E-3</v>
      </c>
      <c r="I456" s="33"/>
      <c r="J456" s="33">
        <f>LN(Assets!N358/Assets!N359)</f>
        <v>4.8641807222345866E-2</v>
      </c>
      <c r="K456" s="33"/>
      <c r="L456" s="33">
        <f>LN(Assets!P358/Assets!P359)</f>
        <v>3.0844675351098354E-2</v>
      </c>
      <c r="M456" s="33"/>
      <c r="N456" s="33">
        <f>LN(Assets!R358/Assets!R359)</f>
        <v>1.5355770872893261E-2</v>
      </c>
    </row>
    <row r="457" spans="3:14" x14ac:dyDescent="0.2">
      <c r="C457" s="3">
        <v>45239</v>
      </c>
      <c r="D457" s="33">
        <f>LN(Assets!H359/Assets!H360)</f>
        <v>2.9245153855624725E-3</v>
      </c>
      <c r="E457" s="33"/>
      <c r="F457" s="33">
        <f>LN(Assets!J359/Assets!J360)</f>
        <v>-1.9361121055637059E-2</v>
      </c>
      <c r="G457" s="33"/>
      <c r="H457" s="33">
        <f>LN(Assets!L359/Assets!L360)</f>
        <v>-3.679795407782373E-3</v>
      </c>
      <c r="I457" s="33"/>
      <c r="J457" s="33">
        <f>LN(Assets!N359/Assets!N360)</f>
        <v>-9.3023926623135612E-3</v>
      </c>
      <c r="K457" s="33"/>
      <c r="L457" s="33">
        <f>LN(Assets!P359/Assets!P360)</f>
        <v>7.7407256370093207E-3</v>
      </c>
      <c r="M457" s="33"/>
      <c r="N457" s="33">
        <f>LN(Assets!R359/Assets!R360)</f>
        <v>-3.8110566636385692E-3</v>
      </c>
    </row>
    <row r="458" spans="3:14" x14ac:dyDescent="0.2">
      <c r="C458" s="3">
        <v>45238</v>
      </c>
      <c r="D458" s="33">
        <f>LN(Assets!H360/Assets!H361)</f>
        <v>-2.3208843890145485E-3</v>
      </c>
      <c r="E458" s="33"/>
      <c r="F458" s="33">
        <f>LN(Assets!J360/Assets!J361)</f>
        <v>8.4610278647775979E-3</v>
      </c>
      <c r="G458" s="33"/>
      <c r="H458" s="33">
        <f>LN(Assets!L360/Assets!L361)</f>
        <v>-7.3433696013300103E-4</v>
      </c>
      <c r="I458" s="33"/>
      <c r="J458" s="33">
        <f>LN(Assets!N360/Assets!N361)</f>
        <v>4.0950603613095278E-2</v>
      </c>
      <c r="K458" s="33"/>
      <c r="L458" s="33">
        <f>LN(Assets!P360/Assets!P361)</f>
        <v>2.4085705974667915E-2</v>
      </c>
      <c r="M458" s="33"/>
      <c r="N458" s="33">
        <f>LN(Assets!R360/Assets!R361)</f>
        <v>3.8110566636387184E-3</v>
      </c>
    </row>
    <row r="459" spans="3:14" x14ac:dyDescent="0.2">
      <c r="C459" s="3">
        <v>45237</v>
      </c>
      <c r="D459" s="33">
        <f>LN(Assets!H361/Assets!H362)</f>
        <v>-8.5632269125023117E-3</v>
      </c>
      <c r="E459" s="33"/>
      <c r="F459" s="33">
        <f>LN(Assets!J361/Assets!J362)</f>
        <v>3.2281759508998682E-3</v>
      </c>
      <c r="G459" s="33"/>
      <c r="H459" s="33">
        <f>LN(Assets!L361/Assets!L362)</f>
        <v>9.1171778547019747E-3</v>
      </c>
      <c r="I459" s="33"/>
      <c r="J459" s="33">
        <f>LN(Assets!N361/Assets!N362)</f>
        <v>-1.2779726646398995E-2</v>
      </c>
      <c r="K459" s="33"/>
      <c r="L459" s="33">
        <f>LN(Assets!P361/Assets!P362)</f>
        <v>1.0000083334583399E-2</v>
      </c>
      <c r="M459" s="33"/>
      <c r="N459" s="33">
        <f>LN(Assets!R361/Assets!R362)</f>
        <v>2.009607870896267E-2</v>
      </c>
    </row>
    <row r="460" spans="3:14" x14ac:dyDescent="0.2">
      <c r="C460" s="3">
        <v>45236</v>
      </c>
      <c r="D460" s="33">
        <f>LN(Assets!H362/Assets!H363)</f>
        <v>-4.0895924675334386E-3</v>
      </c>
      <c r="E460" s="33"/>
      <c r="F460" s="33">
        <f>LN(Assets!J362/Assets!J363)</f>
        <v>-3.0682580536266501E-2</v>
      </c>
      <c r="G460" s="33"/>
      <c r="H460" s="33">
        <f>LN(Assets!L362/Assets!L363)</f>
        <v>1.437995341211456E-2</v>
      </c>
      <c r="I460" s="33"/>
      <c r="J460" s="33">
        <f>LN(Assets!N362/Assets!N363)</f>
        <v>4.2145621450763317E-2</v>
      </c>
      <c r="K460" s="33"/>
      <c r="L460" s="33">
        <f>LN(Assets!P362/Assets!P363)</f>
        <v>-5.0125418235443982E-3</v>
      </c>
      <c r="M460" s="33"/>
      <c r="N460" s="33">
        <f>LN(Assets!R362/Assets!R363)</f>
        <v>-1.7480119877388227E-2</v>
      </c>
    </row>
    <row r="461" spans="3:14" x14ac:dyDescent="0.2">
      <c r="C461" s="3">
        <v>45233</v>
      </c>
      <c r="D461" s="33">
        <f>LN(Assets!H363/Assets!H364)</f>
        <v>1.0063659695741491E-2</v>
      </c>
      <c r="E461" s="33"/>
      <c r="F461" s="33">
        <f>LN(Assets!J363/Assets!J364)</f>
        <v>2.9213935831107086E-2</v>
      </c>
      <c r="G461" s="33"/>
      <c r="H461" s="33">
        <f>LN(Assets!L363/Assets!L364)</f>
        <v>1.8479461254740353E-2</v>
      </c>
      <c r="I461" s="33"/>
      <c r="J461" s="33">
        <f>LN(Assets!N363/Assets!N364)</f>
        <v>6.6445427186685108E-3</v>
      </c>
      <c r="K461" s="33"/>
      <c r="L461" s="33">
        <f>LN(Assets!P363/Assets!P364)</f>
        <v>8.8831213706615633E-2</v>
      </c>
      <c r="M461" s="33"/>
      <c r="N461" s="33">
        <f>LN(Assets!R363/Assets!R364)</f>
        <v>4.6606372663689152E-2</v>
      </c>
    </row>
    <row r="462" spans="3:14" x14ac:dyDescent="0.2">
      <c r="C462" s="3">
        <v>45232</v>
      </c>
      <c r="D462" s="33">
        <f>LN(Assets!H364/Assets!H365)</f>
        <v>2.8284287847085105E-2</v>
      </c>
      <c r="E462" s="33"/>
      <c r="F462" s="33">
        <f>LN(Assets!J364/Assets!J365)</f>
        <v>1.8066536114197188E-2</v>
      </c>
      <c r="G462" s="33"/>
      <c r="H462" s="33">
        <f>LN(Assets!L364/Assets!L365)</f>
        <v>6.5870978743663669E-2</v>
      </c>
      <c r="I462" s="33"/>
      <c r="J462" s="33">
        <f>LN(Assets!N364/Assets!N365)</f>
        <v>9.0654368268130836E-2</v>
      </c>
      <c r="K462" s="33"/>
      <c r="L462" s="33">
        <f>LN(Assets!P364/Assets!P365)</f>
        <v>4.8134641366541747E-2</v>
      </c>
      <c r="M462" s="33"/>
      <c r="N462" s="33">
        <f>LN(Assets!R364/Assets!R365)</f>
        <v>1.9827960105969555E-2</v>
      </c>
    </row>
    <row r="463" spans="3:14" x14ac:dyDescent="0.2">
      <c r="C463" s="3">
        <v>45231</v>
      </c>
      <c r="D463" s="33">
        <f>LN(Assets!H365/Assets!H366)</f>
        <v>1.0831021498241413E-2</v>
      </c>
      <c r="E463" s="33"/>
      <c r="F463" s="33">
        <f>LN(Assets!J365/Assets!J366)</f>
        <v>3.3118627620524942E-2</v>
      </c>
      <c r="G463" s="33"/>
      <c r="H463" s="33">
        <f>LN(Assets!L365/Assets!L366)</f>
        <v>-6.5938375600476723E-3</v>
      </c>
      <c r="I463" s="33"/>
      <c r="J463" s="33">
        <f>LN(Assets!N365/Assets!N366)</f>
        <v>-7.2727593290795849E-3</v>
      </c>
      <c r="K463" s="33"/>
      <c r="L463" s="33">
        <f>LN(Assets!P365/Assets!P366)</f>
        <v>0</v>
      </c>
      <c r="M463" s="33"/>
      <c r="N463" s="33">
        <f>LN(Assets!R365/Assets!R366)</f>
        <v>3.0191957375022655E-3</v>
      </c>
    </row>
    <row r="464" spans="3:14" x14ac:dyDescent="0.2">
      <c r="C464" s="3">
        <v>45230</v>
      </c>
      <c r="D464" s="33">
        <f>LN(Assets!H366/Assets!H367)</f>
        <v>8.8576195228713944E-4</v>
      </c>
      <c r="E464" s="33"/>
      <c r="F464" s="33">
        <f>LN(Assets!J366/Assets!J367)</f>
        <v>5.1992691795759584E-2</v>
      </c>
      <c r="G464" s="33"/>
      <c r="H464" s="33">
        <f>LN(Assets!L366/Assets!L367)</f>
        <v>1.0914464066881544E-2</v>
      </c>
      <c r="I464" s="33"/>
      <c r="J464" s="33">
        <f>LN(Assets!N366/Assets!N367)</f>
        <v>7.2727593290796569E-3</v>
      </c>
      <c r="K464" s="33"/>
      <c r="L464" s="33">
        <f>LN(Assets!P366/Assets!P367)</f>
        <v>1.9687954972219399E-2</v>
      </c>
      <c r="M464" s="33"/>
      <c r="N464" s="33">
        <f>LN(Assets!R366/Assets!R367)</f>
        <v>6.5005646030932424E-3</v>
      </c>
    </row>
    <row r="465" spans="3:14" x14ac:dyDescent="0.2">
      <c r="C465" s="3">
        <v>45229</v>
      </c>
      <c r="D465" s="33">
        <f>LN(Assets!H367/Assets!H368)</f>
        <v>6.3504774635478722E-3</v>
      </c>
      <c r="E465" s="33"/>
      <c r="F465" s="33">
        <f>LN(Assets!J367/Assets!J368)</f>
        <v>-1.0037319172624678E-2</v>
      </c>
      <c r="G465" s="33"/>
      <c r="H465" s="33">
        <f>LN(Assets!L367/Assets!L368)</f>
        <v>2.1353661555043472E-2</v>
      </c>
      <c r="I465" s="33"/>
      <c r="J465" s="33">
        <f>LN(Assets!N367/Assets!N368)</f>
        <v>0</v>
      </c>
      <c r="K465" s="33"/>
      <c r="L465" s="33">
        <f>LN(Assets!P367/Assets!P368)</f>
        <v>0</v>
      </c>
      <c r="M465" s="33"/>
      <c r="N465" s="33">
        <f>LN(Assets!R367/Assets!R368)</f>
        <v>2.1312462175614784E-2</v>
      </c>
    </row>
    <row r="466" spans="3:14" x14ac:dyDescent="0.2">
      <c r="C466" s="3">
        <v>45226</v>
      </c>
      <c r="D466" s="33">
        <f>LN(Assets!H368/Assets!H369)</f>
        <v>-7.3337260101810769E-3</v>
      </c>
      <c r="E466" s="33"/>
      <c r="F466" s="33">
        <f>LN(Assets!J368/Assets!J369)</f>
        <v>-1.025650016718911E-2</v>
      </c>
      <c r="G466" s="33"/>
      <c r="H466" s="33">
        <f>LN(Assets!L368/Assets!L369)</f>
        <v>-1.2128711446614785E-2</v>
      </c>
      <c r="I466" s="33"/>
      <c r="J466" s="33">
        <f>LN(Assets!N368/Assets!N369)</f>
        <v>4.4783602626973444E-2</v>
      </c>
      <c r="K466" s="33"/>
      <c r="L466" s="33">
        <f>LN(Assets!P368/Assets!P369)</f>
        <v>-9.8924286499729504E-3</v>
      </c>
      <c r="M466" s="33"/>
      <c r="N466" s="33">
        <f>LN(Assets!R368/Assets!R369)</f>
        <v>8.9226556723016204E-3</v>
      </c>
    </row>
    <row r="467" spans="3:14" x14ac:dyDescent="0.2">
      <c r="C467" s="3">
        <v>45225</v>
      </c>
      <c r="D467" s="33">
        <f>LN(Assets!H369/Assets!H370)</f>
        <v>-3.8357497861055477E-3</v>
      </c>
      <c r="E467" s="33"/>
      <c r="F467" s="33">
        <f>LN(Assets!J369/Assets!J370)</f>
        <v>-0.10838527319761232</v>
      </c>
      <c r="G467" s="33"/>
      <c r="H467" s="33">
        <f>LN(Assets!L369/Assets!L370)</f>
        <v>-1.3471240989879937E-2</v>
      </c>
      <c r="I467" s="33"/>
      <c r="J467" s="33">
        <f>LN(Assets!N369/Assets!N370)</f>
        <v>-2.6366875840742224E-2</v>
      </c>
      <c r="K467" s="33"/>
      <c r="L467" s="33">
        <f>LN(Assets!P369/Assets!P370)</f>
        <v>-3.8619222775700582E-2</v>
      </c>
      <c r="M467" s="33"/>
      <c r="N467" s="33">
        <f>LN(Assets!R369/Assets!R370)</f>
        <v>-2.3035348555729022E-2</v>
      </c>
    </row>
    <row r="468" spans="3:14" x14ac:dyDescent="0.2">
      <c r="C468" s="3">
        <v>45224</v>
      </c>
      <c r="D468" s="33">
        <f>LN(Assets!H370/Assets!H371)</f>
        <v>-2.0372049896563047E-3</v>
      </c>
      <c r="E468" s="33"/>
      <c r="F468" s="33">
        <f>LN(Assets!J370/Assets!J371)</f>
        <v>-2.1232220105774167E-2</v>
      </c>
      <c r="G468" s="33"/>
      <c r="H468" s="33">
        <f>LN(Assets!L370/Assets!L371)</f>
        <v>-1.1236073266925731E-2</v>
      </c>
      <c r="I468" s="33"/>
      <c r="J468" s="33">
        <f>LN(Assets!N370/Assets!N371)</f>
        <v>-3.650040221952653E-2</v>
      </c>
      <c r="K468" s="33"/>
      <c r="L468" s="33">
        <f>LN(Assets!P370/Assets!P371)</f>
        <v>3.7461815239088821E-2</v>
      </c>
      <c r="M468" s="33"/>
      <c r="N468" s="33">
        <f>LN(Assets!R370/Assets!R371)</f>
        <v>-3.7154452095765752E-3</v>
      </c>
    </row>
    <row r="469" spans="3:14" x14ac:dyDescent="0.2">
      <c r="C469" s="3">
        <v>45223</v>
      </c>
      <c r="D469" s="33">
        <f>LN(Assets!H371/Assets!H372)</f>
        <v>-3.1682847025749192E-3</v>
      </c>
      <c r="E469" s="33"/>
      <c r="F469" s="33">
        <f>LN(Assets!J371/Assets!J372)</f>
        <v>1.3820555618632316E-2</v>
      </c>
      <c r="G469" s="33"/>
      <c r="H469" s="33">
        <f>LN(Assets!L371/Assets!L372)</f>
        <v>1.9746762934834499E-2</v>
      </c>
      <c r="I469" s="33"/>
      <c r="J469" s="33">
        <f>LN(Assets!N371/Assets!N372)</f>
        <v>2.5409715525368221E-2</v>
      </c>
      <c r="K469" s="33"/>
      <c r="L469" s="33">
        <f>LN(Assets!P371/Assets!P372)</f>
        <v>1.4564778294029532E-2</v>
      </c>
      <c r="M469" s="33"/>
      <c r="N469" s="33">
        <f>LN(Assets!R371/Assets!R372)</f>
        <v>9.2045357290717056E-3</v>
      </c>
    </row>
    <row r="470" spans="3:14" x14ac:dyDescent="0.2">
      <c r="C470" s="3">
        <v>45222</v>
      </c>
      <c r="D470" s="33">
        <f>LN(Assets!H372/Assets!H373)</f>
        <v>-3.6108898272512765E-3</v>
      </c>
      <c r="E470" s="33"/>
      <c r="F470" s="33">
        <f>LN(Assets!J372/Assets!J373)</f>
        <v>-5.0991611904108898E-3</v>
      </c>
      <c r="G470" s="33"/>
      <c r="H470" s="33">
        <f>LN(Assets!L372/Assets!L373)</f>
        <v>-6.5015361848139285E-3</v>
      </c>
      <c r="I470" s="33"/>
      <c r="J470" s="33">
        <f>LN(Assets!N372/Assets!N373)</f>
        <v>-7.3260400920728977E-3</v>
      </c>
      <c r="K470" s="33"/>
      <c r="L470" s="33">
        <f>LN(Assets!P372/Assets!P373)</f>
        <v>-3.8565930393572555E-2</v>
      </c>
      <c r="M470" s="33"/>
      <c r="N470" s="33">
        <f>LN(Assets!R372/Assets!R373)</f>
        <v>-2.85808702855484E-3</v>
      </c>
    </row>
    <row r="471" spans="3:14" x14ac:dyDescent="0.2">
      <c r="C471" s="3">
        <v>45219</v>
      </c>
      <c r="D471" s="33">
        <f>LN(Assets!H373/Assets!H374)</f>
        <v>-1.212407072979118E-2</v>
      </c>
      <c r="E471" s="33"/>
      <c r="F471" s="33">
        <f>LN(Assets!J373/Assets!J374)</f>
        <v>-9.8412153739100058E-3</v>
      </c>
      <c r="G471" s="33"/>
      <c r="H471" s="33">
        <f>LN(Assets!L373/Assets!L374)</f>
        <v>-4.0222932436827022E-2</v>
      </c>
      <c r="I471" s="33"/>
      <c r="J471" s="33">
        <f>LN(Assets!N373/Assets!N374)</f>
        <v>0.16208965282236967</v>
      </c>
      <c r="K471" s="33"/>
      <c r="L471" s="33">
        <f>LN(Assets!P373/Assets!P374)</f>
        <v>-2.839044003706993E-2</v>
      </c>
      <c r="M471" s="33"/>
      <c r="N471" s="33">
        <f>LN(Assets!R373/Assets!R374)</f>
        <v>-6.782653723791064E-3</v>
      </c>
    </row>
    <row r="472" spans="3:14" x14ac:dyDescent="0.2">
      <c r="C472" s="3">
        <v>45218</v>
      </c>
      <c r="D472" s="33">
        <f>LN(Assets!H374/Assets!H375)</f>
        <v>-5.2521402574071448E-3</v>
      </c>
      <c r="E472" s="33"/>
      <c r="F472" s="33">
        <f>LN(Assets!J374/Assets!J375)</f>
        <v>-3.9095274593134218E-3</v>
      </c>
      <c r="G472" s="33"/>
      <c r="H472" s="33">
        <f>LN(Assets!L374/Assets!L375)</f>
        <v>8.8397571560134714E-3</v>
      </c>
      <c r="I472" s="33"/>
      <c r="J472" s="33">
        <f>LN(Assets!N374/Assets!N375)</f>
        <v>0</v>
      </c>
      <c r="K472" s="33"/>
      <c r="L472" s="33">
        <f>LN(Assets!P374/Assets!P375)</f>
        <v>-4.139263299238221E-2</v>
      </c>
      <c r="M472" s="33"/>
      <c r="N472" s="33">
        <f>LN(Assets!R374/Assets!R375)</f>
        <v>-1.3213665667128522E-2</v>
      </c>
    </row>
    <row r="473" spans="3:14" x14ac:dyDescent="0.2">
      <c r="C473" s="3">
        <v>45217</v>
      </c>
      <c r="D473" s="33">
        <f>LN(Assets!H375/Assets!H376)</f>
        <v>-1.2370027571466309E-2</v>
      </c>
      <c r="E473" s="33"/>
      <c r="F473" s="33">
        <f>LN(Assets!J375/Assets!J376)</f>
        <v>-3.5321947118565435E-2</v>
      </c>
      <c r="G473" s="33"/>
      <c r="H473" s="33">
        <f>LN(Assets!L375/Assets!L376)</f>
        <v>4.7756964862499191E-3</v>
      </c>
      <c r="I473" s="33"/>
      <c r="J473" s="33">
        <f>LN(Assets!N375/Assets!N376)</f>
        <v>-8.6295813452835976E-2</v>
      </c>
      <c r="K473" s="33"/>
      <c r="L473" s="33">
        <f>LN(Assets!P375/Assets!P376)</f>
        <v>-2.1360541245087974E-2</v>
      </c>
      <c r="M473" s="33"/>
      <c r="N473" s="33">
        <f>LN(Assets!R375/Assets!R376)</f>
        <v>-1.2191360493484547E-2</v>
      </c>
    </row>
    <row r="474" spans="3:14" x14ac:dyDescent="0.2">
      <c r="C474" s="3">
        <v>45216</v>
      </c>
      <c r="D474" s="33">
        <f>LN(Assets!H376/Assets!H377)</f>
        <v>3.6628586799064724E-3</v>
      </c>
      <c r="E474" s="33"/>
      <c r="F474" s="33">
        <f>LN(Assets!J376/Assets!J377)</f>
        <v>1.7641928582392993E-2</v>
      </c>
      <c r="G474" s="33"/>
      <c r="H474" s="33">
        <f>LN(Assets!L376/Assets!L377)</f>
        <v>9.6203642638236168E-3</v>
      </c>
      <c r="I474" s="33"/>
      <c r="J474" s="33">
        <f>LN(Assets!N376/Assets!N377)</f>
        <v>-3.8614836127779661E-2</v>
      </c>
      <c r="K474" s="33"/>
      <c r="L474" s="33">
        <f>LN(Assets!P376/Assets!P377)</f>
        <v>1.0314596066622124E-3</v>
      </c>
      <c r="M474" s="33"/>
      <c r="N474" s="33">
        <f>LN(Assets!R376/Assets!R377)</f>
        <v>-2.123593917613591E-3</v>
      </c>
    </row>
    <row r="475" spans="3:14" x14ac:dyDescent="0.2">
      <c r="C475" s="3">
        <v>45215</v>
      </c>
      <c r="D475" s="33">
        <f>LN(Assets!H377/Assets!H378)</f>
        <v>8.0821939267506585E-3</v>
      </c>
      <c r="E475" s="33"/>
      <c r="F475" s="33">
        <f>LN(Assets!J377/Assets!J378)</f>
        <v>3.1713366995128452E-2</v>
      </c>
      <c r="G475" s="33"/>
      <c r="H475" s="33">
        <f>LN(Assets!L377/Assets!L378)</f>
        <v>-1.0417899198248417E-2</v>
      </c>
      <c r="I475" s="33"/>
      <c r="J475" s="33">
        <f>LN(Assets!N377/Assets!N378)</f>
        <v>-7.5472056353829663E-3</v>
      </c>
      <c r="K475" s="33"/>
      <c r="L475" s="33">
        <f>LN(Assets!P377/Assets!P378)</f>
        <v>3.1007776782481854E-3</v>
      </c>
      <c r="M475" s="33"/>
      <c r="N475" s="33">
        <f>LN(Assets!R377/Assets!R378)</f>
        <v>1.0612332525217019E-3</v>
      </c>
    </row>
    <row r="476" spans="3:14" x14ac:dyDescent="0.2">
      <c r="C476" s="3">
        <v>45212</v>
      </c>
      <c r="D476" s="33">
        <f>LN(Assets!H378/Assets!H379)</f>
        <v>-1.9187390873959278E-3</v>
      </c>
      <c r="E476" s="33"/>
      <c r="F476" s="33">
        <f>LN(Assets!J378/Assets!J379)</f>
        <v>-3.3354954231080293E-2</v>
      </c>
      <c r="G476" s="33"/>
      <c r="H476" s="33">
        <f>LN(Assets!L378/Assets!L379)</f>
        <v>-3.2794498571519927E-2</v>
      </c>
      <c r="I476" s="33"/>
      <c r="J476" s="33">
        <f>LN(Assets!N378/Assets!N379)</f>
        <v>-1.1215070820139957E-2</v>
      </c>
      <c r="K476" s="33"/>
      <c r="L476" s="33">
        <f>LN(Assets!P378/Assets!P379)</f>
        <v>-2.7063178348827519E-2</v>
      </c>
      <c r="M476" s="33"/>
      <c r="N476" s="33">
        <f>LN(Assets!R378/Assets!R379)</f>
        <v>-1.6846050099054689E-2</v>
      </c>
    </row>
    <row r="477" spans="3:14" x14ac:dyDescent="0.2">
      <c r="C477" s="3">
        <v>45211</v>
      </c>
      <c r="D477" s="33">
        <f>LN(Assets!H379/Assets!H380)</f>
        <v>-8.3546429078048042E-3</v>
      </c>
      <c r="E477" s="33"/>
      <c r="F477" s="33">
        <f>LN(Assets!J379/Assets!J380)</f>
        <v>1.5149718202717804E-2</v>
      </c>
      <c r="G477" s="33"/>
      <c r="H477" s="33">
        <f>LN(Assets!L379/Assets!L380)</f>
        <v>-2.1646467511676565E-2</v>
      </c>
      <c r="I477" s="33"/>
      <c r="J477" s="33">
        <f>LN(Assets!N379/Assets!N380)</f>
        <v>-2.2059718064732219E-2</v>
      </c>
      <c r="K477" s="33"/>
      <c r="L477" s="33">
        <f>LN(Assets!P379/Assets!P380)</f>
        <v>-5.0251362026729317E-3</v>
      </c>
      <c r="M477" s="33"/>
      <c r="N477" s="33">
        <f>LN(Assets!R379/Assets!R380)</f>
        <v>-2.2913583756108552E-2</v>
      </c>
    </row>
    <row r="478" spans="3:14" x14ac:dyDescent="0.2">
      <c r="C478" s="3">
        <v>45210</v>
      </c>
      <c r="D478" s="33">
        <f>LN(Assets!H380/Assets!H381)</f>
        <v>8.3054139562485554E-3</v>
      </c>
      <c r="E478" s="33"/>
      <c r="F478" s="33">
        <f>LN(Assets!J380/Assets!J381)</f>
        <v>1.8770686990559331E-2</v>
      </c>
      <c r="G478" s="33"/>
      <c r="H478" s="33">
        <f>LN(Assets!L380/Assets!L381)</f>
        <v>-6.5672694644943533E-3</v>
      </c>
      <c r="I478" s="33"/>
      <c r="J478" s="33">
        <f>LN(Assets!N380/Assets!N381)</f>
        <v>-2.8675799976666309E-2</v>
      </c>
      <c r="K478" s="33"/>
      <c r="L478" s="33">
        <f>LN(Assets!P380/Assets!P381)</f>
        <v>-2.7195742808490055E-2</v>
      </c>
      <c r="M478" s="33"/>
      <c r="N478" s="33">
        <f>LN(Assets!R380/Assets!R381)</f>
        <v>1.4181719544311255E-2</v>
      </c>
    </row>
    <row r="479" spans="3:14" x14ac:dyDescent="0.2">
      <c r="C479" s="3">
        <v>45209</v>
      </c>
      <c r="D479" s="33">
        <f>LN(Assets!H381/Assets!H382)</f>
        <v>1.3169118090829988E-2</v>
      </c>
      <c r="E479" s="33"/>
      <c r="F479" s="33">
        <f>LN(Assets!J381/Assets!J382)</f>
        <v>-1.9880257146004991E-2</v>
      </c>
      <c r="G479" s="33"/>
      <c r="H479" s="33">
        <f>LN(Assets!L381/Assets!L382)</f>
        <v>-1.3813870800455926E-2</v>
      </c>
      <c r="I479" s="33"/>
      <c r="J479" s="33">
        <f>LN(Assets!N381/Assets!N382)</f>
        <v>2.8675799976666298E-2</v>
      </c>
      <c r="K479" s="33"/>
      <c r="L479" s="33">
        <f>LN(Assets!P381/Assets!P382)</f>
        <v>4.6427104736377567E-2</v>
      </c>
      <c r="M479" s="33"/>
      <c r="N479" s="33">
        <f>LN(Assets!R381/Assets!R382)</f>
        <v>1.0355183694297756E-3</v>
      </c>
    </row>
    <row r="480" spans="3:14" x14ac:dyDescent="0.2">
      <c r="C480" s="3">
        <v>45205</v>
      </c>
      <c r="D480" s="33">
        <f>LN(Assets!H382/Assets!H383)</f>
        <v>5.6409246313585109E-3</v>
      </c>
      <c r="E480" s="33"/>
      <c r="F480" s="33">
        <f>LN(Assets!J382/Assets!J383)</f>
        <v>1.988025714600487E-2</v>
      </c>
      <c r="G480" s="33"/>
      <c r="H480" s="33">
        <f>LN(Assets!L382/Assets!L383)</f>
        <v>-1.6672610279323211E-2</v>
      </c>
      <c r="I480" s="33"/>
      <c r="J480" s="33">
        <f>LN(Assets!N382/Assets!N383)</f>
        <v>-1.444068415479436E-2</v>
      </c>
      <c r="K480" s="33"/>
      <c r="L480" s="33">
        <f>LN(Assets!P382/Assets!P383)</f>
        <v>3.5833158382837763E-3</v>
      </c>
      <c r="M480" s="33"/>
      <c r="N480" s="33">
        <f>LN(Assets!R382/Assets!R383)</f>
        <v>4.5690629851027811E-3</v>
      </c>
    </row>
    <row r="481" spans="3:14" x14ac:dyDescent="0.2">
      <c r="C481" s="3">
        <v>45204</v>
      </c>
      <c r="D481" s="33">
        <f>LN(Assets!H383/Assets!H384)</f>
        <v>5.3965512438120204E-3</v>
      </c>
      <c r="E481" s="33"/>
      <c r="F481" s="33">
        <f>LN(Assets!J383/Assets!J384)</f>
        <v>5.2842481374379982E-2</v>
      </c>
      <c r="G481" s="33"/>
      <c r="H481" s="33">
        <f>LN(Assets!L383/Assets!L384)</f>
        <v>9.0354056095993465E-3</v>
      </c>
      <c r="I481" s="33"/>
      <c r="J481" s="33">
        <f>LN(Assets!N383/Assets!N384)</f>
        <v>-1.0695289116747919E-2</v>
      </c>
      <c r="K481" s="33"/>
      <c r="L481" s="33">
        <f>LN(Assets!P383/Assets!P384)</f>
        <v>-6.6445427186685013E-3</v>
      </c>
      <c r="M481" s="33"/>
      <c r="N481" s="33">
        <f>LN(Assets!R383/Assets!R384)</f>
        <v>1.1093782012952951E-2</v>
      </c>
    </row>
    <row r="482" spans="3:14" x14ac:dyDescent="0.2">
      <c r="C482" s="3">
        <v>45203</v>
      </c>
      <c r="D482" s="33">
        <f>LN(Assets!H384/Assets!H385)</f>
        <v>7.2998208768064031E-4</v>
      </c>
      <c r="E482" s="33"/>
      <c r="F482" s="33">
        <f>LN(Assets!J384/Assets!J385)</f>
        <v>3.1191022079248867E-2</v>
      </c>
      <c r="G482" s="33"/>
      <c r="H482" s="33">
        <f>LN(Assets!L384/Assets!L385)</f>
        <v>4.6825960201843896E-3</v>
      </c>
      <c r="I482" s="33"/>
      <c r="J482" s="33">
        <f>LN(Assets!N384/Assets!N385)</f>
        <v>1.069528911674795E-2</v>
      </c>
      <c r="K482" s="33"/>
      <c r="L482" s="33">
        <f>LN(Assets!P384/Assets!P385)</f>
        <v>2.2148729254633889E-2</v>
      </c>
      <c r="M482" s="33"/>
      <c r="N482" s="33">
        <f>LN(Assets!R384/Assets!R385)</f>
        <v>1.505701227522885E-2</v>
      </c>
    </row>
    <row r="483" spans="3:14" x14ac:dyDescent="0.2">
      <c r="C483" s="3">
        <v>45202</v>
      </c>
      <c r="D483" s="33">
        <f>LN(Assets!H385/Assets!H386)</f>
        <v>-8.1816044071211218E-3</v>
      </c>
      <c r="E483" s="33"/>
      <c r="F483" s="33">
        <f>LN(Assets!J385/Assets!J386)</f>
        <v>-2.400966267058411E-2</v>
      </c>
      <c r="G483" s="33"/>
      <c r="H483" s="33">
        <f>LN(Assets!L385/Assets!L386)</f>
        <v>-5.7498319806071341E-3</v>
      </c>
      <c r="I483" s="33"/>
      <c r="J483" s="33">
        <f>LN(Assets!N385/Assets!N386)</f>
        <v>7.1942756340272309E-3</v>
      </c>
      <c r="K483" s="33"/>
      <c r="L483" s="33">
        <f>LN(Assets!P385/Assets!P386)</f>
        <v>-3.3293728099463696E-2</v>
      </c>
      <c r="M483" s="33"/>
      <c r="N483" s="33">
        <f>LN(Assets!R385/Assets!R386)</f>
        <v>-2.1560759106577738E-2</v>
      </c>
    </row>
    <row r="484" spans="3:14" x14ac:dyDescent="0.2">
      <c r="C484" s="3">
        <v>45201</v>
      </c>
      <c r="D484" s="33">
        <f>LN(Assets!H386/Assets!H387)</f>
        <v>-1.8807608893587537E-2</v>
      </c>
      <c r="E484" s="33"/>
      <c r="F484" s="33">
        <f>LN(Assets!J386/Assets!J387)</f>
        <v>1.8034269991505051E-3</v>
      </c>
      <c r="G484" s="33"/>
      <c r="H484" s="33">
        <f>LN(Assets!L386/Assets!L387)</f>
        <v>-2.0978406385191713E-2</v>
      </c>
      <c r="I484" s="33"/>
      <c r="J484" s="33">
        <f>LN(Assets!N386/Assets!N387)</f>
        <v>-3.6036075032985443E-3</v>
      </c>
      <c r="K484" s="33"/>
      <c r="L484" s="33">
        <f>LN(Assets!P386/Assets!P387)</f>
        <v>-1.3510338098339014E-2</v>
      </c>
      <c r="M484" s="33"/>
      <c r="N484" s="33">
        <f>LN(Assets!R386/Assets!R387)</f>
        <v>3.1416928134443615E-3</v>
      </c>
    </row>
    <row r="485" spans="3:14" x14ac:dyDescent="0.2">
      <c r="C485" s="3">
        <v>45198</v>
      </c>
      <c r="D485" s="33">
        <f>LN(Assets!H387/Assets!H388)</f>
        <v>-2.5283662328431313E-3</v>
      </c>
      <c r="E485" s="33"/>
      <c r="F485" s="33">
        <f>LN(Assets!J387/Assets!J388)</f>
        <v>9.9774070319989718E-3</v>
      </c>
      <c r="G485" s="33"/>
      <c r="H485" s="33">
        <f>LN(Assets!L387/Assets!L388)</f>
        <v>3.0759418240297123E-2</v>
      </c>
      <c r="I485" s="33"/>
      <c r="J485" s="33">
        <f>LN(Assets!N387/Assets!N388)</f>
        <v>-7.168489478612516E-3</v>
      </c>
      <c r="K485" s="33"/>
      <c r="L485" s="33">
        <f>LN(Assets!P387/Assets!P388)</f>
        <v>1.492166404695494E-3</v>
      </c>
      <c r="M485" s="33"/>
      <c r="N485" s="33">
        <f>LN(Assets!R387/Assets!R388)</f>
        <v>1.2241604961271135E-2</v>
      </c>
    </row>
    <row r="486" spans="3:14" x14ac:dyDescent="0.2">
      <c r="C486" s="3">
        <v>45197</v>
      </c>
      <c r="D486" s="33">
        <f>LN(Assets!H388/Assets!H389)</f>
        <v>7.9310180928862314E-3</v>
      </c>
      <c r="E486" s="33"/>
      <c r="F486" s="33">
        <f>LN(Assets!J388/Assets!J389)</f>
        <v>4.6013712145772205E-2</v>
      </c>
      <c r="G486" s="33"/>
      <c r="H486" s="33">
        <f>LN(Assets!L388/Assets!L389)</f>
        <v>2.8315261957383604E-3</v>
      </c>
      <c r="I486" s="33"/>
      <c r="J486" s="33">
        <f>LN(Assets!N388/Assets!N389)</f>
        <v>3.5778213478839024E-3</v>
      </c>
      <c r="K486" s="33"/>
      <c r="L486" s="33">
        <f>LN(Assets!P388/Assets!P389)</f>
        <v>3.1861102068984064E-2</v>
      </c>
      <c r="M486" s="33"/>
      <c r="N486" s="33">
        <f>LN(Assets!R388/Assets!R389)</f>
        <v>6.1774613318623574E-3</v>
      </c>
    </row>
    <row r="487" spans="3:14" x14ac:dyDescent="0.2">
      <c r="C487" s="3">
        <v>45196</v>
      </c>
      <c r="D487" s="33">
        <f>LN(Assets!H389/Assets!H390)</f>
        <v>-6.1638274423931215E-3</v>
      </c>
      <c r="E487" s="33"/>
      <c r="F487" s="33">
        <f>LN(Assets!J389/Assets!J390)</f>
        <v>3.0036167196110269E-2</v>
      </c>
      <c r="G487" s="33"/>
      <c r="H487" s="33">
        <f>LN(Assets!L389/Assets!L390)</f>
        <v>1.8245097469257023E-3</v>
      </c>
      <c r="I487" s="33"/>
      <c r="J487" s="33">
        <f>LN(Assets!N389/Assets!N390)</f>
        <v>1.4440684154794428E-2</v>
      </c>
      <c r="K487" s="33"/>
      <c r="L487" s="33">
        <f>LN(Assets!P389/Assets!P390)</f>
        <v>-2.936919945880492E-2</v>
      </c>
      <c r="M487" s="33"/>
      <c r="N487" s="33">
        <f>LN(Assets!R389/Assets!R390)</f>
        <v>-8.5433580591564261E-4</v>
      </c>
    </row>
    <row r="488" spans="3:14" x14ac:dyDescent="0.2">
      <c r="C488" s="3">
        <v>45195</v>
      </c>
      <c r="D488" s="33">
        <f>LN(Assets!H390/Assets!H391)</f>
        <v>-1.2422930339534838E-2</v>
      </c>
      <c r="E488" s="33"/>
      <c r="F488" s="33">
        <f>LN(Assets!J390/Assets!J391)</f>
        <v>-1.6260520871780291E-2</v>
      </c>
      <c r="G488" s="33"/>
      <c r="H488" s="33">
        <f>LN(Assets!L390/Assets!L391)</f>
        <v>-2.8734352498593942E-2</v>
      </c>
      <c r="I488" s="33"/>
      <c r="J488" s="33">
        <f>LN(Assets!N390/Assets!N391)</f>
        <v>-2.1583571667174516E-2</v>
      </c>
      <c r="K488" s="33"/>
      <c r="L488" s="33">
        <f>LN(Assets!P390/Assets!P391)</f>
        <v>-2.561716437030033E-2</v>
      </c>
      <c r="M488" s="33"/>
      <c r="N488" s="33">
        <f>LN(Assets!R390/Assets!R391)</f>
        <v>-2.1960341960255803E-2</v>
      </c>
    </row>
    <row r="489" spans="3:14" x14ac:dyDescent="0.2">
      <c r="C489" s="3">
        <v>45194</v>
      </c>
      <c r="D489" s="33">
        <f>LN(Assets!H391/Assets!H392)</f>
        <v>1.0429357968412022E-3</v>
      </c>
      <c r="E489" s="33"/>
      <c r="F489" s="33">
        <f>LN(Assets!J391/Assets!J392)</f>
        <v>2.0202707317519469E-2</v>
      </c>
      <c r="G489" s="33"/>
      <c r="H489" s="33">
        <f>LN(Assets!L391/Assets!L392)</f>
        <v>-1.0070051747469919E-2</v>
      </c>
      <c r="I489" s="33"/>
      <c r="J489" s="33">
        <f>LN(Assets!N391/Assets!N392)</f>
        <v>7.1428875123802039E-3</v>
      </c>
      <c r="K489" s="33"/>
      <c r="L489" s="33">
        <f>LN(Assets!P391/Assets!P392)</f>
        <v>8.7934127923855153E-3</v>
      </c>
      <c r="M489" s="33"/>
      <c r="N489" s="33">
        <f>LN(Assets!R391/Assets!R392)</f>
        <v>-2.9197101033347503E-3</v>
      </c>
    </row>
    <row r="490" spans="3:14" x14ac:dyDescent="0.2">
      <c r="C490" s="3">
        <v>45191</v>
      </c>
      <c r="D490" s="33">
        <f>LN(Assets!H392/Assets!H393)</f>
        <v>-5.8880627928161215E-4</v>
      </c>
      <c r="E490" s="33"/>
      <c r="F490" s="33">
        <f>LN(Assets!J392/Assets!J393)</f>
        <v>9.591606525672966E-3</v>
      </c>
      <c r="G490" s="33"/>
      <c r="H490" s="33">
        <f>LN(Assets!L392/Assets!L393)</f>
        <v>-3.3126593250150096E-3</v>
      </c>
      <c r="I490" s="33"/>
      <c r="J490" s="33">
        <f>LN(Assets!N392/Assets!N393)</f>
        <v>3.59066813072854E-3</v>
      </c>
      <c r="K490" s="33"/>
      <c r="L490" s="33">
        <f>LN(Assets!P392/Assets!P393)</f>
        <v>-1.7992218882128635E-2</v>
      </c>
      <c r="M490" s="33"/>
      <c r="N490" s="33">
        <f>LN(Assets!R392/Assets!R393)</f>
        <v>5.8479698824231204E-3</v>
      </c>
    </row>
    <row r="491" spans="3:14" x14ac:dyDescent="0.2">
      <c r="C491" s="3">
        <v>45190</v>
      </c>
      <c r="D491" s="33">
        <f>LN(Assets!H393/Assets!H394)</f>
        <v>-2.1150952038802778E-2</v>
      </c>
      <c r="E491" s="33"/>
      <c r="F491" s="33">
        <f>LN(Assets!J393/Assets!J394)</f>
        <v>-6.2945379272942538E-3</v>
      </c>
      <c r="G491" s="33"/>
      <c r="H491" s="33">
        <f>LN(Assets!L393/Assets!L394)</f>
        <v>-3.3289644549708911E-2</v>
      </c>
      <c r="I491" s="33"/>
      <c r="J491" s="33">
        <f>LN(Assets!N393/Assets!N394)</f>
        <v>-3.1861102068984119E-2</v>
      </c>
      <c r="K491" s="33"/>
      <c r="L491" s="33">
        <f>LN(Assets!P393/Assets!P394)</f>
        <v>2.4125464053839259E-3</v>
      </c>
      <c r="M491" s="33"/>
      <c r="N491" s="33">
        <f>LN(Assets!R393/Assets!R394)</f>
        <v>-4.0034084703545067E-2</v>
      </c>
    </row>
    <row r="492" spans="3:14" x14ac:dyDescent="0.2">
      <c r="C492" s="3">
        <v>45189</v>
      </c>
      <c r="D492" s="33">
        <f>LN(Assets!H394/Assets!H395)</f>
        <v>-2.0774811506205399E-4</v>
      </c>
      <c r="E492" s="33"/>
      <c r="F492" s="33">
        <f>LN(Assets!J394/Assets!J395)</f>
        <v>-7.2392550441179116E-3</v>
      </c>
      <c r="G492" s="33"/>
      <c r="H492" s="33">
        <f>LN(Assets!L394/Assets!L395)</f>
        <v>-8.1831983652984747E-3</v>
      </c>
      <c r="I492" s="33"/>
      <c r="J492" s="33">
        <f>LN(Assets!N394/Assets!N395)</f>
        <v>-4.0961357631065405E-2</v>
      </c>
      <c r="K492" s="33"/>
      <c r="L492" s="33">
        <f>LN(Assets!P394/Assets!P395)</f>
        <v>-1.6291687598185663E-2</v>
      </c>
      <c r="M492" s="33"/>
      <c r="N492" s="33">
        <f>LN(Assets!R394/Assets!R395)</f>
        <v>-8.0176817552963867E-3</v>
      </c>
    </row>
    <row r="493" spans="3:14" x14ac:dyDescent="0.2">
      <c r="C493" s="3">
        <v>45188</v>
      </c>
      <c r="D493" s="33">
        <f>LN(Assets!H395/Assets!H396)</f>
        <v>-1.3457752924828493E-2</v>
      </c>
      <c r="E493" s="33"/>
      <c r="F493" s="33">
        <f>LN(Assets!J395/Assets!J396)</f>
        <v>-7.1872246661054033E-3</v>
      </c>
      <c r="G493" s="33"/>
      <c r="H493" s="33">
        <f>LN(Assets!L395/Assets!L396)</f>
        <v>-2.8578629805018511E-2</v>
      </c>
      <c r="I493" s="33"/>
      <c r="J493" s="33">
        <f>LN(Assets!N395/Assets!N396)</f>
        <v>1.0084119066626226E-2</v>
      </c>
      <c r="K493" s="33"/>
      <c r="L493" s="33">
        <f>LN(Assets!P395/Assets!P396)</f>
        <v>-2.6267926820610302E-2</v>
      </c>
      <c r="M493" s="33"/>
      <c r="N493" s="33">
        <f>LN(Assets!R395/Assets!R396)</f>
        <v>-4.5085203957470926E-2</v>
      </c>
    </row>
    <row r="494" spans="3:14" x14ac:dyDescent="0.2">
      <c r="C494" s="3">
        <v>45187</v>
      </c>
      <c r="D494" s="33">
        <f>LN(Assets!H396/Assets!H397)</f>
        <v>-6.2998853385963435E-3</v>
      </c>
      <c r="E494" s="33"/>
      <c r="F494" s="33">
        <f>LN(Assets!J396/Assets!J397)</f>
        <v>-2.9254043291051003E-3</v>
      </c>
      <c r="G494" s="33"/>
      <c r="H494" s="33">
        <f>LN(Assets!L396/Assets!L397)</f>
        <v>-1.2091167416927068E-4</v>
      </c>
      <c r="I494" s="33"/>
      <c r="J494" s="33">
        <f>LN(Assets!N396/Assets!N397)</f>
        <v>-1.3423020332140661E-2</v>
      </c>
      <c r="K494" s="33"/>
      <c r="L494" s="33">
        <f>LN(Assets!P396/Assets!P397)</f>
        <v>-9.2166551049239522E-3</v>
      </c>
      <c r="M494" s="33"/>
      <c r="N494" s="33">
        <f>LN(Assets!R396/Assets!R397)</f>
        <v>-6.2779622153818545E-3</v>
      </c>
    </row>
    <row r="495" spans="3:14" x14ac:dyDescent="0.2">
      <c r="C495" s="3">
        <v>45184</v>
      </c>
      <c r="D495" s="33">
        <f>LN(Assets!H397/Assets!H398)</f>
        <v>2.646263347427472E-3</v>
      </c>
      <c r="E495" s="33"/>
      <c r="F495" s="33">
        <f>LN(Assets!J397/Assets!J398)</f>
        <v>-3.0053412730124174E-2</v>
      </c>
      <c r="G495" s="33"/>
      <c r="H495" s="33">
        <f>LN(Assets!L397/Assets!L398)</f>
        <v>-1.3894344821445772E-3</v>
      </c>
      <c r="I495" s="33"/>
      <c r="J495" s="33">
        <f>LN(Assets!N397/Assets!N398)</f>
        <v>-3.3277900926745796E-3</v>
      </c>
      <c r="K495" s="33"/>
      <c r="L495" s="33">
        <f>LN(Assets!P397/Assets!P398)</f>
        <v>-2.2909517465558244E-3</v>
      </c>
      <c r="M495" s="33"/>
      <c r="N495" s="33">
        <f>LN(Assets!R397/Assets!R398)</f>
        <v>-7.7453867892891062E-3</v>
      </c>
    </row>
    <row r="496" spans="3:14" x14ac:dyDescent="0.2">
      <c r="C496" s="3">
        <v>45183</v>
      </c>
      <c r="D496" s="33">
        <f>LN(Assets!H398/Assets!H399)</f>
        <v>1.4145781746667011E-2</v>
      </c>
      <c r="E496" s="33"/>
      <c r="F496" s="33">
        <f>LN(Assets!J398/Assets!J399)</f>
        <v>1.8915516358711799E-3</v>
      </c>
      <c r="G496" s="33"/>
      <c r="H496" s="33">
        <f>LN(Assets!L398/Assets!L399)</f>
        <v>1.2513831139824908E-2</v>
      </c>
      <c r="I496" s="33"/>
      <c r="J496" s="33">
        <f>LN(Assets!N398/Assets!N399)</f>
        <v>3.0356462480593992E-2</v>
      </c>
      <c r="K496" s="33"/>
      <c r="L496" s="33">
        <f>LN(Assets!P398/Assets!P399)</f>
        <v>0</v>
      </c>
      <c r="M496" s="33"/>
      <c r="N496" s="33">
        <f>LN(Assets!R398/Assets!R399)</f>
        <v>1.6507347606836913E-2</v>
      </c>
    </row>
    <row r="497" spans="3:14" x14ac:dyDescent="0.2">
      <c r="C497" s="3">
        <v>45182</v>
      </c>
      <c r="D497" s="33">
        <f>LN(Assets!H399/Assets!H400)</f>
        <v>2.7583826889805824E-3</v>
      </c>
      <c r="E497" s="33"/>
      <c r="F497" s="33">
        <f>LN(Assets!J399/Assets!J400)</f>
        <v>-3.3207085282039174E-2</v>
      </c>
      <c r="G497" s="33"/>
      <c r="H497" s="33">
        <f>LN(Assets!L399/Assets!L400)</f>
        <v>-4.8890791171251962E-4</v>
      </c>
      <c r="I497" s="33"/>
      <c r="J497" s="33">
        <f>LN(Assets!N399/Assets!N400)</f>
        <v>-3.418806748785609E-3</v>
      </c>
      <c r="K497" s="33"/>
      <c r="L497" s="33">
        <f>LN(Assets!P399/Assets!P400)</f>
        <v>-5.0216950997307493E-3</v>
      </c>
      <c r="M497" s="33"/>
      <c r="N497" s="33">
        <f>LN(Assets!R399/Assets!R400)</f>
        <v>-1.7071734791416573E-2</v>
      </c>
    </row>
    <row r="498" spans="3:14" x14ac:dyDescent="0.2">
      <c r="C498" s="3">
        <v>45181</v>
      </c>
      <c r="D498" s="33">
        <f>LN(Assets!H400/Assets!H401)</f>
        <v>1.9957517716730606E-3</v>
      </c>
      <c r="E498" s="33"/>
      <c r="F498" s="33">
        <f>LN(Assets!J400/Assets!J401)</f>
        <v>1.5274174345760476E-3</v>
      </c>
      <c r="G498" s="33"/>
      <c r="H498" s="33">
        <f>LN(Assets!L400/Assets!L401)</f>
        <v>-3.841819525429965E-3</v>
      </c>
      <c r="I498" s="33"/>
      <c r="J498" s="33">
        <f>LN(Assets!N400/Assets!N401)</f>
        <v>-1.3559529785632362E-2</v>
      </c>
      <c r="K498" s="33"/>
      <c r="L498" s="33">
        <f>LN(Assets!P400/Assets!P401)</f>
        <v>1.191035609491603E-2</v>
      </c>
      <c r="M498" s="33"/>
      <c r="N498" s="33">
        <f>LN(Assets!R400/Assets!R401)</f>
        <v>-7.1214693775105238E-3</v>
      </c>
    </row>
    <row r="499" spans="3:14" x14ac:dyDescent="0.2">
      <c r="C499" s="3">
        <v>45180</v>
      </c>
      <c r="D499" s="33">
        <f>LN(Assets!H401/Assets!H402)</f>
        <v>5.3709495910540814E-3</v>
      </c>
      <c r="E499" s="33"/>
      <c r="F499" s="33">
        <f>LN(Assets!J401/Assets!J402)</f>
        <v>2.5701987628278255E-2</v>
      </c>
      <c r="G499" s="33"/>
      <c r="H499" s="33">
        <f>LN(Assets!L401/Assets!L402)</f>
        <v>1.706505103864028E-2</v>
      </c>
      <c r="I499" s="33"/>
      <c r="J499" s="33">
        <f>LN(Assets!N401/Assets!N402)</f>
        <v>3.4249923043078445E-2</v>
      </c>
      <c r="K499" s="33"/>
      <c r="L499" s="33">
        <f>LN(Assets!P401/Assets!P402)</f>
        <v>2.3311078868447146E-2</v>
      </c>
      <c r="M499" s="33"/>
      <c r="N499" s="33">
        <f>LN(Assets!R401/Assets!R402)</f>
        <v>5.9936497090918158E-3</v>
      </c>
    </row>
    <row r="500" spans="3:14" x14ac:dyDescent="0.2">
      <c r="C500" s="3">
        <v>45177</v>
      </c>
      <c r="D500" s="33">
        <f>LN(Assets!H402/Assets!H403)</f>
        <v>-2.8567376186494097E-3</v>
      </c>
      <c r="E500" s="33"/>
      <c r="F500" s="33">
        <f>LN(Assets!J402/Assets!J403)</f>
        <v>2.1981481609615891E-3</v>
      </c>
      <c r="G500" s="33"/>
      <c r="H500" s="33">
        <f>LN(Assets!L402/Assets!L403)</f>
        <v>1.0530555066113215E-3</v>
      </c>
      <c r="I500" s="33"/>
      <c r="J500" s="33">
        <f>LN(Assets!N402/Assets!N403)</f>
        <v>1.0507977598415165E-2</v>
      </c>
      <c r="K500" s="33"/>
      <c r="L500" s="33">
        <f>LN(Assets!P402/Assets!P403)</f>
        <v>-4.7058910374127277E-3</v>
      </c>
      <c r="M500" s="33"/>
      <c r="N500" s="33">
        <f>LN(Assets!R402/Assets!R403)</f>
        <v>-7.1134706547803924E-3</v>
      </c>
    </row>
    <row r="501" spans="3:14" x14ac:dyDescent="0.2">
      <c r="C501" s="3">
        <v>45176</v>
      </c>
      <c r="D501" s="33">
        <f>LN(Assets!H403/Assets!H404)</f>
        <v>-4.7018053349337898E-3</v>
      </c>
      <c r="E501" s="33"/>
      <c r="F501" s="33">
        <f>LN(Assets!J403/Assets!J404)</f>
        <v>-3.1387345290994559E-3</v>
      </c>
      <c r="G501" s="33"/>
      <c r="H501" s="33">
        <f>LN(Assets!L403/Assets!L404)</f>
        <v>3.5389475981560396E-3</v>
      </c>
      <c r="I501" s="33"/>
      <c r="J501" s="33">
        <f>LN(Assets!N403/Assets!N404)</f>
        <v>3.5273405179684406E-3</v>
      </c>
      <c r="K501" s="33"/>
      <c r="L501" s="33">
        <f>LN(Assets!P403/Assets!P404)</f>
        <v>-7.0175726586465346E-3</v>
      </c>
      <c r="M501" s="33"/>
      <c r="N501" s="33">
        <f>LN(Assets!R403/Assets!R404)</f>
        <v>-1.5547231539523204E-2</v>
      </c>
    </row>
    <row r="502" spans="3:14" x14ac:dyDescent="0.2">
      <c r="C502" s="3">
        <v>45175</v>
      </c>
      <c r="D502" s="33">
        <f>LN(Assets!H404/Assets!H405)</f>
        <v>-9.1928152603455767E-3</v>
      </c>
      <c r="E502" s="33"/>
      <c r="F502" s="33">
        <f>LN(Assets!J404/Assets!J405)</f>
        <v>-5.9365898458180735E-3</v>
      </c>
      <c r="G502" s="33"/>
      <c r="H502" s="33">
        <f>LN(Assets!L404/Assets!L405)</f>
        <v>-2.0682751301750752E-2</v>
      </c>
      <c r="I502" s="33"/>
      <c r="J502" s="33">
        <f>LN(Assets!N404/Assets!N405)</f>
        <v>-3.5273405179682992E-3</v>
      </c>
      <c r="K502" s="33"/>
      <c r="L502" s="33">
        <f>LN(Assets!P404/Assets!P405)</f>
        <v>-3.6617363238223309E-2</v>
      </c>
      <c r="M502" s="33"/>
      <c r="N502" s="33">
        <f>LN(Assets!R404/Assets!R405)</f>
        <v>-3.3003330286567427E-3</v>
      </c>
    </row>
    <row r="503" spans="3:14" x14ac:dyDescent="0.2">
      <c r="C503" s="3">
        <v>45174</v>
      </c>
      <c r="D503" s="33">
        <f>LN(Assets!H405/Assets!H406)</f>
        <v>-6.4259414188205686E-3</v>
      </c>
      <c r="E503" s="33"/>
      <c r="F503" s="33">
        <f>LN(Assets!J405/Assets!J406)</f>
        <v>4.3709092378963182E-3</v>
      </c>
      <c r="G503" s="33"/>
      <c r="H503" s="33">
        <f>LN(Assets!L405/Assets!L406)</f>
        <v>-9.2781357488805026E-3</v>
      </c>
      <c r="I503" s="33"/>
      <c r="J503" s="33">
        <f>LN(Assets!N405/Assets!N406)</f>
        <v>0</v>
      </c>
      <c r="K503" s="33"/>
      <c r="L503" s="33">
        <f>LN(Assets!P405/Assets!P406)</f>
        <v>-2.8794901947944641E-2</v>
      </c>
      <c r="M503" s="33"/>
      <c r="N503" s="33">
        <f>LN(Assets!R405/Assets!R406)</f>
        <v>-7.4770112174619161E-3</v>
      </c>
    </row>
    <row r="504" spans="3:14" x14ac:dyDescent="0.2">
      <c r="C504" s="3">
        <v>45170</v>
      </c>
      <c r="D504" s="33">
        <f>LN(Assets!H406/Assets!H407)</f>
        <v>1.2377851542861373E-2</v>
      </c>
      <c r="E504" s="33"/>
      <c r="F504" s="33">
        <f>LN(Assets!J406/Assets!J407)</f>
        <v>1.4497575066486664E-2</v>
      </c>
      <c r="G504" s="33"/>
      <c r="H504" s="33">
        <f>LN(Assets!L406/Assets!L407)</f>
        <v>-5.4177835385704034E-3</v>
      </c>
      <c r="I504" s="33"/>
      <c r="J504" s="33">
        <f>LN(Assets!N406/Assets!N407)</f>
        <v>-7.0175726586465346E-3</v>
      </c>
      <c r="K504" s="33"/>
      <c r="L504" s="33">
        <f>LN(Assets!P406/Assets!P407)</f>
        <v>-5.2264927335426946E-3</v>
      </c>
      <c r="M504" s="33"/>
      <c r="N504" s="33">
        <f>LN(Assets!R406/Assets!R407)</f>
        <v>1.0777344246118713E-2</v>
      </c>
    </row>
    <row r="505" spans="3:14" x14ac:dyDescent="0.2">
      <c r="C505" s="3">
        <v>45169</v>
      </c>
      <c r="D505" s="33">
        <f>LN(Assets!H407/Assets!H408)</f>
        <v>-1.8560946511165944E-3</v>
      </c>
      <c r="E505" s="33"/>
      <c r="F505" s="33">
        <f>LN(Assets!J407/Assets!J408)</f>
        <v>3.2588784831424078E-2</v>
      </c>
      <c r="G505" s="33"/>
      <c r="H505" s="33">
        <f>LN(Assets!L407/Assets!L408)</f>
        <v>5.4045940363753038E-4</v>
      </c>
      <c r="I505" s="33"/>
      <c r="J505" s="33">
        <f>LN(Assets!N407/Assets!N408)</f>
        <v>3.9220713153281329E-2</v>
      </c>
      <c r="K505" s="33"/>
      <c r="L505" s="33">
        <f>LN(Assets!P407/Assets!P408)</f>
        <v>3.6271114415502889E-2</v>
      </c>
      <c r="M505" s="33"/>
      <c r="N505" s="33">
        <f>LN(Assets!R407/Assets!R408)</f>
        <v>1.0337917433564178E-2</v>
      </c>
    </row>
    <row r="506" spans="3:14" x14ac:dyDescent="0.2">
      <c r="C506" s="3">
        <v>45168</v>
      </c>
      <c r="D506" s="33">
        <f>LN(Assets!H408/Assets!H409)</f>
        <v>1.9650071695847208E-3</v>
      </c>
      <c r="E506" s="33"/>
      <c r="F506" s="33">
        <f>LN(Assets!J408/Assets!J409)</f>
        <v>-1.9487463070499117E-2</v>
      </c>
      <c r="G506" s="33"/>
      <c r="H506" s="33">
        <f>LN(Assets!L408/Assets!L409)</f>
        <v>-3.2982549164772535E-3</v>
      </c>
      <c r="I506" s="33"/>
      <c r="J506" s="33">
        <f>LN(Assets!N408/Assets!N409)</f>
        <v>7.2993024816115351E-3</v>
      </c>
      <c r="K506" s="33"/>
      <c r="L506" s="33">
        <f>LN(Assets!P408/Assets!P409)</f>
        <v>-8.9686699827603751E-3</v>
      </c>
      <c r="M506" s="33"/>
      <c r="N506" s="33">
        <f>LN(Assets!R408/Assets!R409)</f>
        <v>3.7181675109273097E-3</v>
      </c>
    </row>
    <row r="507" spans="3:14" x14ac:dyDescent="0.2">
      <c r="C507" s="3">
        <v>45167</v>
      </c>
      <c r="D507" s="33">
        <f>LN(Assets!H409/Assets!H410)</f>
        <v>1.3159876441178197E-2</v>
      </c>
      <c r="E507" s="33"/>
      <c r="F507" s="33">
        <f>LN(Assets!J409/Assets!J410)</f>
        <v>6.1300401669626475E-3</v>
      </c>
      <c r="G507" s="33"/>
      <c r="H507" s="33">
        <f>LN(Assets!L409/Assets!L410)</f>
        <v>7.4515097504824239E-3</v>
      </c>
      <c r="I507" s="33"/>
      <c r="J507" s="33">
        <f>LN(Assets!N409/Assets!N410)</f>
        <v>4.4951387862266268E-2</v>
      </c>
      <c r="K507" s="33"/>
      <c r="L507" s="33">
        <f>LN(Assets!P409/Assets!P410)</f>
        <v>2.6692378647456428E-2</v>
      </c>
      <c r="M507" s="33"/>
      <c r="N507" s="33">
        <f>LN(Assets!R409/Assets!R410)</f>
        <v>1.2557563573598478E-2</v>
      </c>
    </row>
    <row r="508" spans="3:14" x14ac:dyDescent="0.2">
      <c r="C508" s="3">
        <v>45166</v>
      </c>
      <c r="D508" s="33">
        <f>LN(Assets!H410/Assets!H411)</f>
        <v>9.5026189908925165E-3</v>
      </c>
      <c r="E508" s="33"/>
      <c r="F508" s="33">
        <f>LN(Assets!J410/Assets!J411)</f>
        <v>4.0619749600969167E-2</v>
      </c>
      <c r="G508" s="33"/>
      <c r="H508" s="33">
        <f>LN(Assets!L410/Assets!L411)</f>
        <v>1.5090697941240521E-3</v>
      </c>
      <c r="I508" s="33"/>
      <c r="J508" s="33">
        <f>LN(Assets!N410/Assets!N411)</f>
        <v>-1.8975901459005805E-2</v>
      </c>
      <c r="K508" s="33"/>
      <c r="L508" s="33">
        <f>LN(Assets!P410/Assets!P411)</f>
        <v>-2.8476500440957994E-2</v>
      </c>
      <c r="M508" s="33"/>
      <c r="N508" s="33">
        <f>LN(Assets!R410/Assets!R411)</f>
        <v>-2.0725396019724233E-3</v>
      </c>
    </row>
    <row r="509" spans="3:14" x14ac:dyDescent="0.2">
      <c r="C509" s="3">
        <v>45163</v>
      </c>
      <c r="D509" s="33">
        <f>LN(Assets!H411/Assets!H412)</f>
        <v>3.0253802400005934E-3</v>
      </c>
      <c r="E509" s="33"/>
      <c r="F509" s="33">
        <f>LN(Assets!J411/Assets!J412)</f>
        <v>-1.2060447692508398E-2</v>
      </c>
      <c r="G509" s="33"/>
      <c r="H509" s="33">
        <f>LN(Assets!L411/Assets!L412)</f>
        <v>-3.5577569411376435E-3</v>
      </c>
      <c r="I509" s="33"/>
      <c r="J509" s="33">
        <f>LN(Assets!N411/Assets!N412)</f>
        <v>5.8043369649915348E-2</v>
      </c>
      <c r="K509" s="33"/>
      <c r="L509" s="33">
        <f>LN(Assets!P411/Assets!P412)</f>
        <v>4.7921557560181384E-2</v>
      </c>
      <c r="M509" s="33"/>
      <c r="N509" s="33">
        <f>LN(Assets!R411/Assets!R412)</f>
        <v>1.8617559016070515E-2</v>
      </c>
    </row>
    <row r="510" spans="3:14" x14ac:dyDescent="0.2">
      <c r="C510" s="3">
        <v>45162</v>
      </c>
      <c r="D510" s="33">
        <f>LN(Assets!H412/Assets!H413)</f>
        <v>-5.2431528323384474E-3</v>
      </c>
      <c r="E510" s="33"/>
      <c r="F510" s="33">
        <f>LN(Assets!J412/Assets!J413)</f>
        <v>3.3355601306314163E-3</v>
      </c>
      <c r="G510" s="33"/>
      <c r="H510" s="33">
        <f>LN(Assets!L412/Assets!L413)</f>
        <v>-2.5964682325184115E-2</v>
      </c>
      <c r="I510" s="33"/>
      <c r="J510" s="33">
        <f>LN(Assets!N412/Assets!N413)</f>
        <v>-1.1881327886752788E-2</v>
      </c>
      <c r="K510" s="33"/>
      <c r="L510" s="33">
        <f>LN(Assets!P412/Assets!P413)</f>
        <v>2.7970536387041979E-2</v>
      </c>
      <c r="M510" s="33"/>
      <c r="N510" s="33">
        <f>LN(Assets!R412/Assets!R413)</f>
        <v>-5.3547651376600275E-3</v>
      </c>
    </row>
    <row r="511" spans="3:14" x14ac:dyDescent="0.2">
      <c r="C511" s="3">
        <v>45161</v>
      </c>
      <c r="D511" s="33">
        <f>LN(Assets!H413/Assets!H414)</f>
        <v>9.5312945154812888E-3</v>
      </c>
      <c r="E511" s="33"/>
      <c r="F511" s="33">
        <f>LN(Assets!J413/Assets!J414)</f>
        <v>2.7779564107075671E-2</v>
      </c>
      <c r="G511" s="33"/>
      <c r="H511" s="33">
        <f>LN(Assets!L413/Assets!L414)</f>
        <v>1.6737534773855131E-2</v>
      </c>
      <c r="I511" s="33"/>
      <c r="J511" s="33">
        <f>LN(Assets!N413/Assets!N414)</f>
        <v>7.9051795071132473E-3</v>
      </c>
      <c r="K511" s="33"/>
      <c r="L511" s="33">
        <f>LN(Assets!P413/Assets!P414)</f>
        <v>-4.317588861202132E-3</v>
      </c>
      <c r="M511" s="33"/>
      <c r="N511" s="33">
        <f>LN(Assets!R413/Assets!R414)</f>
        <v>2.2373160788832076E-2</v>
      </c>
    </row>
    <row r="512" spans="3:14" x14ac:dyDescent="0.2">
      <c r="C512" s="3">
        <v>45160</v>
      </c>
      <c r="D512" s="33">
        <f>LN(Assets!H414/Assets!H415)</f>
        <v>-4.7451609046097248E-3</v>
      </c>
      <c r="E512" s="33"/>
      <c r="F512" s="33">
        <f>LN(Assets!J414/Assets!J415)</f>
        <v>3.7093125788826578E-2</v>
      </c>
      <c r="G512" s="33"/>
      <c r="H512" s="33">
        <f>LN(Assets!L414/Assets!L415)</f>
        <v>4.0039495329612148E-3</v>
      </c>
      <c r="I512" s="33"/>
      <c r="J512" s="33">
        <f>LN(Assets!N414/Assets!N415)</f>
        <v>1.600034134644112E-2</v>
      </c>
      <c r="K512" s="33"/>
      <c r="L512" s="33">
        <f>LN(Assets!P414/Assets!P415)</f>
        <v>-1.9129608894338809E-3</v>
      </c>
      <c r="M512" s="33"/>
      <c r="N512" s="33">
        <f>LN(Assets!R414/Assets!R415)</f>
        <v>1.3351857491764393E-2</v>
      </c>
    </row>
    <row r="513" spans="3:14" x14ac:dyDescent="0.2">
      <c r="C513" s="3">
        <v>45159</v>
      </c>
      <c r="D513" s="33">
        <f>LN(Assets!H415/Assets!H416)</f>
        <v>-1.6927903412197163E-3</v>
      </c>
      <c r="E513" s="33"/>
      <c r="F513" s="33">
        <f>LN(Assets!J415/Assets!J416)</f>
        <v>8.2334454734085023E-3</v>
      </c>
      <c r="G513" s="33"/>
      <c r="H513" s="33">
        <f>LN(Assets!L415/Assets!L416)</f>
        <v>2.0386030975950892E-2</v>
      </c>
      <c r="I513" s="33"/>
      <c r="J513" s="33">
        <f>LN(Assets!N415/Assets!N416)</f>
        <v>-1.9960742562537943E-2</v>
      </c>
      <c r="K513" s="33"/>
      <c r="L513" s="33">
        <f>LN(Assets!P415/Assets!P416)</f>
        <v>1.5407141555540614E-2</v>
      </c>
      <c r="M513" s="33"/>
      <c r="N513" s="33">
        <f>LN(Assets!R415/Assets!R416)</f>
        <v>1.1331002854371721E-2</v>
      </c>
    </row>
    <row r="514" spans="3:14" x14ac:dyDescent="0.2">
      <c r="C514" s="3">
        <v>45156</v>
      </c>
      <c r="D514" s="33">
        <f>LN(Assets!H416/Assets!H417)</f>
        <v>3.1087073831330734E-4</v>
      </c>
      <c r="E514" s="33"/>
      <c r="F514" s="33">
        <f>LN(Assets!J416/Assets!J417)</f>
        <v>-1.4984226129744434E-2</v>
      </c>
      <c r="G514" s="33"/>
      <c r="H514" s="33">
        <f>LN(Assets!L416/Assets!L417)</f>
        <v>7.3363089430908792E-4</v>
      </c>
      <c r="I514" s="33"/>
      <c r="J514" s="33">
        <f>LN(Assets!N416/Assets!N417)</f>
        <v>2.8057952795157312E-2</v>
      </c>
      <c r="K514" s="33"/>
      <c r="L514" s="33">
        <f>LN(Assets!P416/Assets!P417)</f>
        <v>-1.8746042821055332E-2</v>
      </c>
      <c r="M514" s="33"/>
      <c r="N514" s="33">
        <f>LN(Assets!R416/Assets!R417)</f>
        <v>4.6087647953818207E-3</v>
      </c>
    </row>
    <row r="515" spans="3:14" x14ac:dyDescent="0.2">
      <c r="C515" s="3">
        <v>45155</v>
      </c>
      <c r="D515" s="33">
        <f>LN(Assets!H417/Assets!H418)</f>
        <v>-4.3735731856648719E-3</v>
      </c>
      <c r="E515" s="33"/>
      <c r="F515" s="33">
        <f>LN(Assets!J417/Assets!J418)</f>
        <v>-1.1617803617640494E-2</v>
      </c>
      <c r="G515" s="33"/>
      <c r="H515" s="33">
        <f>LN(Assets!L417/Assets!L418)</f>
        <v>-1.0827356382766985E-2</v>
      </c>
      <c r="I515" s="33"/>
      <c r="J515" s="33">
        <f>LN(Assets!N417/Assets!N418)</f>
        <v>-3.2002731086173831E-2</v>
      </c>
      <c r="K515" s="33"/>
      <c r="L515" s="33">
        <f>LN(Assets!P417/Assets!P418)</f>
        <v>-4.7506027585978647E-3</v>
      </c>
      <c r="M515" s="33"/>
      <c r="N515" s="33">
        <f>LN(Assets!R417/Assets!R418)</f>
        <v>-1.0588451738093706E-2</v>
      </c>
    </row>
    <row r="516" spans="3:14" x14ac:dyDescent="0.2">
      <c r="C516" s="3">
        <v>45154</v>
      </c>
      <c r="D516" s="33">
        <f>LN(Assets!H418/Assets!H419)</f>
        <v>-3.6181940893730784E-5</v>
      </c>
      <c r="E516" s="33"/>
      <c r="F516" s="33">
        <f>LN(Assets!J418/Assets!J419)</f>
        <v>8.7889474171626882E-3</v>
      </c>
      <c r="G516" s="33"/>
      <c r="H516" s="33">
        <f>LN(Assets!L418/Assets!L419)</f>
        <v>1.7560330286812448E-3</v>
      </c>
      <c r="I516" s="33"/>
      <c r="J516" s="33">
        <f>LN(Assets!N418/Assets!N419)</f>
        <v>-3.9292781398894382E-3</v>
      </c>
      <c r="K516" s="33"/>
      <c r="L516" s="33">
        <f>LN(Assets!P418/Assets!P419)</f>
        <v>2.0589666788343796E-2</v>
      </c>
      <c r="M516" s="33"/>
      <c r="N516" s="33">
        <f>LN(Assets!R418/Assets!R419)</f>
        <v>-2.1836236964488743E-3</v>
      </c>
    </row>
    <row r="517" spans="3:14" x14ac:dyDescent="0.2">
      <c r="C517" s="3">
        <v>45153</v>
      </c>
      <c r="D517" s="33">
        <f>LN(Assets!H419/Assets!H420)</f>
        <v>-1.9445588668241452E-2</v>
      </c>
      <c r="E517" s="33"/>
      <c r="F517" s="33">
        <f>LN(Assets!J419/Assets!J420)</f>
        <v>-1.7501321745856967E-2</v>
      </c>
      <c r="G517" s="33"/>
      <c r="H517" s="33">
        <f>LN(Assets!L419/Assets!L420)</f>
        <v>4.799377396834518E-3</v>
      </c>
      <c r="I517" s="33"/>
      <c r="J517" s="33">
        <f>LN(Assets!N419/Assets!N420)</f>
        <v>-2.3256862164267235E-2</v>
      </c>
      <c r="K517" s="33"/>
      <c r="L517" s="33">
        <f>LN(Assets!P419/Assets!P420)</f>
        <v>-7.7108815792035238E-3</v>
      </c>
      <c r="M517" s="33"/>
      <c r="N517" s="33">
        <f>LN(Assets!R419/Assets!R420)</f>
        <v>-1.8857364915504299E-2</v>
      </c>
    </row>
    <row r="518" spans="3:14" x14ac:dyDescent="0.2">
      <c r="C518" s="3">
        <v>45152</v>
      </c>
      <c r="D518" s="33">
        <f>LN(Assets!H420/Assets!H421)</f>
        <v>-5.751142869781573E-3</v>
      </c>
      <c r="E518" s="33"/>
      <c r="F518" s="33">
        <f>LN(Assets!J420/Assets!J421)</f>
        <v>2.6012011413765641E-2</v>
      </c>
      <c r="G518" s="33"/>
      <c r="H518" s="33">
        <f>LN(Assets!L420/Assets!L421)</f>
        <v>2.5972281269919056E-2</v>
      </c>
      <c r="I518" s="33"/>
      <c r="J518" s="33">
        <f>LN(Assets!N420/Assets!N421)</f>
        <v>-3.7598413557007548E-2</v>
      </c>
      <c r="K518" s="33"/>
      <c r="L518" s="33">
        <f>LN(Assets!P420/Assets!P421)</f>
        <v>-9.5969297193002339E-4</v>
      </c>
      <c r="M518" s="33"/>
      <c r="N518" s="33">
        <f>LN(Assets!R420/Assets!R421)</f>
        <v>5.0721919122303444E-3</v>
      </c>
    </row>
    <row r="519" spans="3:14" x14ac:dyDescent="0.2">
      <c r="C519" s="3">
        <v>45149</v>
      </c>
      <c r="D519" s="33">
        <f>LN(Assets!H421/Assets!H422)</f>
        <v>3.1749369315332652E-3</v>
      </c>
      <c r="E519" s="33"/>
      <c r="F519" s="33">
        <f>LN(Assets!J421/Assets!J422)</f>
        <v>1.78221398091337E-3</v>
      </c>
      <c r="G519" s="33"/>
      <c r="H519" s="33">
        <f>LN(Assets!L421/Assets!L422)</f>
        <v>6.269613013595395E-3</v>
      </c>
      <c r="I519" s="33"/>
      <c r="J519" s="33">
        <f>LN(Assets!N421/Assets!N422)</f>
        <v>4.5290759180163273E-2</v>
      </c>
      <c r="K519" s="33"/>
      <c r="L519" s="33">
        <f>LN(Assets!P421/Assets!P422)</f>
        <v>-2.3952107259547105E-3</v>
      </c>
      <c r="M519" s="33"/>
      <c r="N519" s="33">
        <f>LN(Assets!R421/Assets!R422)</f>
        <v>1.4181840997368579E-2</v>
      </c>
    </row>
    <row r="520" spans="3:14" x14ac:dyDescent="0.2">
      <c r="C520" s="3">
        <v>45148</v>
      </c>
      <c r="D520" s="33">
        <f>LN(Assets!H422/Assets!H423)</f>
        <v>3.3290567119038128E-3</v>
      </c>
      <c r="E520" s="33"/>
      <c r="F520" s="33">
        <f>LN(Assets!J422/Assets!J423)</f>
        <v>6.0833968250372872E-3</v>
      </c>
      <c r="G520" s="33"/>
      <c r="H520" s="33">
        <f>LN(Assets!L422/Assets!L423)</f>
        <v>3.5282294665156615E-3</v>
      </c>
      <c r="I520" s="33"/>
      <c r="J520" s="33">
        <f>LN(Assets!N422/Assets!N423)</f>
        <v>-0.11305286128098195</v>
      </c>
      <c r="K520" s="33"/>
      <c r="L520" s="33">
        <f>LN(Assets!P422/Assets!P423)</f>
        <v>9.5739595632724698E-4</v>
      </c>
      <c r="M520" s="33"/>
      <c r="N520" s="33">
        <f>LN(Assets!R422/Assets!R423)</f>
        <v>4.5730271562630749E-3</v>
      </c>
    </row>
    <row r="521" spans="3:14" x14ac:dyDescent="0.2">
      <c r="C521" s="3">
        <v>45147</v>
      </c>
      <c r="D521" s="33">
        <f>LN(Assets!H423/Assets!H424)</f>
        <v>3.4233166054903432E-3</v>
      </c>
      <c r="E521" s="33"/>
      <c r="F521" s="33">
        <f>LN(Assets!J423/Assets!J424)</f>
        <v>-1.6729345490765542E-2</v>
      </c>
      <c r="G521" s="33"/>
      <c r="H521" s="33">
        <f>LN(Assets!L423/Assets!L424)</f>
        <v>-1.1920587861089718E-2</v>
      </c>
      <c r="I521" s="33"/>
      <c r="J521" s="33">
        <f>LN(Assets!N423/Assets!N424)</f>
        <v>-9.2170459799657226E-2</v>
      </c>
      <c r="K521" s="33"/>
      <c r="L521" s="33">
        <f>LN(Assets!P423/Assets!P424)</f>
        <v>3.8387763071656669E-3</v>
      </c>
      <c r="M521" s="33"/>
      <c r="N521" s="33">
        <f>LN(Assets!R423/Assets!R424)</f>
        <v>1.5463708080617608E-2</v>
      </c>
    </row>
    <row r="522" spans="3:14" x14ac:dyDescent="0.2">
      <c r="C522" s="3">
        <v>45146</v>
      </c>
      <c r="D522" s="33">
        <f>LN(Assets!H424/Assets!H425)</f>
        <v>-1.4865729029261048E-3</v>
      </c>
      <c r="E522" s="33"/>
      <c r="F522" s="33">
        <f>LN(Assets!J424/Assets!J425)</f>
        <v>-8.4359024002566355E-3</v>
      </c>
      <c r="G522" s="33"/>
      <c r="H522" s="33">
        <f>LN(Assets!L424/Assets!L425)</f>
        <v>-5.6912378558634319E-2</v>
      </c>
      <c r="I522" s="33"/>
      <c r="J522" s="33">
        <f>LN(Assets!N424/Assets!N425)</f>
        <v>-3.096222560396681E-2</v>
      </c>
      <c r="K522" s="33"/>
      <c r="L522" s="33">
        <f>LN(Assets!P424/Assets!P425)</f>
        <v>1.4433488192513277E-3</v>
      </c>
      <c r="M522" s="33"/>
      <c r="N522" s="33">
        <f>LN(Assets!R424/Assets!R425)</f>
        <v>2.6345136323941937E-3</v>
      </c>
    </row>
    <row r="523" spans="3:14" x14ac:dyDescent="0.2">
      <c r="C523" s="3">
        <v>45142</v>
      </c>
      <c r="D523" s="33">
        <f>LN(Assets!H425/Assets!H426)</f>
        <v>5.714049223716865E-3</v>
      </c>
      <c r="E523" s="33"/>
      <c r="F523" s="33">
        <f>LN(Assets!J425/Assets!J426)</f>
        <v>1.6231831324241244E-2</v>
      </c>
      <c r="G523" s="33"/>
      <c r="H523" s="33">
        <f>LN(Assets!L425/Assets!L426)</f>
        <v>1.7100573203436365E-3</v>
      </c>
      <c r="I523" s="33"/>
      <c r="J523" s="33">
        <f>LN(Assets!N425/Assets!N426)</f>
        <v>4.0440969558510745E-2</v>
      </c>
      <c r="K523" s="33"/>
      <c r="L523" s="33">
        <f>LN(Assets!P425/Assets!P426)</f>
        <v>8.2185620924854711E-3</v>
      </c>
      <c r="M523" s="33"/>
      <c r="N523" s="33">
        <f>LN(Assets!R425/Assets!R426)</f>
        <v>-9.2946112509444206E-2</v>
      </c>
    </row>
    <row r="524" spans="3:14" x14ac:dyDescent="0.2">
      <c r="C524" s="3">
        <v>45141</v>
      </c>
      <c r="D524" s="33">
        <f>LN(Assets!H426/Assets!H427)</f>
        <v>-4.8325595827259519E-3</v>
      </c>
      <c r="E524" s="33"/>
      <c r="F524" s="33">
        <f>LN(Assets!J426/Assets!J427)</f>
        <v>1.0370198423143632E-2</v>
      </c>
      <c r="G524" s="33"/>
      <c r="H524" s="33">
        <f>LN(Assets!L426/Assets!L427)</f>
        <v>-6.9399796274523893E-3</v>
      </c>
      <c r="I524" s="33"/>
      <c r="J524" s="33">
        <f>LN(Assets!N426/Assets!N427)</f>
        <v>2.8987536873252187E-2</v>
      </c>
      <c r="K524" s="33"/>
      <c r="L524" s="33">
        <f>LN(Assets!P426/Assets!P427)</f>
        <v>2.4073872010974853E-2</v>
      </c>
      <c r="M524" s="33"/>
      <c r="N524" s="33">
        <f>LN(Assets!R426/Assets!R427)</f>
        <v>-8.2865772032615706E-3</v>
      </c>
    </row>
    <row r="525" spans="3:14" x14ac:dyDescent="0.2">
      <c r="C525" s="3">
        <v>45140</v>
      </c>
      <c r="D525" s="33">
        <f>LN(Assets!H427/Assets!H428)</f>
        <v>-1.5446255359320744E-2</v>
      </c>
      <c r="E525" s="33"/>
      <c r="F525" s="33">
        <f>LN(Assets!J427/Assets!J428)</f>
        <v>-1.9929485236599712E-2</v>
      </c>
      <c r="G525" s="33"/>
      <c r="H525" s="33">
        <f>LN(Assets!L427/Assets!L428)</f>
        <v>-3.6767366672516316E-2</v>
      </c>
      <c r="I525" s="33"/>
      <c r="J525" s="33">
        <f>LN(Assets!N427/Assets!N428)</f>
        <v>-3.5316671924899845E-2</v>
      </c>
      <c r="K525" s="33"/>
      <c r="L525" s="33">
        <f>LN(Assets!P427/Assets!P428)</f>
        <v>-2.0670027246281579E-2</v>
      </c>
      <c r="M525" s="33"/>
      <c r="N525" s="33">
        <f>LN(Assets!R427/Assets!R428)</f>
        <v>-3.3008678092509201E-2</v>
      </c>
    </row>
    <row r="526" spans="3:14" x14ac:dyDescent="0.2">
      <c r="C526" s="3">
        <v>45139</v>
      </c>
      <c r="D526" s="33">
        <f>LN(Assets!H428/Assets!H429)</f>
        <v>-4.5535053897996268E-3</v>
      </c>
      <c r="E526" s="33"/>
      <c r="F526" s="33">
        <f>LN(Assets!J428/Assets!J429)</f>
        <v>-2.0921265160639798E-2</v>
      </c>
      <c r="G526" s="33"/>
      <c r="H526" s="33">
        <f>LN(Assets!L428/Assets!L429)</f>
        <v>-1.1458868291376732E-2</v>
      </c>
      <c r="I526" s="33"/>
      <c r="J526" s="33">
        <f>LN(Assets!N428/Assets!N429)</f>
        <v>-3.1496089028963314E-3</v>
      </c>
      <c r="K526" s="33"/>
      <c r="L526" s="33">
        <f>LN(Assets!P428/Assets!P429)</f>
        <v>-1.9296305427066066E-2</v>
      </c>
      <c r="M526" s="33"/>
      <c r="N526" s="33">
        <f>LN(Assets!R428/Assets!R429)</f>
        <v>-4.9557623549848773E-3</v>
      </c>
    </row>
    <row r="527" spans="3:14" x14ac:dyDescent="0.2">
      <c r="C527" s="3">
        <v>45138</v>
      </c>
      <c r="D527" s="33">
        <f>LN(Assets!H429/Assets!H430)</f>
        <v>5.2141261342234348E-3</v>
      </c>
      <c r="E527" s="33"/>
      <c r="F527" s="33">
        <f>LN(Assets!J429/Assets!J430)</f>
        <v>5.7158413839948623E-2</v>
      </c>
      <c r="G527" s="33"/>
      <c r="H527" s="33">
        <f>LN(Assets!L429/Assets!L430)</f>
        <v>1.7806296800208475E-2</v>
      </c>
      <c r="I527" s="33"/>
      <c r="J527" s="33">
        <f>LN(Assets!N429/Assets!N430)</f>
        <v>0</v>
      </c>
      <c r="K527" s="33"/>
      <c r="L527" s="33">
        <f>LN(Assets!P429/Assets!P430)</f>
        <v>1.1049836186584935E-2</v>
      </c>
      <c r="M527" s="33"/>
      <c r="N527" s="33">
        <f>LN(Assets!R429/Assets!R430)</f>
        <v>1.1720965298156893E-2</v>
      </c>
    </row>
    <row r="528" spans="3:14" x14ac:dyDescent="0.2">
      <c r="C528" s="3">
        <v>45135</v>
      </c>
      <c r="D528" s="33">
        <f>LN(Assets!H430/Assets!H431)</f>
        <v>6.5469259026954057E-3</v>
      </c>
      <c r="E528" s="33"/>
      <c r="F528" s="33">
        <f>LN(Assets!J430/Assets!J431)</f>
        <v>0.14102324168048519</v>
      </c>
      <c r="G528" s="33"/>
      <c r="H528" s="33">
        <f>LN(Assets!L430/Assets!L431)</f>
        <v>4.9014118414891783E-3</v>
      </c>
      <c r="I528" s="33"/>
      <c r="J528" s="33">
        <f>LN(Assets!N430/Assets!N431)</f>
        <v>3.1951599806602428E-2</v>
      </c>
      <c r="K528" s="33"/>
      <c r="L528" s="33">
        <f>LN(Assets!P430/Assets!P431)</f>
        <v>-2.8573372444056114E-2</v>
      </c>
      <c r="M528" s="33"/>
      <c r="N528" s="33">
        <f>LN(Assets!R430/Assets!R431)</f>
        <v>1.802500135020791E-2</v>
      </c>
    </row>
    <row r="529" spans="3:14" x14ac:dyDescent="0.2">
      <c r="C529" s="3">
        <v>45134</v>
      </c>
      <c r="D529" s="33">
        <f>LN(Assets!H431/Assets!H432)</f>
        <v>-8.6048117685692919E-3</v>
      </c>
      <c r="E529" s="33"/>
      <c r="F529" s="33">
        <f>LN(Assets!J431/Assets!J432)</f>
        <v>8.881052383740945E-2</v>
      </c>
      <c r="G529" s="33"/>
      <c r="H529" s="33">
        <f>LN(Assets!L431/Assets!L432)</f>
        <v>-2.8887957148581372E-2</v>
      </c>
      <c r="I529" s="33"/>
      <c r="J529" s="33">
        <f>LN(Assets!N431/Assets!N432)</f>
        <v>9.7880063661629439E-3</v>
      </c>
      <c r="K529" s="33"/>
      <c r="L529" s="33">
        <f>LN(Assets!P431/Assets!P432)</f>
        <v>-7.949539175310185E-3</v>
      </c>
      <c r="M529" s="33"/>
      <c r="N529" s="33">
        <f>LN(Assets!R431/Assets!R432)</f>
        <v>-1.013399914155386E-2</v>
      </c>
    </row>
    <row r="530" spans="3:14" x14ac:dyDescent="0.2">
      <c r="C530" s="3">
        <v>45133</v>
      </c>
      <c r="D530" s="33">
        <f>LN(Assets!H432/Assets!H433)</f>
        <v>4.918132172140212E-4</v>
      </c>
      <c r="E530" s="33"/>
      <c r="F530" s="33">
        <f>LN(Assets!J432/Assets!J433)</f>
        <v>-1.3783599701213821E-3</v>
      </c>
      <c r="G530" s="33"/>
      <c r="H530" s="33">
        <f>LN(Assets!L432/Assets!L433)</f>
        <v>-1.8369322543299448E-2</v>
      </c>
      <c r="I530" s="33"/>
      <c r="J530" s="33">
        <f>LN(Assets!N432/Assets!N433)</f>
        <v>-3.5430436979500567E-2</v>
      </c>
      <c r="K530" s="33"/>
      <c r="L530" s="33">
        <f>LN(Assets!P432/Assets!P433)</f>
        <v>2.1658097033780466E-2</v>
      </c>
      <c r="M530" s="33"/>
      <c r="N530" s="33">
        <f>LN(Assets!R432/Assets!R433)</f>
        <v>-2.2608884690382122E-2</v>
      </c>
    </row>
    <row r="531" spans="3:14" x14ac:dyDescent="0.2">
      <c r="C531" s="3">
        <v>45132</v>
      </c>
      <c r="D531" s="33">
        <f>LN(Assets!H433/Assets!H434)</f>
        <v>-1.4873470085571452E-3</v>
      </c>
      <c r="E531" s="33"/>
      <c r="F531" s="33">
        <f>LN(Assets!J433/Assets!J434)</f>
        <v>1.8068594410500068E-2</v>
      </c>
      <c r="G531" s="33"/>
      <c r="H531" s="33">
        <f>LN(Assets!L433/Assets!L434)</f>
        <v>-5.2179703129478453E-3</v>
      </c>
      <c r="I531" s="33"/>
      <c r="J531" s="33">
        <f>LN(Assets!N433/Assets!N434)</f>
        <v>-3.1595602903684815E-3</v>
      </c>
      <c r="K531" s="33"/>
      <c r="L531" s="33">
        <f>LN(Assets!P433/Assets!P434)</f>
        <v>2.4085942772619912E-2</v>
      </c>
      <c r="M531" s="33"/>
      <c r="N531" s="33">
        <f>LN(Assets!R433/Assets!R434)</f>
        <v>2.1169517763216877E-2</v>
      </c>
    </row>
    <row r="532" spans="3:14" x14ac:dyDescent="0.2">
      <c r="C532" s="3">
        <v>45131</v>
      </c>
      <c r="D532" s="33">
        <f>LN(Assets!H434/Assets!H435)</f>
        <v>1.6829720164805669E-3</v>
      </c>
      <c r="E532" s="33"/>
      <c r="F532" s="33">
        <f>LN(Assets!J434/Assets!J435)</f>
        <v>6.5666277238885596E-3</v>
      </c>
      <c r="G532" s="33"/>
      <c r="H532" s="33">
        <f>LN(Assets!L434/Assets!L435)</f>
        <v>-1.1534650605670577E-2</v>
      </c>
      <c r="I532" s="33"/>
      <c r="J532" s="33">
        <f>LN(Assets!N434/Assets!N435)</f>
        <v>-1.8750549345375917E-2</v>
      </c>
      <c r="K532" s="33"/>
      <c r="L532" s="33">
        <f>LN(Assets!P434/Assets!P435)</f>
        <v>2.7683428748416866E-2</v>
      </c>
      <c r="M532" s="33"/>
      <c r="N532" s="33">
        <f>LN(Assets!R434/Assets!R435)</f>
        <v>6.6745084079564768E-3</v>
      </c>
    </row>
    <row r="533" spans="3:14" x14ac:dyDescent="0.2">
      <c r="C533" s="3">
        <v>45128</v>
      </c>
      <c r="D533" s="33">
        <f>LN(Assets!H435/Assets!H436)</f>
        <v>5.3991432233334762E-3</v>
      </c>
      <c r="E533" s="33"/>
      <c r="F533" s="33">
        <f>LN(Assets!J435/Assets!J436)</f>
        <v>5.6630637424606254E-3</v>
      </c>
      <c r="G533" s="33"/>
      <c r="H533" s="33">
        <f>LN(Assets!L435/Assets!L436)</f>
        <v>-2.5155899475697136E-3</v>
      </c>
      <c r="I533" s="33"/>
      <c r="J533" s="33">
        <f>LN(Assets!N435/Assets!N436)</f>
        <v>-1.8405427542715409E-2</v>
      </c>
      <c r="K533" s="33"/>
      <c r="L533" s="33">
        <f>LN(Assets!P435/Assets!P436)</f>
        <v>7.5472056353829038E-3</v>
      </c>
      <c r="M533" s="33"/>
      <c r="N533" s="33">
        <f>LN(Assets!R435/Assets!R436)</f>
        <v>1.0919125775314564E-2</v>
      </c>
    </row>
    <row r="534" spans="3:14" x14ac:dyDescent="0.2">
      <c r="C534" s="3">
        <v>45127</v>
      </c>
      <c r="D534" s="33">
        <f>LN(Assets!H436/Assets!H437)</f>
        <v>-2.6534391512195881E-3</v>
      </c>
      <c r="E534" s="33"/>
      <c r="F534" s="33">
        <f>LN(Assets!J436/Assets!J437)</f>
        <v>-2.5696344943480148E-2</v>
      </c>
      <c r="G534" s="33"/>
      <c r="H534" s="33">
        <f>LN(Assets!L436/Assets!L437)</f>
        <v>-4.0011790156543377E-3</v>
      </c>
      <c r="I534" s="33"/>
      <c r="J534" s="33">
        <f>LN(Assets!N436/Assets!N437)</f>
        <v>-4.4583906608026427E-2</v>
      </c>
      <c r="K534" s="33"/>
      <c r="L534" s="33">
        <f>LN(Assets!P436/Assets!P437)</f>
        <v>-5.4067221270275703E-2</v>
      </c>
      <c r="M534" s="33"/>
      <c r="N534" s="33">
        <f>LN(Assets!R436/Assets!R437)</f>
        <v>-1.4893119444595565E-2</v>
      </c>
    </row>
    <row r="535" spans="3:14" x14ac:dyDescent="0.2">
      <c r="C535" s="3">
        <v>45126</v>
      </c>
      <c r="D535" s="33">
        <f>LN(Assets!H437/Assets!H438)</f>
        <v>5.6083502724473041E-3</v>
      </c>
      <c r="E535" s="33"/>
      <c r="F535" s="33">
        <f>LN(Assets!J437/Assets!J438)</f>
        <v>8.3372414378283435E-3</v>
      </c>
      <c r="G535" s="33"/>
      <c r="H535" s="33">
        <f>LN(Assets!L437/Assets!L438)</f>
        <v>-8.1659078292611303E-3</v>
      </c>
      <c r="I535" s="33"/>
      <c r="J535" s="33">
        <f>LN(Assets!N437/Assets!N438)</f>
        <v>2.9112102074583131E-3</v>
      </c>
      <c r="K535" s="33"/>
      <c r="L535" s="33">
        <f>LN(Assets!P437/Assets!P438)</f>
        <v>-2.4108943630826184E-2</v>
      </c>
      <c r="M535" s="33"/>
      <c r="N535" s="33">
        <f>LN(Assets!R437/Assets!R438)</f>
        <v>8.1455785707145838E-3</v>
      </c>
    </row>
    <row r="536" spans="3:14" x14ac:dyDescent="0.2">
      <c r="C536" s="3">
        <v>45125</v>
      </c>
      <c r="D536" s="33">
        <f>LN(Assets!H438/Assets!H439)</f>
        <v>7.3777480184422494E-3</v>
      </c>
      <c r="E536" s="33"/>
      <c r="F536" s="33">
        <f>LN(Assets!J438/Assets!J439)</f>
        <v>3.7278701140143911E-3</v>
      </c>
      <c r="G536" s="33"/>
      <c r="H536" s="33">
        <f>LN(Assets!L438/Assets!L439)</f>
        <v>7.6868404046673217E-3</v>
      </c>
      <c r="I536" s="33"/>
      <c r="J536" s="33">
        <f>LN(Assets!N438/Assets!N439)</f>
        <v>2.0619287202735825E-2</v>
      </c>
      <c r="K536" s="33"/>
      <c r="L536" s="33">
        <f>LN(Assets!P438/Assets!P439)</f>
        <v>3.2276176153903179E-2</v>
      </c>
      <c r="M536" s="33"/>
      <c r="N536" s="33">
        <f>LN(Assets!R438/Assets!R439)</f>
        <v>-3.9905730446628332E-3</v>
      </c>
    </row>
    <row r="537" spans="3:14" x14ac:dyDescent="0.2">
      <c r="C537" s="3">
        <v>45124</v>
      </c>
      <c r="D537" s="33">
        <f>LN(Assets!H439/Assets!H440)</f>
        <v>-1.7427020137790266E-3</v>
      </c>
      <c r="E537" s="33"/>
      <c r="F537" s="33">
        <f>LN(Assets!J439/Assets!J440)</f>
        <v>2.266385957721187E-2</v>
      </c>
      <c r="G537" s="33"/>
      <c r="H537" s="33">
        <f>LN(Assets!L439/Assets!L440)</f>
        <v>1.0592866009089876E-2</v>
      </c>
      <c r="I537" s="33"/>
      <c r="J537" s="33">
        <f>LN(Assets!N439/Assets!N440)</f>
        <v>-8.888947417246152E-3</v>
      </c>
      <c r="K537" s="33"/>
      <c r="L537" s="33">
        <f>LN(Assets!P439/Assets!P440)</f>
        <v>3.5849652893697202E-2</v>
      </c>
      <c r="M537" s="33"/>
      <c r="N537" s="33">
        <f>LN(Assets!R439/Assets!R440)</f>
        <v>5.4456478739636285E-3</v>
      </c>
    </row>
    <row r="538" spans="3:14" x14ac:dyDescent="0.2">
      <c r="C538" s="3">
        <v>45121</v>
      </c>
      <c r="D538" s="33">
        <f>LN(Assets!H440/Assets!H441)</f>
        <v>-7.6813577430950863E-4</v>
      </c>
      <c r="E538" s="33"/>
      <c r="F538" s="33">
        <f>LN(Assets!J440/Assets!J441)</f>
        <v>-2.9642254958674136E-2</v>
      </c>
      <c r="G538" s="33"/>
      <c r="H538" s="33">
        <f>LN(Assets!L440/Assets!L441)</f>
        <v>6.4749592214253665E-3</v>
      </c>
      <c r="I538" s="33"/>
      <c r="J538" s="33">
        <f>LN(Assets!N440/Assets!N441)</f>
        <v>-8.810629682154807E-3</v>
      </c>
      <c r="K538" s="33"/>
      <c r="L538" s="33">
        <f>LN(Assets!P440/Assets!P441)</f>
        <v>2.2756987122616278E-2</v>
      </c>
      <c r="M538" s="33"/>
      <c r="N538" s="33">
        <f>LN(Assets!R440/Assets!R441)</f>
        <v>-3.6337249285229791E-3</v>
      </c>
    </row>
    <row r="539" spans="3:14" x14ac:dyDescent="0.2">
      <c r="C539" s="3">
        <v>45120</v>
      </c>
      <c r="D539" s="33">
        <f>LN(Assets!H441/Assets!H442)</f>
        <v>1.0254273350414508E-2</v>
      </c>
      <c r="E539" s="33"/>
      <c r="F539" s="33">
        <f>LN(Assets!J441/Assets!J442)</f>
        <v>2.345323258496728E-2</v>
      </c>
      <c r="G539" s="33"/>
      <c r="H539" s="33">
        <f>LN(Assets!L441/Assets!L442)</f>
        <v>6.4626721796788404E-3</v>
      </c>
      <c r="I539" s="33"/>
      <c r="J539" s="33">
        <f>LN(Assets!N441/Assets!N442)</f>
        <v>2.6668247082161273E-2</v>
      </c>
      <c r="K539" s="33"/>
      <c r="L539" s="33">
        <f>LN(Assets!P441/Assets!P442)</f>
        <v>1.5464225697581553E-2</v>
      </c>
      <c r="M539" s="33"/>
      <c r="N539" s="33">
        <f>LN(Assets!R441/Assets!R442)</f>
        <v>2.1261798005792226E-2</v>
      </c>
    </row>
    <row r="540" spans="3:14" x14ac:dyDescent="0.2">
      <c r="C540" s="3">
        <v>45119</v>
      </c>
      <c r="D540" s="33">
        <f>LN(Assets!H442/Assets!H443)</f>
        <v>9.6227637950121667E-3</v>
      </c>
      <c r="E540" s="33"/>
      <c r="F540" s="33">
        <f>LN(Assets!J442/Assets!J443)</f>
        <v>4.2806248479466168E-3</v>
      </c>
      <c r="G540" s="33"/>
      <c r="H540" s="33">
        <f>LN(Assets!L442/Assets!L443)</f>
        <v>-1.0190894787969243E-2</v>
      </c>
      <c r="I540" s="33"/>
      <c r="J540" s="33">
        <f>LN(Assets!N442/Assets!N443)</f>
        <v>-2.6668247082161294E-2</v>
      </c>
      <c r="K540" s="33"/>
      <c r="L540" s="33">
        <f>LN(Assets!P442/Assets!P443)</f>
        <v>9.3946411214654822E-3</v>
      </c>
      <c r="M540" s="33"/>
      <c r="N540" s="33">
        <f>LN(Assets!R442/Assets!R443)</f>
        <v>1.2677276418059701E-2</v>
      </c>
    </row>
    <row r="541" spans="3:14" x14ac:dyDescent="0.2">
      <c r="C541" s="3">
        <v>45118</v>
      </c>
      <c r="D541" s="33">
        <f>LN(Assets!H443/Assets!H444)</f>
        <v>2.8266302222108245E-3</v>
      </c>
      <c r="E541" s="33"/>
      <c r="F541" s="33">
        <f>LN(Assets!J443/Assets!J444)</f>
        <v>2.7544626146397733E-2</v>
      </c>
      <c r="G541" s="33"/>
      <c r="H541" s="33">
        <f>LN(Assets!L443/Assets!L444)</f>
        <v>1.7273025993843792E-3</v>
      </c>
      <c r="I541" s="33"/>
      <c r="J541" s="33">
        <f>LN(Assets!N443/Assets!N444)</f>
        <v>4.4850566165351713E-2</v>
      </c>
      <c r="K541" s="33"/>
      <c r="L541" s="33">
        <f>LN(Assets!P443/Assets!P444)</f>
        <v>2.6253624950834348E-3</v>
      </c>
      <c r="M541" s="33"/>
      <c r="N541" s="33">
        <f>LN(Assets!R443/Assets!R444)</f>
        <v>5.8331146671280467E-3</v>
      </c>
    </row>
    <row r="542" spans="3:14" x14ac:dyDescent="0.2">
      <c r="C542" s="3">
        <v>45117</v>
      </c>
      <c r="D542" s="33">
        <f>LN(Assets!H444/Assets!H445)</f>
        <v>-4.3325317062216373E-4</v>
      </c>
      <c r="E542" s="33"/>
      <c r="F542" s="33">
        <f>LN(Assets!J444/Assets!J445)</f>
        <v>2.6310775593325429E-2</v>
      </c>
      <c r="G542" s="33"/>
      <c r="H542" s="33">
        <f>LN(Assets!L444/Assets!L445)</f>
        <v>1.1410066738030959E-2</v>
      </c>
      <c r="I542" s="33"/>
      <c r="J542" s="33">
        <f>LN(Assets!N444/Assets!N445)</f>
        <v>1.8519047767237531E-2</v>
      </c>
      <c r="K542" s="33"/>
      <c r="L542" s="33">
        <f>LN(Assets!P444/Assets!P445)</f>
        <v>-1.0509722459750043E-3</v>
      </c>
      <c r="M542" s="33"/>
      <c r="N542" s="33">
        <f>LN(Assets!R444/Assets!R445)</f>
        <v>7.9576016733141405E-3</v>
      </c>
    </row>
    <row r="543" spans="3:14" x14ac:dyDescent="0.2">
      <c r="C543" s="3">
        <v>45114</v>
      </c>
      <c r="D543" s="33">
        <f>LN(Assets!H445/Assets!H446)</f>
        <v>1.0266959483144003E-3</v>
      </c>
      <c r="E543" s="33"/>
      <c r="F543" s="33">
        <f>LN(Assets!J445/Assets!J446)</f>
        <v>2.186713116397274E-2</v>
      </c>
      <c r="G543" s="33"/>
      <c r="H543" s="33">
        <f>LN(Assets!L445/Assets!L446)</f>
        <v>-1.2220111334775333E-2</v>
      </c>
      <c r="I543" s="33"/>
      <c r="J543" s="33">
        <f>LN(Assets!N445/Assets!N446)</f>
        <v>1.8868484304382736E-2</v>
      </c>
      <c r="K543" s="33"/>
      <c r="L543" s="33">
        <f>LN(Assets!P445/Assets!P446)</f>
        <v>3.6912454862639762E-2</v>
      </c>
      <c r="M543" s="33"/>
      <c r="N543" s="33">
        <f>LN(Assets!R445/Assets!R446)</f>
        <v>-1.4165880479151184E-2</v>
      </c>
    </row>
    <row r="544" spans="3:14" x14ac:dyDescent="0.2">
      <c r="C544" s="3">
        <v>45113</v>
      </c>
      <c r="D544" s="33">
        <f>LN(Assets!H446/Assets!H447)</f>
        <v>-1.4691637681005298E-2</v>
      </c>
      <c r="E544" s="33"/>
      <c r="F544" s="33">
        <f>LN(Assets!J446/Assets!J447)</f>
        <v>-1.2263822586578982E-2</v>
      </c>
      <c r="G544" s="33"/>
      <c r="H544" s="33">
        <f>LN(Assets!L446/Assets!L447)</f>
        <v>-1.3618053043918615E-2</v>
      </c>
      <c r="I544" s="33"/>
      <c r="J544" s="33">
        <f>LN(Assets!N446/Assets!N447)</f>
        <v>-4.9545736551429881E-2</v>
      </c>
      <c r="K544" s="33"/>
      <c r="L544" s="33">
        <f>LN(Assets!P446/Assets!P447)</f>
        <v>2.7285146532041358E-3</v>
      </c>
      <c r="M544" s="33"/>
      <c r="N544" s="33">
        <f>LN(Assets!R446/Assets!R447)</f>
        <v>-1.5077065498378636E-2</v>
      </c>
    </row>
    <row r="545" spans="3:14" x14ac:dyDescent="0.2">
      <c r="C545" s="3">
        <v>45112</v>
      </c>
      <c r="D545" s="33">
        <f>LN(Assets!H447/Assets!H448)</f>
        <v>-5.0103357803895207E-3</v>
      </c>
      <c r="E545" s="33"/>
      <c r="F545" s="33">
        <f>LN(Assets!J447/Assets!J448)</f>
        <v>9.183738016014303E-3</v>
      </c>
      <c r="G545" s="33"/>
      <c r="H545" s="33">
        <f>LN(Assets!L447/Assets!L448)</f>
        <v>7.9908375985773589E-4</v>
      </c>
      <c r="I545" s="33"/>
      <c r="J545" s="33">
        <f>LN(Assets!N447/Assets!N448)</f>
        <v>6.0606246116909545E-3</v>
      </c>
      <c r="K545" s="33"/>
      <c r="L545" s="33">
        <f>LN(Assets!P447/Assets!P448)</f>
        <v>3.8324711568036756E-3</v>
      </c>
      <c r="M545" s="33"/>
      <c r="N545" s="33">
        <f>LN(Assets!R447/Assets!R448)</f>
        <v>-8.0957203892540186E-3</v>
      </c>
    </row>
    <row r="546" spans="3:14" x14ac:dyDescent="0.2">
      <c r="C546" s="3">
        <v>45111</v>
      </c>
      <c r="D546" s="33">
        <f>LN(Assets!H448/Assets!H449)</f>
        <v>2.4568795039364615E-3</v>
      </c>
      <c r="E546" s="33"/>
      <c r="F546" s="33">
        <f>LN(Assets!J448/Assets!J449)</f>
        <v>1.4455595034331598E-2</v>
      </c>
      <c r="G546" s="33"/>
      <c r="H546" s="33">
        <f>LN(Assets!L448/Assets!L449)</f>
        <v>-8.8078247550200228E-3</v>
      </c>
      <c r="I546" s="33"/>
      <c r="J546" s="33">
        <f>LN(Assets!N448/Assets!N449)</f>
        <v>2.7736754971599619E-2</v>
      </c>
      <c r="K546" s="33"/>
      <c r="L546" s="33">
        <f>LN(Assets!P448/Assets!P449)</f>
        <v>3.2967062824918029E-3</v>
      </c>
      <c r="M546" s="33"/>
      <c r="N546" s="33">
        <f>LN(Assets!R448/Assets!R449)</f>
        <v>-9.6654349607281989E-3</v>
      </c>
    </row>
    <row r="547" spans="3:14" x14ac:dyDescent="0.2">
      <c r="C547" s="3">
        <v>45107</v>
      </c>
      <c r="D547" s="33">
        <f>LN(Assets!H449/Assets!H450)</f>
        <v>1.2085463078183581E-2</v>
      </c>
      <c r="E547" s="33"/>
      <c r="F547" s="33">
        <f>LN(Assets!J449/Assets!J450)</f>
        <v>8.3551399883605958E-3</v>
      </c>
      <c r="G547" s="33"/>
      <c r="H547" s="33">
        <f>LN(Assets!L449/Assets!L450)</f>
        <v>3.1990705681647594E-2</v>
      </c>
      <c r="I547" s="33"/>
      <c r="J547" s="33">
        <f>LN(Assets!N449/Assets!N450)</f>
        <v>2.5317807984290001E-2</v>
      </c>
      <c r="K547" s="33"/>
      <c r="L547" s="33">
        <f>LN(Assets!P449/Assets!P450)</f>
        <v>1.1013216972202194E-3</v>
      </c>
      <c r="M547" s="33"/>
      <c r="N547" s="33">
        <f>LN(Assets!R449/Assets!R450)</f>
        <v>1.9980501554069018E-2</v>
      </c>
    </row>
    <row r="548" spans="3:14" x14ac:dyDescent="0.2">
      <c r="C548" s="3">
        <v>45106</v>
      </c>
      <c r="D548" s="33">
        <f>LN(Assets!H450/Assets!H451)</f>
        <v>4.7478168579501599E-3</v>
      </c>
      <c r="E548" s="33"/>
      <c r="F548" s="33">
        <f>LN(Assets!J450/Assets!J451)</f>
        <v>8.9544975467311175E-3</v>
      </c>
      <c r="G548" s="33"/>
      <c r="H548" s="33">
        <f>LN(Assets!L450/Assets!L451)</f>
        <v>2.0832938619898225E-2</v>
      </c>
      <c r="I548" s="33"/>
      <c r="J548" s="33">
        <f>LN(Assets!N450/Assets!N451)</f>
        <v>2.5975486403260736E-2</v>
      </c>
      <c r="K548" s="33"/>
      <c r="L548" s="33">
        <f>LN(Assets!P450/Assets!P451)</f>
        <v>1.9472103412820099E-2</v>
      </c>
      <c r="M548" s="33"/>
      <c r="N548" s="33">
        <f>LN(Assets!R450/Assets!R451)</f>
        <v>-5.5529848719838674E-4</v>
      </c>
    </row>
    <row r="549" spans="3:14" x14ac:dyDescent="0.2">
      <c r="C549" s="3">
        <v>45105</v>
      </c>
      <c r="D549" s="33">
        <f>LN(Assets!H451/Assets!H452)</f>
        <v>4.3365829539498335E-3</v>
      </c>
      <c r="E549" s="33"/>
      <c r="F549" s="33">
        <f>LN(Assets!J451/Assets!J452)</f>
        <v>6.3694482854797074E-3</v>
      </c>
      <c r="G549" s="33"/>
      <c r="H549" s="33">
        <f>LN(Assets!L451/Assets!L452)</f>
        <v>1.2553404036878751E-2</v>
      </c>
      <c r="I549" s="33"/>
      <c r="J549" s="33">
        <f>LN(Assets!N451/Assets!N452)</f>
        <v>-6.5574005461590517E-3</v>
      </c>
      <c r="K549" s="33"/>
      <c r="L549" s="33">
        <f>LN(Assets!P451/Assets!P452)</f>
        <v>1.073153478992481E-2</v>
      </c>
      <c r="M549" s="33"/>
      <c r="N549" s="33">
        <f>LN(Assets!R451/Assets!R452)</f>
        <v>1.0229792548839349E-2</v>
      </c>
    </row>
    <row r="550" spans="3:14" x14ac:dyDescent="0.2">
      <c r="C550" s="3">
        <v>45104</v>
      </c>
      <c r="D550" s="33">
        <f>LN(Assets!H452/Assets!H453)</f>
        <v>7.4145039589673147E-3</v>
      </c>
      <c r="E550" s="33"/>
      <c r="F550" s="33">
        <f>LN(Assets!J452/Assets!J453)</f>
        <v>8.5562019311957432E-3</v>
      </c>
      <c r="G550" s="33"/>
      <c r="H550" s="33">
        <f>LN(Assets!L452/Assets!L453)</f>
        <v>1.0146041408598391E-2</v>
      </c>
      <c r="I550" s="33"/>
      <c r="J550" s="33">
        <f>LN(Assets!N452/Assets!N453)</f>
        <v>3.2733253449693297E-3</v>
      </c>
      <c r="K550" s="33"/>
      <c r="L550" s="33">
        <f>LN(Assets!P452/Assets!P453)</f>
        <v>3.4077799362886622E-2</v>
      </c>
      <c r="M550" s="33"/>
      <c r="N550" s="33">
        <f>LN(Assets!R452/Assets!R453)</f>
        <v>1.3741392694045059E-2</v>
      </c>
    </row>
    <row r="551" spans="3:14" x14ac:dyDescent="0.2">
      <c r="C551" s="3">
        <v>45103</v>
      </c>
      <c r="D551" s="33">
        <f>LN(Assets!H453/Assets!H454)</f>
        <v>8.6701025477744723E-3</v>
      </c>
      <c r="E551" s="33"/>
      <c r="F551" s="33">
        <f>LN(Assets!J453/Assets!J454)</f>
        <v>-1.0152371464017849E-2</v>
      </c>
      <c r="G551" s="33"/>
      <c r="H551" s="33">
        <f>LN(Assets!L453/Assets!L454)</f>
        <v>-6.8697576216039833E-3</v>
      </c>
      <c r="I551" s="33"/>
      <c r="J551" s="33">
        <f>LN(Assets!N453/Assets!N454)</f>
        <v>-2.5891413932741591E-2</v>
      </c>
      <c r="K551" s="33"/>
      <c r="L551" s="33">
        <f>LN(Assets!P453/Assets!P454)</f>
        <v>-3.5212873264550734E-2</v>
      </c>
      <c r="M551" s="33"/>
      <c r="N551" s="33">
        <f>LN(Assets!R453/Assets!R454)</f>
        <v>-2.0827423982449434E-3</v>
      </c>
    </row>
    <row r="552" spans="3:14" x14ac:dyDescent="0.2">
      <c r="C552" s="3">
        <v>45100</v>
      </c>
      <c r="D552" s="33">
        <f>LN(Assets!H454/Assets!H455)</f>
        <v>-8.3422857586790342E-3</v>
      </c>
      <c r="E552" s="33"/>
      <c r="F552" s="33">
        <f>LN(Assets!J454/Assets!J455)</f>
        <v>-2.3641763057040653E-2</v>
      </c>
      <c r="G552" s="33"/>
      <c r="H552" s="33">
        <f>LN(Assets!L454/Assets!L455)</f>
        <v>1.5854338360420724E-2</v>
      </c>
      <c r="I552" s="33"/>
      <c r="J552" s="33">
        <f>LN(Assets!N454/Assets!N455)</f>
        <v>-2.8348355004255199E-2</v>
      </c>
      <c r="K552" s="33"/>
      <c r="L552" s="33">
        <f>LN(Assets!P454/Assets!P455)</f>
        <v>9.1168722638137207E-3</v>
      </c>
      <c r="M552" s="33"/>
      <c r="N552" s="33">
        <f>LN(Assets!R454/Assets!R455)</f>
        <v>-5.8463155675150041E-3</v>
      </c>
    </row>
    <row r="553" spans="3:14" x14ac:dyDescent="0.2">
      <c r="C553" s="3">
        <v>45099</v>
      </c>
      <c r="D553" s="33">
        <f>LN(Assets!H455/Assets!H456)</f>
        <v>-6.3660192821010297E-3</v>
      </c>
      <c r="E553" s="33"/>
      <c r="F553" s="33">
        <f>LN(Assets!J455/Assets!J456)</f>
        <v>-6.7270628845808918E-3</v>
      </c>
      <c r="G553" s="33"/>
      <c r="H553" s="33">
        <f>LN(Assets!L455/Assets!L456)</f>
        <v>-1.7267846073224732E-2</v>
      </c>
      <c r="I553" s="33"/>
      <c r="J553" s="33">
        <f>LN(Assets!N455/Assets!N456)</f>
        <v>-9.2736367853291021E-3</v>
      </c>
      <c r="K553" s="33"/>
      <c r="L553" s="33">
        <f>LN(Assets!P455/Assets!P456)</f>
        <v>-2.8579613622801768E-3</v>
      </c>
      <c r="M553" s="33"/>
      <c r="N553" s="33">
        <f>LN(Assets!R455/Assets!R456)</f>
        <v>-4.8771434135164802E-3</v>
      </c>
    </row>
    <row r="554" spans="3:14" x14ac:dyDescent="0.2">
      <c r="C554" s="3">
        <v>45098</v>
      </c>
      <c r="D554" s="33">
        <f>LN(Assets!H456/Assets!H457)</f>
        <v>-2.4424690342608529E-3</v>
      </c>
      <c r="E554" s="33"/>
      <c r="F554" s="33">
        <f>LN(Assets!J456/Assets!J457)</f>
        <v>-7.70617736007621E-3</v>
      </c>
      <c r="G554" s="33"/>
      <c r="H554" s="33">
        <f>LN(Assets!L456/Assets!L457)</f>
        <v>-1.9138804662049202E-2</v>
      </c>
      <c r="I554" s="33"/>
      <c r="J554" s="33">
        <f>LN(Assets!N456/Assets!N457)</f>
        <v>-1.2232568435634408E-2</v>
      </c>
      <c r="K554" s="33"/>
      <c r="L554" s="33">
        <f>LN(Assets!P456/Assets!P457)</f>
        <v>-4.6831299684098972E-2</v>
      </c>
      <c r="M554" s="33"/>
      <c r="N554" s="33">
        <f>LN(Assets!R456/Assets!R457)</f>
        <v>-1.5043463192178676E-2</v>
      </c>
    </row>
    <row r="555" spans="3:14" x14ac:dyDescent="0.2">
      <c r="C555" s="3">
        <v>45097</v>
      </c>
      <c r="D555" s="33">
        <f>LN(Assets!H457/Assets!H458)</f>
        <v>-9.0742616214578853E-3</v>
      </c>
      <c r="E555" s="33"/>
      <c r="F555" s="33">
        <f>LN(Assets!J457/Assets!J458)</f>
        <v>2.0683260589828511E-2</v>
      </c>
      <c r="G555" s="33"/>
      <c r="H555" s="33">
        <f>LN(Assets!L457/Assets!L458)</f>
        <v>-2.1040982292114541E-3</v>
      </c>
      <c r="I555" s="33"/>
      <c r="J555" s="33">
        <f>LN(Assets!N457/Assets!N458)</f>
        <v>0</v>
      </c>
      <c r="K555" s="33"/>
      <c r="L555" s="33">
        <f>LN(Assets!P457/Assets!P458)</f>
        <v>-2.4745748964889257E-2</v>
      </c>
      <c r="M555" s="33"/>
      <c r="N555" s="33">
        <f>LN(Assets!R457/Assets!R458)</f>
        <v>-7.8950194351798484E-3</v>
      </c>
    </row>
    <row r="556" spans="3:14" x14ac:dyDescent="0.2">
      <c r="C556" s="3">
        <v>45096</v>
      </c>
      <c r="D556" s="33">
        <f>LN(Assets!H458/Assets!H459)</f>
        <v>-2.0626633802314988E-3</v>
      </c>
      <c r="E556" s="33"/>
      <c r="F556" s="33">
        <f>LN(Assets!J458/Assets!J459)</f>
        <v>1.7923516188904736E-2</v>
      </c>
      <c r="G556" s="33"/>
      <c r="H556" s="33">
        <f>LN(Assets!L458/Assets!L459)</f>
        <v>2.714006484651357E-3</v>
      </c>
      <c r="I556" s="33"/>
      <c r="J556" s="33">
        <f>LN(Assets!N458/Assets!N459)</f>
        <v>3.0866647980527264E-2</v>
      </c>
      <c r="K556" s="33"/>
      <c r="L556" s="33">
        <f>LN(Assets!P458/Assets!P459)</f>
        <v>2.2569469542293673E-2</v>
      </c>
      <c r="M556" s="33"/>
      <c r="N556" s="33">
        <f>LN(Assets!R458/Assets!R459)</f>
        <v>-7.3126145854623134E-4</v>
      </c>
    </row>
    <row r="557" spans="3:14" x14ac:dyDescent="0.2">
      <c r="C557" s="3">
        <v>45093</v>
      </c>
      <c r="D557" s="33">
        <f>LN(Assets!H459/Assets!H460)</f>
        <v>-2.598824742697378E-3</v>
      </c>
      <c r="E557" s="33"/>
      <c r="F557" s="33">
        <f>LN(Assets!J459/Assets!J460)</f>
        <v>2.7502407433129254E-2</v>
      </c>
      <c r="G557" s="33"/>
      <c r="H557" s="33">
        <f>LN(Assets!L459/Assets!L460)</f>
        <v>-2.0313627399713999E-2</v>
      </c>
      <c r="I557" s="33"/>
      <c r="J557" s="33">
        <f>LN(Assets!N459/Assets!N460)</f>
        <v>1.8987912244691381E-2</v>
      </c>
      <c r="K557" s="33"/>
      <c r="L557" s="33">
        <f>LN(Assets!P459/Assets!P460)</f>
        <v>0</v>
      </c>
      <c r="M557" s="33"/>
      <c r="N557" s="33">
        <f>LN(Assets!R459/Assets!R460)</f>
        <v>-1.2350320438943055E-2</v>
      </c>
    </row>
    <row r="558" spans="3:14" x14ac:dyDescent="0.2">
      <c r="C558" s="3">
        <v>45092</v>
      </c>
      <c r="D558" s="33">
        <f>LN(Assets!H460/Assets!H461)</f>
        <v>6.1235031547012789E-4</v>
      </c>
      <c r="E558" s="33"/>
      <c r="F558" s="33">
        <f>LN(Assets!J460/Assets!J461)</f>
        <v>8.2350177157837802E-3</v>
      </c>
      <c r="G558" s="33"/>
      <c r="H558" s="33">
        <f>LN(Assets!L460/Assets!L461)</f>
        <v>-4.3468811812488354E-4</v>
      </c>
      <c r="I558" s="33"/>
      <c r="J558" s="33">
        <f>LN(Assets!N460/Assets!N461)</f>
        <v>-3.7621991789584294E-2</v>
      </c>
      <c r="K558" s="33"/>
      <c r="L558" s="33">
        <f>LN(Assets!P460/Assets!P461)</f>
        <v>1.2028575865607122E-2</v>
      </c>
      <c r="M558" s="33"/>
      <c r="N558" s="33">
        <f>LN(Assets!R460/Assets!R461)</f>
        <v>-1.0772096981911183E-2</v>
      </c>
    </row>
    <row r="559" spans="3:14" x14ac:dyDescent="0.2">
      <c r="C559" s="3">
        <v>45091</v>
      </c>
      <c r="D559" s="33">
        <f>LN(Assets!H461/Assets!H462)</f>
        <v>1.2343307448426288E-3</v>
      </c>
      <c r="E559" s="33"/>
      <c r="F559" s="33">
        <f>LN(Assets!J461/Assets!J462)</f>
        <v>3.8663400828534804E-3</v>
      </c>
      <c r="G559" s="33"/>
      <c r="H559" s="33">
        <f>LN(Assets!L461/Assets!L462)</f>
        <v>9.1135450282873679E-3</v>
      </c>
      <c r="I559" s="33"/>
      <c r="J559" s="33">
        <f>LN(Assets!N461/Assets!N462)</f>
        <v>0</v>
      </c>
      <c r="K559" s="33"/>
      <c r="L559" s="33">
        <f>LN(Assets!P461/Assets!P462)</f>
        <v>-1.311494207782813E-2</v>
      </c>
      <c r="M559" s="33"/>
      <c r="N559" s="33">
        <f>LN(Assets!R461/Assets!R462)</f>
        <v>-8.534902449837331E-3</v>
      </c>
    </row>
    <row r="560" spans="3:14" x14ac:dyDescent="0.2">
      <c r="C560" s="3">
        <v>45090</v>
      </c>
      <c r="D560" s="33">
        <f>LN(Assets!H462/Assets!H463)</f>
        <v>3.4621452707474958E-3</v>
      </c>
      <c r="E560" s="33"/>
      <c r="F560" s="33">
        <f>LN(Assets!J462/Assets!J463)</f>
        <v>3.3259454162724118E-3</v>
      </c>
      <c r="G560" s="33"/>
      <c r="H560" s="33">
        <f>LN(Assets!L462/Assets!L463)</f>
        <v>1.5361828883708017E-3</v>
      </c>
      <c r="I560" s="33"/>
      <c r="J560" s="33">
        <f>LN(Assets!N462/Assets!N463)</f>
        <v>-4.8057294953779375E-2</v>
      </c>
      <c r="K560" s="33"/>
      <c r="L560" s="33">
        <f>LN(Assets!P462/Assets!P463)</f>
        <v>5.4303558217428706E-4</v>
      </c>
      <c r="M560" s="33"/>
      <c r="N560" s="33">
        <f>LN(Assets!R462/Assets!R463)</f>
        <v>-9.1646746495635204E-3</v>
      </c>
    </row>
    <row r="561" spans="3:14" x14ac:dyDescent="0.2">
      <c r="C561" s="3">
        <v>45089</v>
      </c>
      <c r="D561" s="33">
        <f>LN(Assets!H463/Assets!H464)</f>
        <v>1.4693559104682972E-3</v>
      </c>
      <c r="E561" s="33"/>
      <c r="F561" s="33">
        <f>LN(Assets!J463/Assets!J464)</f>
        <v>3.3308187763507927E-2</v>
      </c>
      <c r="G561" s="33"/>
      <c r="H561" s="33">
        <f>LN(Assets!L463/Assets!L464)</f>
        <v>2.8401508073265164E-2</v>
      </c>
      <c r="I561" s="33"/>
      <c r="J561" s="33">
        <f>LN(Assets!N463/Assets!N464)</f>
        <v>-1.4556297774207375E-2</v>
      </c>
      <c r="K561" s="33"/>
      <c r="L561" s="33">
        <f>LN(Assets!P463/Assets!P464)</f>
        <v>-4.6692831672651217E-2</v>
      </c>
      <c r="M561" s="33"/>
      <c r="N561" s="33">
        <f>LN(Assets!R463/Assets!R464)</f>
        <v>1.4134510934904716E-2</v>
      </c>
    </row>
    <row r="562" spans="3:14" x14ac:dyDescent="0.2">
      <c r="C562" s="3">
        <v>45086</v>
      </c>
      <c r="D562" s="33">
        <f>LN(Assets!H464/Assets!H465)</f>
        <v>-2.5425044498555869E-3</v>
      </c>
      <c r="E562" s="33"/>
      <c r="F562" s="33">
        <f>LN(Assets!J464/Assets!J465)</f>
        <v>1.5620797812408032E-2</v>
      </c>
      <c r="G562" s="33"/>
      <c r="H562" s="33">
        <f>LN(Assets!L464/Assets!L465)</f>
        <v>4.6427441565478024E-3</v>
      </c>
      <c r="I562" s="33"/>
      <c r="J562" s="33">
        <f>LN(Assets!N464/Assets!N465)</f>
        <v>8.7083278917841934E-3</v>
      </c>
      <c r="K562" s="33"/>
      <c r="L562" s="33">
        <f>LN(Assets!P464/Assets!P465)</f>
        <v>-2.5084499276928445E-2</v>
      </c>
      <c r="M562" s="33"/>
      <c r="N562" s="33">
        <f>LN(Assets!R464/Assets!R465)</f>
        <v>1.1453239013502295E-2</v>
      </c>
    </row>
    <row r="563" spans="3:14" x14ac:dyDescent="0.2">
      <c r="C563" s="3">
        <v>45085</v>
      </c>
      <c r="D563" s="33">
        <f>LN(Assets!H465/Assets!H466)</f>
        <v>-2.0532792672214861E-3</v>
      </c>
      <c r="E563" s="33"/>
      <c r="F563" s="33">
        <f>LN(Assets!J465/Assets!J466)</f>
        <v>-3.492436611499272E-3</v>
      </c>
      <c r="G563" s="33"/>
      <c r="H563" s="33">
        <f>LN(Assets!L465/Assets!L466)</f>
        <v>-1.727236391203223E-2</v>
      </c>
      <c r="I563" s="33"/>
      <c r="J563" s="33">
        <f>LN(Assets!N465/Assets!N466)</f>
        <v>-2.0202707317519355E-2</v>
      </c>
      <c r="K563" s="33"/>
      <c r="L563" s="33">
        <f>LN(Assets!P465/Assets!P466)</f>
        <v>1.4256860624865062E-2</v>
      </c>
      <c r="M563" s="33"/>
      <c r="N563" s="33">
        <f>LN(Assets!R465/Assets!R466)</f>
        <v>-4.489546914199216E-3</v>
      </c>
    </row>
    <row r="564" spans="3:14" x14ac:dyDescent="0.2">
      <c r="C564" s="3">
        <v>45084</v>
      </c>
      <c r="D564" s="33">
        <f>LN(Assets!H466/Assets!H467)</f>
        <v>-3.5919756477675291E-3</v>
      </c>
      <c r="E564" s="33"/>
      <c r="F564" s="33">
        <f>LN(Assets!J466/Assets!J467)</f>
        <v>2.1733601409267507E-2</v>
      </c>
      <c r="G564" s="33"/>
      <c r="H564" s="33">
        <f>LN(Assets!L466/Assets!L467)</f>
        <v>-6.028332936487369E-2</v>
      </c>
      <c r="I564" s="33"/>
      <c r="J564" s="33">
        <f>LN(Assets!N466/Assets!N467)</f>
        <v>-2.2599831917240919E-2</v>
      </c>
      <c r="K564" s="33"/>
      <c r="L564" s="33">
        <f>LN(Assets!P466/Assets!P467)</f>
        <v>3.1781784056282875E-2</v>
      </c>
      <c r="M564" s="33"/>
      <c r="N564" s="33">
        <f>LN(Assets!R466/Assets!R467)</f>
        <v>-3.6591593290571038E-2</v>
      </c>
    </row>
    <row r="565" spans="3:14" x14ac:dyDescent="0.2">
      <c r="C565" s="3">
        <v>45083</v>
      </c>
      <c r="D565" s="33">
        <f>LN(Assets!H467/Assets!H468)</f>
        <v>6.2010010837099967E-3</v>
      </c>
      <c r="E565" s="33"/>
      <c r="F565" s="33">
        <f>LN(Assets!J467/Assets!J468)</f>
        <v>-3.8443872115287686E-2</v>
      </c>
      <c r="G565" s="33"/>
      <c r="H565" s="33">
        <f>LN(Assets!L467/Assets!L468)</f>
        <v>2.2679358538819389E-2</v>
      </c>
      <c r="I565" s="33"/>
      <c r="J565" s="33">
        <f>LN(Assets!N467/Assets!N468)</f>
        <v>3.1208206453841005E-2</v>
      </c>
      <c r="K565" s="33"/>
      <c r="L565" s="33">
        <f>LN(Assets!P467/Assets!P468)</f>
        <v>3.4467601484917794E-2</v>
      </c>
      <c r="M565" s="33"/>
      <c r="N565" s="33">
        <f>LN(Assets!R467/Assets!R468)</f>
        <v>1.1291703402663059E-2</v>
      </c>
    </row>
    <row r="566" spans="3:14" x14ac:dyDescent="0.2">
      <c r="C566" s="3">
        <v>45082</v>
      </c>
      <c r="D566" s="33">
        <f>LN(Assets!H468/Assets!H469)</f>
        <v>-4.6556004628199076E-3</v>
      </c>
      <c r="E566" s="33"/>
      <c r="F566" s="33">
        <f>LN(Assets!J468/Assets!J469)</f>
        <v>-7.4011154803104726E-3</v>
      </c>
      <c r="G566" s="33"/>
      <c r="H566" s="33">
        <f>LN(Assets!L468/Assets!L469)</f>
        <v>2.6620335692090449E-2</v>
      </c>
      <c r="I566" s="33"/>
      <c r="J566" s="33">
        <f>LN(Assets!N468/Assets!N469)</f>
        <v>-3.9553178386021688E-2</v>
      </c>
      <c r="K566" s="33"/>
      <c r="L566" s="33">
        <f>LN(Assets!P468/Assets!P469)</f>
        <v>-3.6054483595231834E-2</v>
      </c>
      <c r="M566" s="33"/>
      <c r="N566" s="33">
        <f>LN(Assets!R468/Assets!R469)</f>
        <v>1.3012316535854947E-2</v>
      </c>
    </row>
    <row r="567" spans="3:14" x14ac:dyDescent="0.2">
      <c r="C567" s="3">
        <v>45079</v>
      </c>
      <c r="D567" s="33">
        <f>LN(Assets!H469/Assets!H470)</f>
        <v>1.7754002628656351E-2</v>
      </c>
      <c r="E567" s="33"/>
      <c r="F567" s="33">
        <f>LN(Assets!J469/Assets!J470)</f>
        <v>2.0052233033869209E-2</v>
      </c>
      <c r="G567" s="33"/>
      <c r="H567" s="33">
        <f>LN(Assets!L469/Assets!L470)</f>
        <v>1.0487677940844301E-3</v>
      </c>
      <c r="I567" s="33"/>
      <c r="J567" s="33">
        <f>LN(Assets!N469/Assets!N470)</f>
        <v>-3.0015895940265724E-2</v>
      </c>
      <c r="K567" s="33"/>
      <c r="L567" s="33">
        <f>LN(Assets!P469/Assets!P470)</f>
        <v>4.7682209546713959E-3</v>
      </c>
      <c r="M567" s="33"/>
      <c r="N567" s="33">
        <f>LN(Assets!R469/Assets!R470)</f>
        <v>9.7822033944608804E-3</v>
      </c>
    </row>
    <row r="568" spans="3:14" x14ac:dyDescent="0.2">
      <c r="C568" s="3">
        <v>45078</v>
      </c>
      <c r="D568" s="33">
        <f>LN(Assets!H470/Assets!H471)</f>
        <v>5.0967774838060476E-3</v>
      </c>
      <c r="E568" s="33"/>
      <c r="F568" s="33">
        <f>LN(Assets!J470/Assets!J471)</f>
        <v>-1.7346058122081963E-3</v>
      </c>
      <c r="G568" s="33"/>
      <c r="H568" s="33">
        <f>LN(Assets!L470/Assets!L471)</f>
        <v>-2.9227693346417683E-3</v>
      </c>
      <c r="I568" s="33"/>
      <c r="J568" s="33">
        <f>LN(Assets!N470/Assets!N471)</f>
        <v>-1.0695289116747806E-2</v>
      </c>
      <c r="K568" s="33"/>
      <c r="L568" s="33">
        <f>LN(Assets!P470/Assets!P471)</f>
        <v>-6.0280930884930063E-2</v>
      </c>
      <c r="M568" s="33"/>
      <c r="N568" s="33">
        <f>LN(Assets!R470/Assets!R471)</f>
        <v>-8.7196922266788868E-3</v>
      </c>
    </row>
    <row r="569" spans="3:14" x14ac:dyDescent="0.2">
      <c r="C569" s="3">
        <v>45077</v>
      </c>
      <c r="D569" s="33">
        <f>LN(Assets!H471/Assets!H472)</f>
        <v>-8.5196005540719537E-3</v>
      </c>
      <c r="E569" s="33"/>
      <c r="F569" s="33">
        <f>LN(Assets!J471/Assets!J472)</f>
        <v>-1.3199617755919135E-2</v>
      </c>
      <c r="G569" s="33"/>
      <c r="H569" s="33">
        <f>LN(Assets!L471/Assets!L472)</f>
        <v>-1.1769671925753206E-2</v>
      </c>
      <c r="I569" s="33"/>
      <c r="J569" s="33">
        <f>LN(Assets!N471/Assets!N472)</f>
        <v>2.9691789807402998E-2</v>
      </c>
      <c r="K569" s="33"/>
      <c r="L569" s="33">
        <f>LN(Assets!P471/Assets!P472)</f>
        <v>0</v>
      </c>
      <c r="M569" s="33"/>
      <c r="N569" s="33">
        <f>LN(Assets!R471/Assets!R472)</f>
        <v>2.4835918389685512E-3</v>
      </c>
    </row>
    <row r="570" spans="3:14" x14ac:dyDescent="0.2">
      <c r="C570" s="3">
        <v>45076</v>
      </c>
      <c r="D570" s="33">
        <f>LN(Assets!H472/Assets!H473)</f>
        <v>-1.149665185600965E-2</v>
      </c>
      <c r="E570" s="33"/>
      <c r="F570" s="33">
        <f>LN(Assets!J472/Assets!J473)</f>
        <v>-1.1337989937396386E-2</v>
      </c>
      <c r="G570" s="33"/>
      <c r="H570" s="33">
        <f>LN(Assets!L472/Assets!L473)</f>
        <v>-1.5391150320297408E-2</v>
      </c>
      <c r="I570" s="33"/>
      <c r="J570" s="33">
        <f>LN(Assets!N472/Assets!N473)</f>
        <v>2.2161571802852349E-2</v>
      </c>
      <c r="K570" s="33"/>
      <c r="L570" s="33">
        <f>LN(Assets!P472/Assets!P473)</f>
        <v>-3.4884401853501855E-2</v>
      </c>
      <c r="M570" s="33"/>
      <c r="N570" s="33">
        <f>LN(Assets!R472/Assets!R473)</f>
        <v>-1.2181278701263613E-2</v>
      </c>
    </row>
    <row r="571" spans="3:14" x14ac:dyDescent="0.2">
      <c r="C571" s="3">
        <v>45075</v>
      </c>
      <c r="D571" s="33">
        <f>LN(Assets!H473/Assets!H474)</f>
        <v>2.3886738931141603E-3</v>
      </c>
      <c r="E571" s="33"/>
      <c r="F571" s="33">
        <f>LN(Assets!J473/Assets!J474)</f>
        <v>1.3621095951964916E-2</v>
      </c>
      <c r="G571" s="33"/>
      <c r="H571" s="33">
        <f>LN(Assets!L473/Assets!L474)</f>
        <v>-1.1826891891127032E-2</v>
      </c>
      <c r="I571" s="33"/>
      <c r="J571" s="33">
        <f>LN(Assets!N473/Assets!N474)</f>
        <v>5.4689886296620249E-2</v>
      </c>
      <c r="K571" s="33"/>
      <c r="L571" s="33">
        <f>LN(Assets!P473/Assets!P474)</f>
        <v>-1.6283884720897618E-2</v>
      </c>
      <c r="M571" s="33"/>
      <c r="N571" s="33">
        <f>LN(Assets!R473/Assets!R474)</f>
        <v>3.8677966642733075E-3</v>
      </c>
    </row>
    <row r="572" spans="3:14" x14ac:dyDescent="0.2">
      <c r="C572" s="3">
        <v>45072</v>
      </c>
      <c r="D572" s="33">
        <f>LN(Assets!H474/Assets!H475)</f>
        <v>7.3678251010027571E-3</v>
      </c>
      <c r="E572" s="33"/>
      <c r="F572" s="33">
        <f>LN(Assets!J474/Assets!J475)</f>
        <v>9.777034639115062E-2</v>
      </c>
      <c r="G572" s="33"/>
      <c r="H572" s="33">
        <f>LN(Assets!L474/Assets!L475)</f>
        <v>2.5858422695384901E-2</v>
      </c>
      <c r="I572" s="33"/>
      <c r="J572" s="33">
        <f>LN(Assets!N474/Assets!N475)</f>
        <v>3.9220713153281329E-2</v>
      </c>
      <c r="K572" s="33"/>
      <c r="L572" s="33">
        <f>LN(Assets!P474/Assets!P475)</f>
        <v>5.1168286574399424E-2</v>
      </c>
      <c r="M572" s="33"/>
      <c r="N572" s="33">
        <f>LN(Assets!R474/Assets!R475)</f>
        <v>2.1724501096996033E-2</v>
      </c>
    </row>
    <row r="573" spans="3:14" x14ac:dyDescent="0.2">
      <c r="C573" s="3">
        <v>45071</v>
      </c>
      <c r="D573" s="33">
        <f>LN(Assets!H475/Assets!H476)</f>
        <v>-7.7382326539226073E-3</v>
      </c>
      <c r="E573" s="33"/>
      <c r="F573" s="33">
        <f>LN(Assets!J475/Assets!J476)</f>
        <v>4.2477428267116216E-2</v>
      </c>
      <c r="G573" s="33"/>
      <c r="H573" s="33">
        <f>LN(Assets!L475/Assets!L476)</f>
        <v>1.9315789299291706E-2</v>
      </c>
      <c r="I573" s="33"/>
      <c r="J573" s="33">
        <f>LN(Assets!N475/Assets!N476)</f>
        <v>1.2384059199721622E-2</v>
      </c>
      <c r="K573" s="33"/>
      <c r="L573" s="33">
        <f>LN(Assets!P475/Assets!P476)</f>
        <v>-9.9950033308349932E-4</v>
      </c>
      <c r="M573" s="33"/>
      <c r="N573" s="33">
        <f>LN(Assets!R475/Assets!R476)</f>
        <v>1.4506147389028667E-2</v>
      </c>
    </row>
    <row r="574" spans="3:14" x14ac:dyDescent="0.2">
      <c r="C574" s="3">
        <v>45070</v>
      </c>
      <c r="D574" s="33">
        <f>LN(Assets!H476/Assets!H477)</f>
        <v>-1.0896032059540426E-2</v>
      </c>
      <c r="E574" s="33"/>
      <c r="F574" s="33">
        <f>LN(Assets!J476/Assets!J477)</f>
        <v>-1.2414403148381964E-2</v>
      </c>
      <c r="G574" s="33"/>
      <c r="H574" s="33">
        <f>LN(Assets!L476/Assets!L477)</f>
        <v>-2.8218128110860546E-3</v>
      </c>
      <c r="I574" s="33"/>
      <c r="J574" s="33">
        <f>LN(Assets!N476/Assets!N477)</f>
        <v>-2.461662763535603E-2</v>
      </c>
      <c r="K574" s="33"/>
      <c r="L574" s="33">
        <f>LN(Assets!P476/Assets!P477)</f>
        <v>-8.9508305200845569E-3</v>
      </c>
      <c r="M574" s="33"/>
      <c r="N574" s="33">
        <f>LN(Assets!R476/Assets!R477)</f>
        <v>-3.8282792174837211E-3</v>
      </c>
    </row>
    <row r="575" spans="3:14" x14ac:dyDescent="0.2">
      <c r="C575" s="3">
        <v>45069</v>
      </c>
      <c r="D575" s="33">
        <f>LN(Assets!H477/Assets!H478)</f>
        <v>-1.0126745087318201E-2</v>
      </c>
      <c r="E575" s="33"/>
      <c r="F575" s="33">
        <f>LN(Assets!J477/Assets!J478)</f>
        <v>-2.5940351770465356E-3</v>
      </c>
      <c r="G575" s="33"/>
      <c r="H575" s="33">
        <f>LN(Assets!L477/Assets!L478)</f>
        <v>-2.0020360177792129E-2</v>
      </c>
      <c r="I575" s="33"/>
      <c r="J575" s="33">
        <f>LN(Assets!N477/Assets!N478)</f>
        <v>-9.0772181511165392E-3</v>
      </c>
      <c r="K575" s="33"/>
      <c r="L575" s="33">
        <f>LN(Assets!P477/Assets!P478)</f>
        <v>5.077232537342314E-2</v>
      </c>
      <c r="M575" s="33"/>
      <c r="N575" s="33">
        <f>LN(Assets!R477/Assets!R478)</f>
        <v>-2.1955173762003719E-2</v>
      </c>
    </row>
    <row r="576" spans="3:14" x14ac:dyDescent="0.2">
      <c r="C576" s="3">
        <v>45065</v>
      </c>
      <c r="D576" s="33">
        <f>LN(Assets!H478/Assets!H479)</f>
        <v>2.6554729656471719E-3</v>
      </c>
      <c r="E576" s="33"/>
      <c r="F576" s="33">
        <f>LN(Assets!J478/Assets!J479)</f>
        <v>5.19481687710393E-3</v>
      </c>
      <c r="G576" s="33"/>
      <c r="H576" s="33">
        <f>LN(Assets!L478/Assets!L479)</f>
        <v>9.6319412520717018E-3</v>
      </c>
      <c r="I576" s="33"/>
      <c r="J576" s="33">
        <f>LN(Assets!N478/Assets!N479)</f>
        <v>-2.0865138463961787E-2</v>
      </c>
      <c r="K576" s="33"/>
      <c r="L576" s="33">
        <f>LN(Assets!P478/Assets!P479)</f>
        <v>1.0471299867295437E-2</v>
      </c>
      <c r="M576" s="33"/>
      <c r="N576" s="33">
        <f>LN(Assets!R478/Assets!R479)</f>
        <v>2.3166721579287257E-3</v>
      </c>
    </row>
    <row r="577" spans="3:14" x14ac:dyDescent="0.2">
      <c r="C577" s="3">
        <v>45064</v>
      </c>
      <c r="D577" s="33">
        <f>LN(Assets!H479/Assets!H480)</f>
        <v>3.2517505259956013E-5</v>
      </c>
      <c r="E577" s="33"/>
      <c r="F577" s="33">
        <f>LN(Assets!J479/Assets!J480)</f>
        <v>1.50871999192614E-2</v>
      </c>
      <c r="G577" s="33"/>
      <c r="H577" s="33">
        <f>LN(Assets!L479/Assets!L480)</f>
        <v>2.1896220703680213E-3</v>
      </c>
      <c r="I577" s="33"/>
      <c r="J577" s="33">
        <f>LN(Assets!N479/Assets!N480)</f>
        <v>-2.9455102297568031E-3</v>
      </c>
      <c r="K577" s="33"/>
      <c r="L577" s="33">
        <f>LN(Assets!P479/Assets!P480)</f>
        <v>2.6350476380052534E-3</v>
      </c>
      <c r="M577" s="33"/>
      <c r="N577" s="33">
        <f>LN(Assets!R479/Assets!R480)</f>
        <v>2.0912966956371116E-2</v>
      </c>
    </row>
    <row r="578" spans="3:14" x14ac:dyDescent="0.2">
      <c r="C578" s="3">
        <v>45063</v>
      </c>
      <c r="D578" s="33">
        <f>LN(Assets!H480/Assets!H481)</f>
        <v>2.6818965961905058E-3</v>
      </c>
      <c r="E578" s="33"/>
      <c r="F578" s="33">
        <f>LN(Assets!J480/Assets!J481)</f>
        <v>5.3015366053798946E-3</v>
      </c>
      <c r="G578" s="33"/>
      <c r="H578" s="33">
        <f>LN(Assets!L480/Assets!L481)</f>
        <v>-1.1659080585872911E-2</v>
      </c>
      <c r="I578" s="33"/>
      <c r="J578" s="33">
        <f>LN(Assets!N480/Assets!N481)</f>
        <v>3.288786684483521E-2</v>
      </c>
      <c r="K578" s="33"/>
      <c r="L578" s="33">
        <f>LN(Assets!P480/Assets!P481)</f>
        <v>-1.570712920535788E-2</v>
      </c>
      <c r="M578" s="33"/>
      <c r="N578" s="33">
        <f>LN(Assets!R480/Assets!R481)</f>
        <v>-7.2846479273113362E-4</v>
      </c>
    </row>
    <row r="579" spans="3:14" x14ac:dyDescent="0.2">
      <c r="C579" s="3">
        <v>45062</v>
      </c>
      <c r="D579" s="33">
        <f>LN(Assets!H481/Assets!H482)</f>
        <v>-1.4609632017555229E-2</v>
      </c>
      <c r="E579" s="33"/>
      <c r="F579" s="33">
        <f>LN(Assets!J481/Assets!J482)</f>
        <v>8.005379643785851E-3</v>
      </c>
      <c r="G579" s="33"/>
      <c r="H579" s="33">
        <f>LN(Assets!L481/Assets!L482)</f>
        <v>-7.9845050861995278E-3</v>
      </c>
      <c r="I579" s="33"/>
      <c r="J579" s="33">
        <f>LN(Assets!N481/Assets!N482)</f>
        <v>2.7736754971599619E-2</v>
      </c>
      <c r="K579" s="33"/>
      <c r="L579" s="33">
        <f>LN(Assets!P481/Assets!P482)</f>
        <v>-2.4122288440696051E-2</v>
      </c>
      <c r="M579" s="33"/>
      <c r="N579" s="33">
        <f>LN(Assets!R481/Assets!R482)</f>
        <v>1.4574606332897889E-3</v>
      </c>
    </row>
    <row r="580" spans="3:14" x14ac:dyDescent="0.2">
      <c r="C580" s="3">
        <v>45061</v>
      </c>
      <c r="D580" s="33">
        <f>LN(Assets!H482/Assets!H483)</f>
        <v>5.876540577887948E-3</v>
      </c>
      <c r="E580" s="33"/>
      <c r="F580" s="33">
        <f>LN(Assets!J482/Assets!J483)</f>
        <v>8.7454307810294948E-3</v>
      </c>
      <c r="G580" s="33"/>
      <c r="H580" s="33">
        <f>LN(Assets!L482/Assets!L483)</f>
        <v>1.4614603825840631E-2</v>
      </c>
      <c r="I580" s="33"/>
      <c r="J580" s="33">
        <f>LN(Assets!N482/Assets!N483)</f>
        <v>1.5748356968139331E-2</v>
      </c>
      <c r="K580" s="33"/>
      <c r="L580" s="33">
        <f>LN(Assets!P482/Assets!P483)</f>
        <v>6.1037829380176656E-3</v>
      </c>
      <c r="M580" s="33"/>
      <c r="N580" s="33">
        <f>LN(Assets!R482/Assets!R483)</f>
        <v>6.9520953256561446E-3</v>
      </c>
    </row>
    <row r="581" spans="3:14" x14ac:dyDescent="0.2">
      <c r="C581" s="3">
        <v>45058</v>
      </c>
      <c r="D581" s="33">
        <f>LN(Assets!H483/Assets!H484)</f>
        <v>9.8439585722212577E-5</v>
      </c>
      <c r="E581" s="33"/>
      <c r="F581" s="33">
        <f>LN(Assets!J483/Assets!J484)</f>
        <v>5.4200674693391133E-3</v>
      </c>
      <c r="G581" s="33"/>
      <c r="H581" s="33">
        <f>LN(Assets!L483/Assets!L484)</f>
        <v>2.1834069809435813E-3</v>
      </c>
      <c r="I581" s="33"/>
      <c r="J581" s="33">
        <f>LN(Assets!N483/Assets!N484)</f>
        <v>-6.1557892999433435E-2</v>
      </c>
      <c r="K581" s="33"/>
      <c r="L581" s="33">
        <f>LN(Assets!P483/Assets!P484)</f>
        <v>3.0038509119227331E-2</v>
      </c>
      <c r="M581" s="33"/>
      <c r="N581" s="33">
        <f>LN(Assets!R483/Assets!R484)</f>
        <v>2.7576081451424019E-3</v>
      </c>
    </row>
    <row r="582" spans="3:14" x14ac:dyDescent="0.2">
      <c r="C582" s="3">
        <v>45057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6A4-781C-409A-B4C7-FC1259FD6EFC}">
  <sheetPr codeName="Sheet11"/>
  <dimension ref="A2:R484"/>
  <sheetViews>
    <sheetView workbookViewId="0">
      <selection activeCell="N6" sqref="N6"/>
    </sheetView>
  </sheetViews>
  <sheetFormatPr defaultRowHeight="12.75" x14ac:dyDescent="0.2"/>
  <cols>
    <col min="1" max="1" width="18" bestFit="1" customWidth="1"/>
    <col min="2" max="2" width="10.140625" bestFit="1" customWidth="1"/>
    <col min="6" max="6" width="18" bestFit="1" customWidth="1"/>
    <col min="7" max="7" width="10.140625" bestFit="1" customWidth="1"/>
    <col min="8" max="8" width="10.42578125" bestFit="1" customWidth="1"/>
    <col min="9" max="9" width="10.140625" bestFit="1" customWidth="1"/>
    <col min="10" max="10" width="10.42578125" bestFit="1" customWidth="1"/>
    <col min="11" max="11" width="10.140625" bestFit="1" customWidth="1"/>
    <col min="12" max="12" width="10.42578125" bestFit="1" customWidth="1"/>
    <col min="13" max="13" width="10.140625" bestFit="1" customWidth="1"/>
    <col min="14" max="14" width="10.42578125" bestFit="1" customWidth="1"/>
    <col min="15" max="15" width="10.140625" bestFit="1" customWidth="1"/>
    <col min="16" max="16" width="10.42578125" bestFit="1" customWidth="1"/>
    <col min="17" max="17" width="10.140625" bestFit="1" customWidth="1"/>
    <col min="18" max="18" width="10.42578125" bestFit="1" customWidth="1"/>
  </cols>
  <sheetData>
    <row r="2" spans="1:18" x14ac:dyDescent="0.2">
      <c r="A2" t="str">
        <f>_xll.RDP.HistoricalPricing("CADSEK=","BID;ASK","START:21-Mar-2025 INTERVAL:P1D SOURCE:RFV",,"CH:Fd RH:Timestamp",B3)</f>
        <v>Updated at 19:38:22</v>
      </c>
      <c r="F2" t="str">
        <f>_xll.RDP.HistoricalPricing(".GSPTSE;CLS.TO;KXS.TO;CTS.TO;LMN.V;OTEX.TO","TRDPRC_1","SOURCE:RFV START:11-May-2023 END:09-Apr-2025 INTERVAL:P1D",,"CH:Fd RH:Timestamp",G3)</f>
        <v>Updated at 19:38:25</v>
      </c>
      <c r="H2" s="5" t="s">
        <v>147</v>
      </c>
      <c r="J2" s="5" t="s">
        <v>148</v>
      </c>
      <c r="L2" s="5" t="s">
        <v>149</v>
      </c>
      <c r="N2" s="5" t="s">
        <v>150</v>
      </c>
      <c r="P2" s="5" t="s">
        <v>151</v>
      </c>
      <c r="R2" s="5" t="s">
        <v>152</v>
      </c>
    </row>
    <row r="3" spans="1:18" x14ac:dyDescent="0.2">
      <c r="B3" s="12" t="s">
        <v>98</v>
      </c>
      <c r="C3" s="12" t="s">
        <v>22</v>
      </c>
      <c r="D3" s="12" t="s">
        <v>23</v>
      </c>
      <c r="G3" s="12" t="s">
        <v>98</v>
      </c>
      <c r="H3" s="12" t="s">
        <v>92</v>
      </c>
      <c r="I3" s="12" t="s">
        <v>98</v>
      </c>
      <c r="J3" s="12" t="s">
        <v>92</v>
      </c>
      <c r="K3" s="12" t="s">
        <v>98</v>
      </c>
      <c r="L3" s="12" t="s">
        <v>92</v>
      </c>
      <c r="M3" s="12" t="s">
        <v>98</v>
      </c>
      <c r="N3" s="12" t="s">
        <v>92</v>
      </c>
      <c r="O3" s="12" t="s">
        <v>98</v>
      </c>
      <c r="P3" s="12" t="s">
        <v>92</v>
      </c>
      <c r="Q3" s="12" t="s">
        <v>98</v>
      </c>
      <c r="R3" s="12" t="s">
        <v>92</v>
      </c>
    </row>
    <row r="4" spans="1:18" x14ac:dyDescent="0.2">
      <c r="B4" s="3">
        <v>45756</v>
      </c>
      <c r="C4">
        <v>7.0936000000000003</v>
      </c>
      <c r="D4">
        <v>7.1109</v>
      </c>
      <c r="G4" s="3">
        <v>45756</v>
      </c>
      <c r="H4">
        <v>22869.11</v>
      </c>
      <c r="I4" s="3">
        <v>45756</v>
      </c>
      <c r="J4">
        <v>107</v>
      </c>
      <c r="K4" s="3">
        <v>45756</v>
      </c>
      <c r="L4">
        <v>163.07</v>
      </c>
      <c r="M4" s="3">
        <v>45756</v>
      </c>
      <c r="N4">
        <v>5.98</v>
      </c>
      <c r="O4" s="3">
        <v>45756</v>
      </c>
      <c r="P4">
        <v>39.625</v>
      </c>
      <c r="Q4" s="3">
        <v>45756</v>
      </c>
      <c r="R4">
        <v>34.270000000000003</v>
      </c>
    </row>
    <row r="5" spans="1:18" x14ac:dyDescent="0.2">
      <c r="B5" s="3">
        <v>45755</v>
      </c>
      <c r="C5">
        <v>7.0174000000000003</v>
      </c>
      <c r="D5">
        <v>7.0818000000000003</v>
      </c>
      <c r="G5" s="3">
        <v>45755</v>
      </c>
      <c r="H5">
        <v>22506.9</v>
      </c>
      <c r="I5" s="3">
        <v>45755</v>
      </c>
      <c r="J5">
        <v>98.05</v>
      </c>
      <c r="K5" s="3">
        <v>45755</v>
      </c>
      <c r="L5">
        <v>160.54</v>
      </c>
      <c r="M5" s="3">
        <v>45755</v>
      </c>
      <c r="N5">
        <v>5.95</v>
      </c>
      <c r="O5" s="3">
        <v>45755</v>
      </c>
      <c r="P5">
        <v>41.17</v>
      </c>
      <c r="Q5" s="3">
        <v>45755</v>
      </c>
      <c r="R5">
        <v>33.07</v>
      </c>
    </row>
    <row r="6" spans="1:18" x14ac:dyDescent="0.2">
      <c r="B6" s="3">
        <v>45754</v>
      </c>
      <c r="C6">
        <v>7.0532000000000004</v>
      </c>
      <c r="D6">
        <v>7.0888999999999998</v>
      </c>
      <c r="G6" s="3">
        <v>45754</v>
      </c>
      <c r="H6">
        <v>22859.46</v>
      </c>
      <c r="I6" s="3">
        <v>45754</v>
      </c>
      <c r="J6">
        <v>100.18</v>
      </c>
      <c r="K6" s="3">
        <v>45754</v>
      </c>
      <c r="L6">
        <v>155.75</v>
      </c>
      <c r="M6" s="3">
        <v>45754</v>
      </c>
      <c r="N6">
        <v>5.95</v>
      </c>
      <c r="O6" s="3">
        <v>45754</v>
      </c>
      <c r="P6">
        <v>40.68</v>
      </c>
      <c r="Q6" s="3">
        <v>45754</v>
      </c>
      <c r="R6">
        <v>32.82</v>
      </c>
    </row>
    <row r="7" spans="1:18" x14ac:dyDescent="0.2">
      <c r="B7" s="3">
        <v>45751</v>
      </c>
      <c r="C7">
        <v>7.0080999999999998</v>
      </c>
      <c r="D7">
        <v>7.0354000000000001</v>
      </c>
      <c r="G7" s="3">
        <v>45751</v>
      </c>
      <c r="H7">
        <v>23193.47</v>
      </c>
      <c r="I7" s="3">
        <v>45751</v>
      </c>
      <c r="J7">
        <v>94.08</v>
      </c>
      <c r="K7" s="3">
        <v>45751</v>
      </c>
      <c r="L7">
        <v>158.26</v>
      </c>
      <c r="M7" s="3">
        <v>45751</v>
      </c>
      <c r="N7">
        <v>5.96</v>
      </c>
      <c r="O7" s="3">
        <v>45751</v>
      </c>
      <c r="P7">
        <v>40.9</v>
      </c>
      <c r="Q7" s="3">
        <v>45751</v>
      </c>
      <c r="R7">
        <v>34.340000000000003</v>
      </c>
    </row>
    <row r="8" spans="1:18" x14ac:dyDescent="0.2">
      <c r="B8" s="3">
        <v>45750</v>
      </c>
      <c r="C8">
        <v>6.9181999999999997</v>
      </c>
      <c r="D8">
        <v>6.9874000000000001</v>
      </c>
      <c r="G8" s="3">
        <v>45750</v>
      </c>
      <c r="H8">
        <v>24335.77</v>
      </c>
      <c r="I8" s="3">
        <v>45750</v>
      </c>
      <c r="J8">
        <v>97.27</v>
      </c>
      <c r="K8" s="3">
        <v>45750</v>
      </c>
      <c r="L8">
        <v>163.21</v>
      </c>
      <c r="M8" s="3">
        <v>45750</v>
      </c>
      <c r="N8">
        <v>6.03</v>
      </c>
      <c r="O8" s="3">
        <v>45750</v>
      </c>
      <c r="P8">
        <v>42.7</v>
      </c>
      <c r="Q8" s="3">
        <v>45750</v>
      </c>
      <c r="R8">
        <v>35.01</v>
      </c>
    </row>
    <row r="9" spans="1:18" x14ac:dyDescent="0.2">
      <c r="B9" s="3">
        <v>45749</v>
      </c>
      <c r="C9">
        <v>6.9212999999999996</v>
      </c>
      <c r="D9">
        <v>7.0175000000000001</v>
      </c>
      <c r="G9" s="3">
        <v>45749</v>
      </c>
      <c r="H9">
        <v>25307.18</v>
      </c>
      <c r="I9" s="3">
        <v>45749</v>
      </c>
      <c r="J9">
        <v>117.93</v>
      </c>
      <c r="K9" s="3">
        <v>45749</v>
      </c>
      <c r="L9">
        <v>160.88999999999999</v>
      </c>
      <c r="M9" s="3">
        <v>45749</v>
      </c>
      <c r="N9">
        <v>6.05</v>
      </c>
      <c r="O9" s="3">
        <v>45749</v>
      </c>
      <c r="P9">
        <v>43.4</v>
      </c>
      <c r="Q9" s="3">
        <v>45749</v>
      </c>
      <c r="R9">
        <v>37.159999999999997</v>
      </c>
    </row>
    <row r="10" spans="1:18" x14ac:dyDescent="0.2">
      <c r="B10" s="3">
        <v>45748</v>
      </c>
      <c r="C10">
        <v>6.9904999999999999</v>
      </c>
      <c r="D10">
        <v>7.0183999999999997</v>
      </c>
      <c r="G10" s="3">
        <v>45748</v>
      </c>
      <c r="H10">
        <v>25033.279999999999</v>
      </c>
      <c r="I10" s="3">
        <v>45748</v>
      </c>
      <c r="J10">
        <v>113.08</v>
      </c>
      <c r="K10" s="3">
        <v>45748</v>
      </c>
      <c r="L10">
        <v>156.55000000000001</v>
      </c>
      <c r="M10" s="3">
        <v>45748</v>
      </c>
      <c r="N10">
        <v>5.47</v>
      </c>
      <c r="O10" s="3">
        <v>45748</v>
      </c>
      <c r="P10">
        <v>42.11</v>
      </c>
      <c r="Q10" s="3">
        <v>45748</v>
      </c>
      <c r="R10">
        <v>36.29</v>
      </c>
    </row>
    <row r="11" spans="1:18" x14ac:dyDescent="0.2">
      <c r="B11" s="3">
        <v>45747</v>
      </c>
      <c r="C11">
        <v>6.9707999999999997</v>
      </c>
      <c r="D11">
        <v>6.9897999999999998</v>
      </c>
      <c r="G11" s="3">
        <v>45747</v>
      </c>
      <c r="H11">
        <v>24917.5</v>
      </c>
      <c r="I11" s="3">
        <v>45747</v>
      </c>
      <c r="J11">
        <v>113.52</v>
      </c>
      <c r="K11" s="3">
        <v>45747</v>
      </c>
      <c r="L11">
        <v>158.66</v>
      </c>
      <c r="M11" s="3">
        <v>45747</v>
      </c>
      <c r="N11">
        <v>5.46</v>
      </c>
      <c r="O11" s="3">
        <v>45747</v>
      </c>
      <c r="P11">
        <v>40.5</v>
      </c>
      <c r="Q11" s="3">
        <v>45747</v>
      </c>
      <c r="R11">
        <v>36.32</v>
      </c>
    </row>
    <row r="12" spans="1:18" x14ac:dyDescent="0.2">
      <c r="B12" s="3">
        <v>45744</v>
      </c>
      <c r="C12">
        <v>6.9554999999999998</v>
      </c>
      <c r="D12">
        <v>7.0239000000000003</v>
      </c>
      <c r="G12" s="3">
        <v>45744</v>
      </c>
      <c r="H12">
        <v>24759.15</v>
      </c>
      <c r="I12" s="3">
        <v>45744</v>
      </c>
      <c r="J12">
        <v>118.36</v>
      </c>
      <c r="K12" s="3">
        <v>45744</v>
      </c>
      <c r="L12">
        <v>155.24</v>
      </c>
      <c r="M12" s="3">
        <v>45744</v>
      </c>
      <c r="N12">
        <v>5.46</v>
      </c>
      <c r="O12" s="3">
        <v>45744</v>
      </c>
      <c r="P12">
        <v>41.77</v>
      </c>
      <c r="Q12" s="3">
        <v>45744</v>
      </c>
      <c r="R12">
        <v>36.17</v>
      </c>
    </row>
    <row r="13" spans="1:18" x14ac:dyDescent="0.2">
      <c r="B13" s="3">
        <v>45743</v>
      </c>
      <c r="C13">
        <v>6.9851999999999999</v>
      </c>
      <c r="D13">
        <v>7.0011999999999999</v>
      </c>
      <c r="G13" s="3">
        <v>45743</v>
      </c>
      <c r="H13">
        <v>25161.06</v>
      </c>
      <c r="I13" s="3">
        <v>45743</v>
      </c>
      <c r="J13">
        <v>120.91</v>
      </c>
      <c r="K13" s="3">
        <v>45743</v>
      </c>
      <c r="L13">
        <v>156.63</v>
      </c>
      <c r="M13" s="3">
        <v>45743</v>
      </c>
      <c r="N13">
        <v>5.45</v>
      </c>
      <c r="O13" s="3">
        <v>45743</v>
      </c>
      <c r="P13">
        <v>40.869999999999997</v>
      </c>
      <c r="Q13" s="3">
        <v>45743</v>
      </c>
      <c r="R13">
        <v>37.9</v>
      </c>
    </row>
    <row r="14" spans="1:18" x14ac:dyDescent="0.2">
      <c r="B14" s="3">
        <v>45742</v>
      </c>
      <c r="C14">
        <v>7.0125999999999999</v>
      </c>
      <c r="D14">
        <v>7.0888999999999998</v>
      </c>
      <c r="G14" s="3">
        <v>45742</v>
      </c>
      <c r="H14">
        <v>25161.06</v>
      </c>
      <c r="I14" s="3">
        <v>45742</v>
      </c>
      <c r="J14">
        <v>125.3</v>
      </c>
      <c r="K14" s="3">
        <v>45742</v>
      </c>
      <c r="L14">
        <v>158.30000000000001</v>
      </c>
      <c r="M14" s="3">
        <v>45742</v>
      </c>
      <c r="N14">
        <v>5.46</v>
      </c>
      <c r="O14" s="3">
        <v>45742</v>
      </c>
      <c r="P14">
        <v>41.07</v>
      </c>
      <c r="Q14" s="3">
        <v>45742</v>
      </c>
      <c r="R14">
        <v>38.299999999999997</v>
      </c>
    </row>
    <row r="15" spans="1:18" x14ac:dyDescent="0.2">
      <c r="B15" s="3">
        <v>45741</v>
      </c>
      <c r="C15">
        <v>7.0243000000000002</v>
      </c>
      <c r="D15">
        <v>7.0355999999999996</v>
      </c>
      <c r="G15" s="3">
        <v>45741</v>
      </c>
      <c r="H15">
        <v>25339.51</v>
      </c>
      <c r="I15" s="3">
        <v>45741</v>
      </c>
      <c r="J15">
        <v>139.07</v>
      </c>
      <c r="K15" s="3">
        <v>45741</v>
      </c>
      <c r="L15">
        <v>159.87</v>
      </c>
      <c r="M15" s="3">
        <v>45741</v>
      </c>
      <c r="N15">
        <v>5.46</v>
      </c>
      <c r="O15" s="3">
        <v>45741</v>
      </c>
      <c r="P15">
        <v>41.47</v>
      </c>
      <c r="Q15" s="3">
        <v>45741</v>
      </c>
      <c r="R15">
        <v>38.799999999999997</v>
      </c>
    </row>
    <row r="16" spans="1:18" x14ac:dyDescent="0.2">
      <c r="B16" s="3">
        <v>45740</v>
      </c>
      <c r="C16">
        <v>7.0481999999999996</v>
      </c>
      <c r="D16">
        <v>7.0644999999999998</v>
      </c>
      <c r="G16" s="3">
        <v>45740</v>
      </c>
      <c r="H16">
        <v>25304.11</v>
      </c>
      <c r="I16" s="3">
        <v>45740</v>
      </c>
      <c r="J16">
        <v>143.1</v>
      </c>
      <c r="K16" s="3">
        <v>45740</v>
      </c>
      <c r="L16">
        <v>158.82</v>
      </c>
      <c r="M16" s="3">
        <v>45740</v>
      </c>
      <c r="N16">
        <v>5.47</v>
      </c>
      <c r="O16" s="3">
        <v>45740</v>
      </c>
      <c r="P16">
        <v>40.590000000000003</v>
      </c>
      <c r="Q16" s="3">
        <v>45740</v>
      </c>
      <c r="R16">
        <v>38.56</v>
      </c>
    </row>
    <row r="17" spans="2:18" x14ac:dyDescent="0.2">
      <c r="B17" s="3">
        <v>45737</v>
      </c>
      <c r="C17">
        <v>7.0469999999999997</v>
      </c>
      <c r="D17">
        <v>7.0838999999999999</v>
      </c>
      <c r="G17" s="3">
        <v>45737</v>
      </c>
      <c r="H17">
        <v>24968.49</v>
      </c>
      <c r="I17" s="3">
        <v>45737</v>
      </c>
      <c r="J17">
        <v>137.66999999999999</v>
      </c>
      <c r="K17" s="3">
        <v>45737</v>
      </c>
      <c r="L17">
        <v>159.84</v>
      </c>
      <c r="M17" s="3">
        <v>45737</v>
      </c>
      <c r="N17">
        <v>5.47</v>
      </c>
      <c r="O17" s="3">
        <v>45737</v>
      </c>
      <c r="P17">
        <v>38.83</v>
      </c>
      <c r="Q17" s="3">
        <v>45737</v>
      </c>
      <c r="R17">
        <v>37.86</v>
      </c>
    </row>
    <row r="18" spans="2:18" x14ac:dyDescent="0.2">
      <c r="G18" s="3">
        <v>45736</v>
      </c>
      <c r="H18">
        <v>25060.240000000002</v>
      </c>
      <c r="I18" s="3">
        <v>45736</v>
      </c>
      <c r="J18">
        <v>136.97999999999999</v>
      </c>
      <c r="K18" s="3">
        <v>45736</v>
      </c>
      <c r="L18">
        <v>157.56</v>
      </c>
      <c r="M18" s="3">
        <v>45736</v>
      </c>
      <c r="N18">
        <v>5.46</v>
      </c>
      <c r="O18" s="3">
        <v>45736</v>
      </c>
      <c r="P18">
        <v>38.33</v>
      </c>
      <c r="Q18" s="3">
        <v>45736</v>
      </c>
      <c r="R18">
        <v>37.79</v>
      </c>
    </row>
    <row r="19" spans="2:18" x14ac:dyDescent="0.2">
      <c r="G19" s="3">
        <v>45735</v>
      </c>
      <c r="H19">
        <v>25069.21</v>
      </c>
      <c r="I19" s="3">
        <v>45735</v>
      </c>
      <c r="J19">
        <v>131.78</v>
      </c>
      <c r="K19" s="3">
        <v>45735</v>
      </c>
      <c r="L19">
        <v>159.38</v>
      </c>
      <c r="M19" s="3">
        <v>45735</v>
      </c>
      <c r="N19">
        <v>5.47</v>
      </c>
      <c r="O19" s="3">
        <v>45735</v>
      </c>
      <c r="P19">
        <v>37.99</v>
      </c>
      <c r="Q19" s="3">
        <v>45735</v>
      </c>
      <c r="R19">
        <v>37.67</v>
      </c>
    </row>
    <row r="20" spans="2:18" x14ac:dyDescent="0.2">
      <c r="G20" s="3">
        <v>45734</v>
      </c>
      <c r="H20">
        <v>24706.07</v>
      </c>
      <c r="I20" s="3">
        <v>45734</v>
      </c>
      <c r="J20">
        <v>125.17</v>
      </c>
      <c r="K20" s="3">
        <v>45734</v>
      </c>
      <c r="L20">
        <v>156.78</v>
      </c>
      <c r="M20" s="3">
        <v>45734</v>
      </c>
      <c r="N20">
        <v>5.46</v>
      </c>
      <c r="O20" s="3">
        <v>45734</v>
      </c>
      <c r="P20">
        <v>37.08</v>
      </c>
      <c r="Q20" s="3">
        <v>45734</v>
      </c>
      <c r="R20">
        <v>37.31</v>
      </c>
    </row>
    <row r="21" spans="2:18" x14ac:dyDescent="0.2">
      <c r="G21" s="3">
        <v>45733</v>
      </c>
      <c r="H21">
        <v>24785.11</v>
      </c>
      <c r="I21" s="3">
        <v>45733</v>
      </c>
      <c r="J21">
        <v>131.08000000000001</v>
      </c>
      <c r="K21" s="3">
        <v>45733</v>
      </c>
      <c r="L21">
        <v>159.59</v>
      </c>
      <c r="M21" s="3">
        <v>45733</v>
      </c>
      <c r="N21">
        <v>5.46</v>
      </c>
      <c r="O21" s="3">
        <v>45733</v>
      </c>
      <c r="P21">
        <v>38.770000000000003</v>
      </c>
      <c r="Q21" s="3">
        <v>45733</v>
      </c>
      <c r="R21">
        <v>37.15</v>
      </c>
    </row>
    <row r="22" spans="2:18" x14ac:dyDescent="0.2">
      <c r="G22" s="3">
        <v>45730</v>
      </c>
      <c r="H22">
        <v>24553.4</v>
      </c>
      <c r="I22" s="3">
        <v>45730</v>
      </c>
      <c r="J22">
        <v>131.66</v>
      </c>
      <c r="K22" s="3">
        <v>45730</v>
      </c>
      <c r="L22">
        <v>159.52000000000001</v>
      </c>
      <c r="M22" s="3">
        <v>45730</v>
      </c>
      <c r="N22">
        <v>5.47</v>
      </c>
      <c r="O22" s="3">
        <v>45730</v>
      </c>
      <c r="P22">
        <v>38.520000000000003</v>
      </c>
      <c r="Q22" s="3">
        <v>45730</v>
      </c>
      <c r="R22">
        <v>37.44</v>
      </c>
    </row>
    <row r="23" spans="2:18" x14ac:dyDescent="0.2">
      <c r="G23" s="3">
        <v>45729</v>
      </c>
      <c r="H23">
        <v>24203.23</v>
      </c>
      <c r="I23" s="3">
        <v>45729</v>
      </c>
      <c r="J23">
        <v>124.82</v>
      </c>
      <c r="K23" s="3">
        <v>45729</v>
      </c>
      <c r="L23">
        <v>155.66</v>
      </c>
      <c r="M23" s="3">
        <v>45729</v>
      </c>
      <c r="N23">
        <v>5.43</v>
      </c>
      <c r="O23" s="3">
        <v>45729</v>
      </c>
      <c r="P23">
        <v>38.9</v>
      </c>
      <c r="Q23" s="3">
        <v>45729</v>
      </c>
      <c r="R23">
        <v>36.25</v>
      </c>
    </row>
    <row r="24" spans="2:18" x14ac:dyDescent="0.2">
      <c r="G24" s="3">
        <v>45728</v>
      </c>
      <c r="H24">
        <v>24423.34</v>
      </c>
      <c r="I24" s="3">
        <v>45728</v>
      </c>
      <c r="J24">
        <v>128.78</v>
      </c>
      <c r="K24" s="3">
        <v>45728</v>
      </c>
      <c r="L24">
        <v>158.47999999999999</v>
      </c>
      <c r="M24" s="3">
        <v>45728</v>
      </c>
      <c r="N24">
        <v>5.43</v>
      </c>
      <c r="O24" s="3">
        <v>45728</v>
      </c>
      <c r="P24">
        <v>40.24</v>
      </c>
      <c r="Q24" s="3">
        <v>45728</v>
      </c>
      <c r="R24">
        <v>36.32</v>
      </c>
    </row>
    <row r="25" spans="2:18" x14ac:dyDescent="0.2">
      <c r="G25" s="3">
        <v>45727</v>
      </c>
      <c r="H25">
        <v>24248.2</v>
      </c>
      <c r="I25" s="3">
        <v>45727</v>
      </c>
      <c r="J25">
        <v>124.75</v>
      </c>
      <c r="K25" s="3">
        <v>45727</v>
      </c>
      <c r="L25">
        <v>158.99</v>
      </c>
      <c r="M25" s="3">
        <v>45727</v>
      </c>
      <c r="N25">
        <v>5.43</v>
      </c>
      <c r="O25" s="3">
        <v>45727</v>
      </c>
      <c r="P25">
        <v>38.700000000000003</v>
      </c>
      <c r="Q25" s="3">
        <v>45727</v>
      </c>
      <c r="R25">
        <v>36.880000000000003</v>
      </c>
    </row>
    <row r="26" spans="2:18" x14ac:dyDescent="0.2">
      <c r="G26" s="3">
        <v>45726</v>
      </c>
      <c r="H26">
        <v>24380.71</v>
      </c>
      <c r="I26" s="3">
        <v>45726</v>
      </c>
      <c r="J26">
        <v>117.19</v>
      </c>
      <c r="K26" s="3">
        <v>45726</v>
      </c>
      <c r="L26">
        <v>160.84</v>
      </c>
      <c r="M26" s="3">
        <v>45726</v>
      </c>
      <c r="N26">
        <v>5.43</v>
      </c>
      <c r="O26" s="3">
        <v>45726</v>
      </c>
      <c r="P26">
        <v>39.17</v>
      </c>
      <c r="Q26" s="3">
        <v>45726</v>
      </c>
      <c r="R26">
        <v>37.53</v>
      </c>
    </row>
    <row r="27" spans="2:18" x14ac:dyDescent="0.2">
      <c r="G27" s="3">
        <v>45723</v>
      </c>
      <c r="H27">
        <v>24758.76</v>
      </c>
      <c r="I27" s="3">
        <v>45723</v>
      </c>
      <c r="J27">
        <v>125.78</v>
      </c>
      <c r="K27" s="3">
        <v>45723</v>
      </c>
      <c r="L27">
        <v>162.05000000000001</v>
      </c>
      <c r="M27" s="3">
        <v>45723</v>
      </c>
      <c r="N27">
        <v>5.44</v>
      </c>
      <c r="O27" s="3">
        <v>45723</v>
      </c>
      <c r="P27">
        <v>38.53</v>
      </c>
      <c r="Q27" s="3">
        <v>45723</v>
      </c>
      <c r="R27">
        <v>37.85</v>
      </c>
    </row>
    <row r="28" spans="2:18" x14ac:dyDescent="0.2">
      <c r="G28" s="3">
        <v>45722</v>
      </c>
      <c r="H28">
        <v>24584.04</v>
      </c>
      <c r="I28" s="3">
        <v>45722</v>
      </c>
      <c r="J28">
        <v>116.84</v>
      </c>
      <c r="K28" s="3">
        <v>45722</v>
      </c>
      <c r="L28">
        <v>157.86000000000001</v>
      </c>
      <c r="M28" s="3">
        <v>45722</v>
      </c>
      <c r="N28">
        <v>5.45</v>
      </c>
      <c r="O28" s="3">
        <v>45722</v>
      </c>
      <c r="P28">
        <v>36.75</v>
      </c>
      <c r="Q28" s="3">
        <v>45722</v>
      </c>
      <c r="R28">
        <v>37.08</v>
      </c>
    </row>
    <row r="29" spans="2:18" x14ac:dyDescent="0.2">
      <c r="G29" s="3">
        <v>45721</v>
      </c>
      <c r="H29">
        <v>24870.82</v>
      </c>
      <c r="I29" s="3">
        <v>45721</v>
      </c>
      <c r="J29">
        <v>130.38</v>
      </c>
      <c r="K29" s="3">
        <v>45721</v>
      </c>
      <c r="L29">
        <v>160.16999999999999</v>
      </c>
      <c r="M29" s="3">
        <v>45721</v>
      </c>
      <c r="N29">
        <v>5.46</v>
      </c>
      <c r="O29" s="3">
        <v>45721</v>
      </c>
      <c r="P29">
        <v>36.35</v>
      </c>
      <c r="Q29" s="3">
        <v>45721</v>
      </c>
      <c r="R29">
        <v>37.31</v>
      </c>
    </row>
    <row r="30" spans="2:18" x14ac:dyDescent="0.2">
      <c r="G30" s="3">
        <v>45720</v>
      </c>
      <c r="H30">
        <v>24572</v>
      </c>
      <c r="I30" s="3">
        <v>45720</v>
      </c>
      <c r="J30">
        <v>130.55000000000001</v>
      </c>
      <c r="K30" s="3">
        <v>45720</v>
      </c>
      <c r="L30">
        <v>156.1</v>
      </c>
      <c r="M30" s="3">
        <v>45720</v>
      </c>
      <c r="N30">
        <v>5.43</v>
      </c>
      <c r="O30" s="3">
        <v>45720</v>
      </c>
      <c r="P30">
        <v>36.54</v>
      </c>
      <c r="Q30" s="3">
        <v>45720</v>
      </c>
      <c r="R30">
        <v>37.020000000000003</v>
      </c>
    </row>
    <row r="31" spans="2:18" x14ac:dyDescent="0.2">
      <c r="G31" s="3">
        <v>45719</v>
      </c>
      <c r="H31">
        <v>25001.57</v>
      </c>
      <c r="I31" s="3">
        <v>45719</v>
      </c>
      <c r="J31">
        <v>134.49</v>
      </c>
      <c r="K31" s="3">
        <v>45719</v>
      </c>
      <c r="L31">
        <v>161.07</v>
      </c>
      <c r="M31" s="3">
        <v>45719</v>
      </c>
      <c r="N31">
        <v>5.44</v>
      </c>
      <c r="O31" s="3">
        <v>45719</v>
      </c>
      <c r="P31">
        <v>36.799999999999997</v>
      </c>
      <c r="Q31" s="3">
        <v>45719</v>
      </c>
      <c r="R31">
        <v>36.94</v>
      </c>
    </row>
    <row r="32" spans="2:18" x14ac:dyDescent="0.2">
      <c r="G32" s="3">
        <v>45716</v>
      </c>
      <c r="H32">
        <v>25393.45</v>
      </c>
      <c r="I32" s="3">
        <v>45716</v>
      </c>
      <c r="J32">
        <v>154.49</v>
      </c>
      <c r="K32" s="3">
        <v>45716</v>
      </c>
      <c r="L32">
        <v>157.69</v>
      </c>
      <c r="M32" s="3">
        <v>45716</v>
      </c>
      <c r="N32">
        <v>5.44</v>
      </c>
      <c r="O32" s="3">
        <v>45716</v>
      </c>
      <c r="P32">
        <v>36.880000000000003</v>
      </c>
      <c r="Q32" s="3">
        <v>45716</v>
      </c>
      <c r="R32">
        <v>37.36</v>
      </c>
    </row>
    <row r="33" spans="7:18" x14ac:dyDescent="0.2">
      <c r="G33" s="3">
        <v>45715</v>
      </c>
      <c r="H33">
        <v>25128.240000000002</v>
      </c>
      <c r="I33" s="3">
        <v>45715</v>
      </c>
      <c r="J33">
        <v>155.94999999999999</v>
      </c>
      <c r="K33" s="3">
        <v>45715</v>
      </c>
      <c r="L33">
        <v>160.59</v>
      </c>
      <c r="M33" s="3">
        <v>45715</v>
      </c>
      <c r="N33">
        <v>5.44</v>
      </c>
      <c r="O33" s="3">
        <v>45715</v>
      </c>
      <c r="P33">
        <v>37.549999999999997</v>
      </c>
      <c r="Q33" s="3">
        <v>45715</v>
      </c>
      <c r="R33">
        <v>37.43</v>
      </c>
    </row>
    <row r="34" spans="7:18" x14ac:dyDescent="0.2">
      <c r="G34" s="3">
        <v>45714</v>
      </c>
      <c r="H34">
        <v>25328.36</v>
      </c>
      <c r="I34" s="3">
        <v>45714</v>
      </c>
      <c r="J34">
        <v>160.13</v>
      </c>
      <c r="K34" s="3">
        <v>45714</v>
      </c>
      <c r="L34">
        <v>152.66</v>
      </c>
      <c r="M34" s="3">
        <v>45714</v>
      </c>
      <c r="N34">
        <v>5.44</v>
      </c>
      <c r="O34" s="3">
        <v>45714</v>
      </c>
      <c r="P34">
        <v>39.130000000000003</v>
      </c>
      <c r="Q34" s="3">
        <v>45714</v>
      </c>
      <c r="R34">
        <v>38.07</v>
      </c>
    </row>
    <row r="35" spans="7:18" x14ac:dyDescent="0.2">
      <c r="G35" s="3">
        <v>45713</v>
      </c>
      <c r="H35">
        <v>25203.98</v>
      </c>
      <c r="I35" s="3">
        <v>45713</v>
      </c>
      <c r="J35">
        <v>151.82</v>
      </c>
      <c r="K35" s="3">
        <v>45713</v>
      </c>
      <c r="L35">
        <v>153.75</v>
      </c>
      <c r="M35" s="3">
        <v>45713</v>
      </c>
      <c r="N35">
        <v>5.42</v>
      </c>
      <c r="O35" s="3">
        <v>45713</v>
      </c>
      <c r="P35">
        <v>38.42</v>
      </c>
      <c r="Q35" s="3">
        <v>45713</v>
      </c>
      <c r="R35">
        <v>38.270000000000003</v>
      </c>
    </row>
    <row r="36" spans="7:18" x14ac:dyDescent="0.2">
      <c r="G36" s="3">
        <v>45712</v>
      </c>
      <c r="H36">
        <v>25151.26</v>
      </c>
      <c r="I36" s="3">
        <v>45712</v>
      </c>
      <c r="J36">
        <v>158.11000000000001</v>
      </c>
      <c r="K36" s="3">
        <v>45712</v>
      </c>
      <c r="L36">
        <v>151.4</v>
      </c>
      <c r="M36" s="3">
        <v>45712</v>
      </c>
      <c r="N36">
        <v>5.45</v>
      </c>
      <c r="O36" s="3">
        <v>45712</v>
      </c>
      <c r="P36">
        <v>38.090000000000003</v>
      </c>
      <c r="Q36" s="3">
        <v>45712</v>
      </c>
      <c r="R36">
        <v>38.39</v>
      </c>
    </row>
    <row r="37" spans="7:18" x14ac:dyDescent="0.2">
      <c r="G37" s="3">
        <v>45709</v>
      </c>
      <c r="H37">
        <v>25147.03</v>
      </c>
      <c r="I37" s="3">
        <v>45709</v>
      </c>
      <c r="J37">
        <v>169.73</v>
      </c>
      <c r="K37" s="3">
        <v>45709</v>
      </c>
      <c r="L37">
        <v>155.11000000000001</v>
      </c>
      <c r="M37" s="3">
        <v>45709</v>
      </c>
      <c r="N37">
        <v>5.43</v>
      </c>
      <c r="O37" s="3">
        <v>45709</v>
      </c>
      <c r="P37">
        <v>38.799999999999997</v>
      </c>
      <c r="Q37" s="3">
        <v>45709</v>
      </c>
      <c r="R37">
        <v>38.17</v>
      </c>
    </row>
    <row r="38" spans="7:18" x14ac:dyDescent="0.2">
      <c r="G38" s="3">
        <v>45708</v>
      </c>
      <c r="H38">
        <v>25514.080000000002</v>
      </c>
      <c r="I38" s="3">
        <v>45708</v>
      </c>
      <c r="J38">
        <v>177.17</v>
      </c>
      <c r="K38" s="3">
        <v>45708</v>
      </c>
      <c r="L38">
        <v>157.41999999999999</v>
      </c>
      <c r="M38" s="3">
        <v>45708</v>
      </c>
      <c r="N38">
        <v>5.45</v>
      </c>
      <c r="O38" s="3">
        <v>45708</v>
      </c>
      <c r="P38">
        <v>39.1</v>
      </c>
      <c r="Q38" s="3">
        <v>45708</v>
      </c>
      <c r="R38">
        <v>38.9</v>
      </c>
    </row>
    <row r="39" spans="7:18" x14ac:dyDescent="0.2">
      <c r="G39" s="3">
        <v>45707</v>
      </c>
      <c r="H39">
        <v>25626.16</v>
      </c>
      <c r="I39" s="3">
        <v>45707</v>
      </c>
      <c r="J39">
        <v>187.31</v>
      </c>
      <c r="K39" s="3">
        <v>45707</v>
      </c>
      <c r="L39">
        <v>159.96</v>
      </c>
      <c r="M39" s="3">
        <v>45707</v>
      </c>
      <c r="N39">
        <v>5.44</v>
      </c>
      <c r="O39" s="3">
        <v>45707</v>
      </c>
      <c r="P39">
        <v>38.549999999999997</v>
      </c>
      <c r="Q39" s="3">
        <v>45707</v>
      </c>
      <c r="R39">
        <v>39.11</v>
      </c>
    </row>
    <row r="40" spans="7:18" x14ac:dyDescent="0.2">
      <c r="G40" s="3">
        <v>45706</v>
      </c>
      <c r="H40">
        <v>25648.84</v>
      </c>
      <c r="I40" s="3">
        <v>45706</v>
      </c>
      <c r="J40">
        <v>187.71</v>
      </c>
      <c r="K40" s="3">
        <v>45706</v>
      </c>
      <c r="L40">
        <v>161.97999999999999</v>
      </c>
      <c r="M40" s="3">
        <v>45706</v>
      </c>
      <c r="N40">
        <v>5.42</v>
      </c>
      <c r="O40" s="3">
        <v>45706</v>
      </c>
      <c r="P40">
        <v>39.049999999999997</v>
      </c>
      <c r="Q40" s="3">
        <v>45706</v>
      </c>
      <c r="R40">
        <v>39.49</v>
      </c>
    </row>
    <row r="41" spans="7:18" x14ac:dyDescent="0.2">
      <c r="G41" s="3">
        <v>45702</v>
      </c>
      <c r="H41">
        <v>25483.23</v>
      </c>
      <c r="I41" s="3">
        <v>45702</v>
      </c>
      <c r="J41">
        <v>187.37</v>
      </c>
      <c r="K41" s="3">
        <v>45702</v>
      </c>
      <c r="L41">
        <v>163.13</v>
      </c>
      <c r="M41" s="3">
        <v>45702</v>
      </c>
      <c r="N41">
        <v>5.43</v>
      </c>
      <c r="O41" s="3">
        <v>45702</v>
      </c>
      <c r="P41">
        <v>39.25</v>
      </c>
      <c r="Q41" s="3">
        <v>45702</v>
      </c>
      <c r="R41">
        <v>40.25</v>
      </c>
    </row>
    <row r="42" spans="7:18" x14ac:dyDescent="0.2">
      <c r="G42" s="3">
        <v>45701</v>
      </c>
      <c r="H42">
        <v>25698.51</v>
      </c>
      <c r="I42" s="3">
        <v>45701</v>
      </c>
      <c r="J42">
        <v>184.19</v>
      </c>
      <c r="K42" s="3">
        <v>45701</v>
      </c>
      <c r="L42">
        <v>163.82</v>
      </c>
      <c r="M42" s="3">
        <v>45701</v>
      </c>
      <c r="N42">
        <v>5.42</v>
      </c>
      <c r="O42" s="3">
        <v>45701</v>
      </c>
      <c r="P42">
        <v>39.479999999999997</v>
      </c>
      <c r="Q42" s="3">
        <v>45701</v>
      </c>
      <c r="R42">
        <v>40.729999999999997</v>
      </c>
    </row>
    <row r="43" spans="7:18" x14ac:dyDescent="0.2">
      <c r="G43" s="3">
        <v>45700</v>
      </c>
      <c r="H43">
        <v>25563.11</v>
      </c>
      <c r="I43" s="3">
        <v>45700</v>
      </c>
      <c r="J43">
        <v>184.74</v>
      </c>
      <c r="K43" s="3">
        <v>45700</v>
      </c>
      <c r="L43">
        <v>167.43</v>
      </c>
      <c r="M43" s="3">
        <v>45700</v>
      </c>
      <c r="N43">
        <v>5.4</v>
      </c>
      <c r="O43" s="3">
        <v>45700</v>
      </c>
      <c r="P43">
        <v>38.99</v>
      </c>
      <c r="Q43" s="3">
        <v>45700</v>
      </c>
      <c r="R43">
        <v>40.44</v>
      </c>
    </row>
    <row r="44" spans="7:18" x14ac:dyDescent="0.2">
      <c r="G44" s="3">
        <v>45699</v>
      </c>
      <c r="H44">
        <v>25631.83</v>
      </c>
      <c r="I44" s="3">
        <v>45699</v>
      </c>
      <c r="J44">
        <v>180.96</v>
      </c>
      <c r="K44" s="3">
        <v>45699</v>
      </c>
      <c r="L44">
        <v>167.64</v>
      </c>
      <c r="M44" s="3">
        <v>45699</v>
      </c>
      <c r="N44">
        <v>5.4</v>
      </c>
      <c r="O44" s="3">
        <v>45699</v>
      </c>
      <c r="P44">
        <v>38.5</v>
      </c>
      <c r="Q44" s="3">
        <v>45699</v>
      </c>
      <c r="R44">
        <v>40.97</v>
      </c>
    </row>
    <row r="45" spans="7:18" x14ac:dyDescent="0.2">
      <c r="G45" s="3">
        <v>45698</v>
      </c>
      <c r="H45">
        <v>25658.86</v>
      </c>
      <c r="I45" s="3">
        <v>45698</v>
      </c>
      <c r="J45">
        <v>186.33</v>
      </c>
      <c r="K45" s="3">
        <v>45698</v>
      </c>
      <c r="L45">
        <v>170.07</v>
      </c>
      <c r="M45" s="3">
        <v>45698</v>
      </c>
      <c r="N45">
        <v>5.4</v>
      </c>
      <c r="O45" s="3">
        <v>45698</v>
      </c>
      <c r="P45">
        <v>38.729999999999997</v>
      </c>
      <c r="Q45" s="3">
        <v>45698</v>
      </c>
      <c r="R45">
        <v>41.36</v>
      </c>
    </row>
    <row r="46" spans="7:18" x14ac:dyDescent="0.2">
      <c r="G46" s="3">
        <v>45695</v>
      </c>
      <c r="H46">
        <v>25442.91</v>
      </c>
      <c r="I46" s="3">
        <v>45695</v>
      </c>
      <c r="J46">
        <v>185.26</v>
      </c>
      <c r="K46" s="3">
        <v>45695</v>
      </c>
      <c r="L46">
        <v>165.4</v>
      </c>
      <c r="M46" s="3">
        <v>45695</v>
      </c>
      <c r="N46">
        <v>5.41</v>
      </c>
      <c r="O46" s="3">
        <v>45695</v>
      </c>
      <c r="P46">
        <v>39.39</v>
      </c>
      <c r="Q46" s="3">
        <v>45695</v>
      </c>
      <c r="R46">
        <v>39.770000000000003</v>
      </c>
    </row>
    <row r="47" spans="7:18" x14ac:dyDescent="0.2">
      <c r="G47" s="3">
        <v>45694</v>
      </c>
      <c r="H47">
        <v>25534.49</v>
      </c>
      <c r="I47" s="3">
        <v>45694</v>
      </c>
      <c r="J47">
        <v>190.7</v>
      </c>
      <c r="K47" s="3">
        <v>45694</v>
      </c>
      <c r="L47">
        <v>171.05</v>
      </c>
      <c r="M47" s="3">
        <v>45694</v>
      </c>
      <c r="N47">
        <v>3.53</v>
      </c>
      <c r="O47" s="3">
        <v>45694</v>
      </c>
      <c r="P47">
        <v>39.03</v>
      </c>
      <c r="Q47" s="3">
        <v>45694</v>
      </c>
      <c r="R47">
        <v>42.26</v>
      </c>
    </row>
    <row r="48" spans="7:18" x14ac:dyDescent="0.2">
      <c r="G48" s="3">
        <v>45693</v>
      </c>
      <c r="H48">
        <v>25569.84</v>
      </c>
      <c r="I48" s="3">
        <v>45693</v>
      </c>
      <c r="J48">
        <v>205.62</v>
      </c>
      <c r="K48" s="3">
        <v>45693</v>
      </c>
      <c r="L48">
        <v>173.72</v>
      </c>
      <c r="M48" s="3">
        <v>45693</v>
      </c>
      <c r="N48">
        <v>3.54</v>
      </c>
      <c r="O48" s="3">
        <v>45693</v>
      </c>
      <c r="P48">
        <v>38.380000000000003</v>
      </c>
      <c r="Q48" s="3">
        <v>45693</v>
      </c>
      <c r="R48">
        <v>43.52</v>
      </c>
    </row>
    <row r="49" spans="7:18" x14ac:dyDescent="0.2">
      <c r="G49" s="3">
        <v>45692</v>
      </c>
      <c r="H49">
        <v>25279.35</v>
      </c>
      <c r="I49" s="3">
        <v>45692</v>
      </c>
      <c r="J49">
        <v>189.03</v>
      </c>
      <c r="K49" s="3">
        <v>45692</v>
      </c>
      <c r="L49">
        <v>170.65</v>
      </c>
      <c r="M49" s="3">
        <v>45692</v>
      </c>
      <c r="N49">
        <v>3.43</v>
      </c>
      <c r="O49" s="3">
        <v>45692</v>
      </c>
      <c r="P49">
        <v>39.67</v>
      </c>
      <c r="Q49" s="3">
        <v>45692</v>
      </c>
      <c r="R49">
        <v>42.05</v>
      </c>
    </row>
    <row r="50" spans="7:18" x14ac:dyDescent="0.2">
      <c r="G50" s="3">
        <v>45691</v>
      </c>
      <c r="H50">
        <v>25241.759999999998</v>
      </c>
      <c r="I50" s="3">
        <v>45691</v>
      </c>
      <c r="J50">
        <v>176.11</v>
      </c>
      <c r="K50" s="3">
        <v>45691</v>
      </c>
      <c r="L50">
        <v>171.05</v>
      </c>
      <c r="M50" s="3">
        <v>45691</v>
      </c>
      <c r="N50">
        <v>3.41</v>
      </c>
      <c r="O50" s="3">
        <v>45691</v>
      </c>
      <c r="P50">
        <v>37.369999999999997</v>
      </c>
      <c r="Q50" s="3">
        <v>45691</v>
      </c>
      <c r="R50">
        <v>42.45</v>
      </c>
    </row>
    <row r="51" spans="7:18" x14ac:dyDescent="0.2">
      <c r="G51" s="3">
        <v>45688</v>
      </c>
      <c r="H51">
        <v>25533.1</v>
      </c>
      <c r="I51" s="3">
        <v>45688</v>
      </c>
      <c r="J51">
        <v>179.43</v>
      </c>
      <c r="K51" s="3">
        <v>45688</v>
      </c>
      <c r="L51">
        <v>167.33</v>
      </c>
      <c r="M51" s="3">
        <v>45688</v>
      </c>
      <c r="N51">
        <v>3.39</v>
      </c>
      <c r="O51" s="3">
        <v>45688</v>
      </c>
      <c r="P51">
        <v>38.549999999999997</v>
      </c>
      <c r="Q51" s="3">
        <v>45688</v>
      </c>
      <c r="R51">
        <v>42.76</v>
      </c>
    </row>
    <row r="52" spans="7:18" x14ac:dyDescent="0.2">
      <c r="G52" s="3">
        <v>45687</v>
      </c>
      <c r="H52">
        <v>25808.25</v>
      </c>
      <c r="I52" s="3">
        <v>45687</v>
      </c>
      <c r="J52">
        <v>165.78</v>
      </c>
      <c r="K52" s="3">
        <v>45687</v>
      </c>
      <c r="L52">
        <v>170</v>
      </c>
      <c r="M52" s="3">
        <v>45687</v>
      </c>
      <c r="N52">
        <v>3.58</v>
      </c>
      <c r="O52" s="3">
        <v>45687</v>
      </c>
      <c r="P52">
        <v>38.200000000000003</v>
      </c>
      <c r="Q52" s="3">
        <v>45687</v>
      </c>
      <c r="R52">
        <v>43.38</v>
      </c>
    </row>
    <row r="53" spans="7:18" x14ac:dyDescent="0.2">
      <c r="G53" s="3">
        <v>45686</v>
      </c>
      <c r="H53">
        <v>25473.3</v>
      </c>
      <c r="I53" s="3">
        <v>45686</v>
      </c>
      <c r="J53">
        <v>144.99</v>
      </c>
      <c r="K53" s="3">
        <v>45686</v>
      </c>
      <c r="L53">
        <v>170.04</v>
      </c>
      <c r="M53" s="3">
        <v>45686</v>
      </c>
      <c r="N53">
        <v>3.52</v>
      </c>
      <c r="O53" s="3">
        <v>45686</v>
      </c>
      <c r="P53">
        <v>38.01</v>
      </c>
      <c r="Q53" s="3">
        <v>45686</v>
      </c>
      <c r="R53">
        <v>42.17</v>
      </c>
    </row>
    <row r="54" spans="7:18" x14ac:dyDescent="0.2">
      <c r="G54" s="3">
        <v>45685</v>
      </c>
      <c r="H54">
        <v>25419.45</v>
      </c>
      <c r="I54" s="3">
        <v>45685</v>
      </c>
      <c r="J54">
        <v>136.05000000000001</v>
      </c>
      <c r="K54" s="3">
        <v>45685</v>
      </c>
      <c r="L54">
        <v>177.55</v>
      </c>
      <c r="M54" s="3">
        <v>45685</v>
      </c>
      <c r="N54">
        <v>3.52</v>
      </c>
      <c r="O54" s="3">
        <v>45685</v>
      </c>
      <c r="P54">
        <v>37.9</v>
      </c>
      <c r="Q54" s="3">
        <v>45685</v>
      </c>
      <c r="R54">
        <v>42.43</v>
      </c>
    </row>
    <row r="55" spans="7:18" x14ac:dyDescent="0.2">
      <c r="G55" s="3">
        <v>45684</v>
      </c>
      <c r="H55">
        <v>25289.15</v>
      </c>
      <c r="I55" s="3">
        <v>45684</v>
      </c>
      <c r="J55">
        <v>125.7</v>
      </c>
      <c r="K55" s="3">
        <v>45684</v>
      </c>
      <c r="L55">
        <v>174.55</v>
      </c>
      <c r="M55" s="3">
        <v>45684</v>
      </c>
      <c r="N55">
        <v>3.51</v>
      </c>
      <c r="O55" s="3">
        <v>45684</v>
      </c>
      <c r="P55">
        <v>38</v>
      </c>
      <c r="Q55" s="3">
        <v>45684</v>
      </c>
      <c r="R55">
        <v>41.22</v>
      </c>
    </row>
    <row r="56" spans="7:18" x14ac:dyDescent="0.2">
      <c r="G56" s="3">
        <v>45681</v>
      </c>
      <c r="H56">
        <v>25468.49</v>
      </c>
      <c r="I56" s="3">
        <v>45681</v>
      </c>
      <c r="J56">
        <v>174.68</v>
      </c>
      <c r="K56" s="3">
        <v>45681</v>
      </c>
      <c r="L56">
        <v>176.33</v>
      </c>
      <c r="M56" s="3">
        <v>45681</v>
      </c>
      <c r="N56">
        <v>3.64</v>
      </c>
      <c r="O56" s="3">
        <v>45681</v>
      </c>
      <c r="P56">
        <v>39.590000000000003</v>
      </c>
      <c r="Q56" s="3">
        <v>45681</v>
      </c>
      <c r="R56">
        <v>41.37</v>
      </c>
    </row>
    <row r="57" spans="7:18" x14ac:dyDescent="0.2">
      <c r="G57" s="3">
        <v>45680</v>
      </c>
      <c r="H57">
        <v>25434.080000000002</v>
      </c>
      <c r="I57" s="3">
        <v>45680</v>
      </c>
      <c r="J57">
        <v>176.65</v>
      </c>
      <c r="K57" s="3">
        <v>45680</v>
      </c>
      <c r="L57">
        <v>176.78</v>
      </c>
      <c r="M57" s="3">
        <v>45680</v>
      </c>
      <c r="N57">
        <v>3.58</v>
      </c>
      <c r="O57" s="3">
        <v>45680</v>
      </c>
      <c r="P57">
        <v>39</v>
      </c>
      <c r="Q57" s="3">
        <v>45680</v>
      </c>
      <c r="R57">
        <v>41.16</v>
      </c>
    </row>
    <row r="58" spans="7:18" x14ac:dyDescent="0.2">
      <c r="G58" s="3">
        <v>45679</v>
      </c>
      <c r="H58">
        <v>25311.5</v>
      </c>
      <c r="I58" s="3">
        <v>45679</v>
      </c>
      <c r="J58">
        <v>177.33</v>
      </c>
      <c r="K58" s="3">
        <v>45679</v>
      </c>
      <c r="L58">
        <v>176.17</v>
      </c>
      <c r="M58" s="3">
        <v>45679</v>
      </c>
      <c r="N58">
        <v>3.45</v>
      </c>
      <c r="O58" s="3">
        <v>45679</v>
      </c>
      <c r="P58">
        <v>39</v>
      </c>
      <c r="Q58" s="3">
        <v>45679</v>
      </c>
      <c r="R58">
        <v>40.85</v>
      </c>
    </row>
    <row r="59" spans="7:18" x14ac:dyDescent="0.2">
      <c r="G59" s="3">
        <v>45678</v>
      </c>
      <c r="H59">
        <v>25281.63</v>
      </c>
      <c r="I59" s="3">
        <v>45678</v>
      </c>
      <c r="J59">
        <v>169.4</v>
      </c>
      <c r="K59" s="3">
        <v>45678</v>
      </c>
      <c r="L59">
        <v>174.41</v>
      </c>
      <c r="M59" s="3">
        <v>45678</v>
      </c>
      <c r="N59">
        <v>3.59</v>
      </c>
      <c r="O59" s="3">
        <v>45678</v>
      </c>
      <c r="P59">
        <v>38.76</v>
      </c>
      <c r="Q59" s="3">
        <v>45678</v>
      </c>
      <c r="R59">
        <v>40.64</v>
      </c>
    </row>
    <row r="60" spans="7:18" x14ac:dyDescent="0.2">
      <c r="G60" s="3">
        <v>45677</v>
      </c>
      <c r="H60">
        <v>25171.58</v>
      </c>
      <c r="I60" s="3">
        <v>45677</v>
      </c>
      <c r="J60">
        <v>164.41</v>
      </c>
      <c r="K60" s="3">
        <v>45677</v>
      </c>
      <c r="L60">
        <v>172.41</v>
      </c>
      <c r="M60" s="3">
        <v>45677</v>
      </c>
      <c r="N60">
        <v>3.6</v>
      </c>
      <c r="O60" s="3">
        <v>45677</v>
      </c>
      <c r="P60">
        <v>41.07</v>
      </c>
      <c r="Q60" s="3">
        <v>45677</v>
      </c>
      <c r="R60">
        <v>40.36</v>
      </c>
    </row>
    <row r="61" spans="7:18" x14ac:dyDescent="0.2">
      <c r="G61" s="3">
        <v>45674</v>
      </c>
      <c r="H61">
        <v>25067.919999999998</v>
      </c>
      <c r="I61" s="3">
        <v>45674</v>
      </c>
      <c r="J61">
        <v>163.86</v>
      </c>
      <c r="K61" s="3">
        <v>45674</v>
      </c>
      <c r="L61">
        <v>175.65</v>
      </c>
      <c r="M61" s="3">
        <v>45674</v>
      </c>
      <c r="N61">
        <v>3.49</v>
      </c>
      <c r="O61" s="3">
        <v>45674</v>
      </c>
      <c r="P61">
        <v>39.5</v>
      </c>
      <c r="Q61" s="3">
        <v>45674</v>
      </c>
      <c r="R61">
        <v>40.17</v>
      </c>
    </row>
    <row r="62" spans="7:18" x14ac:dyDescent="0.2">
      <c r="G62" s="3">
        <v>45673</v>
      </c>
      <c r="H62">
        <v>24846.2</v>
      </c>
      <c r="I62" s="3">
        <v>45673</v>
      </c>
      <c r="J62">
        <v>159.37</v>
      </c>
      <c r="K62" s="3">
        <v>45673</v>
      </c>
      <c r="L62">
        <v>174</v>
      </c>
      <c r="M62" s="3">
        <v>45673</v>
      </c>
      <c r="N62">
        <v>3.55</v>
      </c>
      <c r="O62" s="3">
        <v>45673</v>
      </c>
      <c r="P62">
        <v>38.24</v>
      </c>
      <c r="Q62" s="3">
        <v>45673</v>
      </c>
      <c r="R62">
        <v>40.520000000000003</v>
      </c>
    </row>
    <row r="63" spans="7:18" x14ac:dyDescent="0.2">
      <c r="G63" s="3">
        <v>45672</v>
      </c>
      <c r="H63">
        <v>24789.3</v>
      </c>
      <c r="I63" s="3">
        <v>45672</v>
      </c>
      <c r="J63">
        <v>153.86000000000001</v>
      </c>
      <c r="K63" s="3">
        <v>45672</v>
      </c>
      <c r="L63">
        <v>173.23</v>
      </c>
      <c r="M63" s="3">
        <v>45672</v>
      </c>
      <c r="N63">
        <v>3.69</v>
      </c>
      <c r="O63" s="3">
        <v>45672</v>
      </c>
      <c r="P63">
        <v>39.020000000000003</v>
      </c>
      <c r="Q63" s="3">
        <v>45672</v>
      </c>
      <c r="R63">
        <v>40.39</v>
      </c>
    </row>
    <row r="64" spans="7:18" x14ac:dyDescent="0.2">
      <c r="G64" s="3">
        <v>45671</v>
      </c>
      <c r="H64">
        <v>24588.58</v>
      </c>
      <c r="I64" s="3">
        <v>45671</v>
      </c>
      <c r="J64">
        <v>148</v>
      </c>
      <c r="K64" s="3">
        <v>45671</v>
      </c>
      <c r="L64">
        <v>171</v>
      </c>
      <c r="M64" s="3">
        <v>45671</v>
      </c>
      <c r="N64">
        <v>3.55</v>
      </c>
      <c r="O64" s="3">
        <v>45671</v>
      </c>
      <c r="P64">
        <v>38.5</v>
      </c>
      <c r="Q64" s="3">
        <v>45671</v>
      </c>
      <c r="R64">
        <v>39.549999999999997</v>
      </c>
    </row>
    <row r="65" spans="7:18" x14ac:dyDescent="0.2">
      <c r="G65" s="3">
        <v>45670</v>
      </c>
      <c r="H65">
        <v>24536.32</v>
      </c>
      <c r="I65" s="3">
        <v>45670</v>
      </c>
      <c r="J65">
        <v>144.49</v>
      </c>
      <c r="K65" s="3">
        <v>45670</v>
      </c>
      <c r="L65">
        <v>170.25</v>
      </c>
      <c r="M65" s="3">
        <v>45670</v>
      </c>
      <c r="N65">
        <v>3.65</v>
      </c>
      <c r="O65" s="3">
        <v>45670</v>
      </c>
      <c r="P65">
        <v>39.32</v>
      </c>
      <c r="Q65" s="3">
        <v>45670</v>
      </c>
      <c r="R65">
        <v>39.130000000000003</v>
      </c>
    </row>
    <row r="66" spans="7:18" x14ac:dyDescent="0.2">
      <c r="G66" s="3">
        <v>45667</v>
      </c>
      <c r="H66">
        <v>24767.73</v>
      </c>
      <c r="I66" s="3">
        <v>45667</v>
      </c>
      <c r="J66">
        <v>149.55000000000001</v>
      </c>
      <c r="K66" s="3">
        <v>45667</v>
      </c>
      <c r="L66">
        <v>170.64</v>
      </c>
      <c r="M66" s="3">
        <v>45667</v>
      </c>
      <c r="N66">
        <v>3.51</v>
      </c>
      <c r="O66" s="3">
        <v>45667</v>
      </c>
      <c r="P66">
        <v>39.78</v>
      </c>
      <c r="Q66" s="3">
        <v>45667</v>
      </c>
      <c r="R66">
        <v>39.659999999999997</v>
      </c>
    </row>
    <row r="67" spans="7:18" x14ac:dyDescent="0.2">
      <c r="G67" s="3">
        <v>45666</v>
      </c>
      <c r="H67">
        <v>25073.360000000001</v>
      </c>
      <c r="I67" s="3">
        <v>45666</v>
      </c>
      <c r="J67">
        <v>148.11000000000001</v>
      </c>
      <c r="K67" s="3">
        <v>45666</v>
      </c>
      <c r="L67">
        <v>170.99</v>
      </c>
      <c r="M67" s="3">
        <v>45666</v>
      </c>
      <c r="N67">
        <v>3.62</v>
      </c>
      <c r="O67" s="3">
        <v>45666</v>
      </c>
      <c r="P67">
        <v>40.25</v>
      </c>
      <c r="Q67" s="3">
        <v>45666</v>
      </c>
      <c r="R67">
        <v>40.32</v>
      </c>
    </row>
    <row r="68" spans="7:18" x14ac:dyDescent="0.2">
      <c r="G68" s="3">
        <v>45665</v>
      </c>
      <c r="H68">
        <v>25051.68</v>
      </c>
      <c r="I68" s="3">
        <v>45665</v>
      </c>
      <c r="J68">
        <v>147.41999999999999</v>
      </c>
      <c r="K68" s="3">
        <v>45665</v>
      </c>
      <c r="L68">
        <v>171.31</v>
      </c>
      <c r="M68" s="3">
        <v>45665</v>
      </c>
      <c r="N68">
        <v>3.53</v>
      </c>
      <c r="O68" s="3">
        <v>45665</v>
      </c>
      <c r="P68">
        <v>40.25</v>
      </c>
      <c r="Q68" s="3">
        <v>45665</v>
      </c>
      <c r="R68">
        <v>40.1</v>
      </c>
    </row>
    <row r="69" spans="7:18" x14ac:dyDescent="0.2">
      <c r="G69" s="3">
        <v>45664</v>
      </c>
      <c r="H69">
        <v>24929.89</v>
      </c>
      <c r="I69" s="3">
        <v>45664</v>
      </c>
      <c r="J69">
        <v>140.97</v>
      </c>
      <c r="K69" s="3">
        <v>45664</v>
      </c>
      <c r="L69">
        <v>170.4</v>
      </c>
      <c r="M69" s="3">
        <v>45664</v>
      </c>
      <c r="N69">
        <v>3.63</v>
      </c>
      <c r="O69" s="3">
        <v>45664</v>
      </c>
      <c r="P69">
        <v>40.4</v>
      </c>
      <c r="Q69" s="3">
        <v>45664</v>
      </c>
      <c r="R69">
        <v>40.549999999999997</v>
      </c>
    </row>
    <row r="70" spans="7:18" x14ac:dyDescent="0.2">
      <c r="G70" s="3">
        <v>45663</v>
      </c>
      <c r="H70">
        <v>24999.79</v>
      </c>
      <c r="I70" s="3">
        <v>45663</v>
      </c>
      <c r="J70">
        <v>141.65</v>
      </c>
      <c r="K70" s="3">
        <v>45663</v>
      </c>
      <c r="L70">
        <v>173.22</v>
      </c>
      <c r="M70" s="3">
        <v>45663</v>
      </c>
      <c r="N70">
        <v>3.69</v>
      </c>
      <c r="O70" s="3">
        <v>45663</v>
      </c>
      <c r="P70">
        <v>40.159999999999997</v>
      </c>
      <c r="Q70" s="3">
        <v>45663</v>
      </c>
      <c r="R70">
        <v>41.39</v>
      </c>
    </row>
    <row r="71" spans="7:18" x14ac:dyDescent="0.2">
      <c r="G71" s="3">
        <v>45660</v>
      </c>
      <c r="H71">
        <v>25073.54</v>
      </c>
      <c r="I71" s="3">
        <v>45660</v>
      </c>
      <c r="J71">
        <v>139.94999999999999</v>
      </c>
      <c r="K71" s="3">
        <v>45660</v>
      </c>
      <c r="L71">
        <v>173.65</v>
      </c>
      <c r="M71" s="3">
        <v>45660</v>
      </c>
      <c r="N71">
        <v>3.71</v>
      </c>
      <c r="O71" s="3">
        <v>45660</v>
      </c>
      <c r="P71">
        <v>40.9</v>
      </c>
      <c r="Q71" s="3">
        <v>45660</v>
      </c>
      <c r="R71">
        <v>41.28</v>
      </c>
    </row>
    <row r="72" spans="7:18" x14ac:dyDescent="0.2">
      <c r="G72" s="3">
        <v>45659</v>
      </c>
      <c r="H72">
        <v>24898.03</v>
      </c>
      <c r="I72" s="3">
        <v>45659</v>
      </c>
      <c r="J72">
        <v>134.25</v>
      </c>
      <c r="K72" s="3">
        <v>45659</v>
      </c>
      <c r="L72">
        <v>173.19</v>
      </c>
      <c r="M72" s="3">
        <v>45659</v>
      </c>
      <c r="N72">
        <v>3.4</v>
      </c>
      <c r="O72" s="3">
        <v>45659</v>
      </c>
      <c r="P72">
        <v>41.13</v>
      </c>
      <c r="Q72" s="3">
        <v>45659</v>
      </c>
      <c r="R72">
        <v>40.700000000000003</v>
      </c>
    </row>
    <row r="73" spans="7:18" x14ac:dyDescent="0.2">
      <c r="G73" s="3">
        <v>45657</v>
      </c>
      <c r="H73">
        <v>24727.94</v>
      </c>
      <c r="I73" s="3">
        <v>45657</v>
      </c>
      <c r="J73">
        <v>132.66</v>
      </c>
      <c r="K73" s="3">
        <v>45657</v>
      </c>
      <c r="L73">
        <v>173.14</v>
      </c>
      <c r="M73" s="3">
        <v>45657</v>
      </c>
      <c r="N73">
        <v>3.27</v>
      </c>
      <c r="O73" s="3">
        <v>45657</v>
      </c>
      <c r="P73">
        <v>41.14</v>
      </c>
      <c r="Q73" s="3">
        <v>45657</v>
      </c>
      <c r="R73">
        <v>40.68</v>
      </c>
    </row>
    <row r="74" spans="7:18" x14ac:dyDescent="0.2">
      <c r="G74" s="3">
        <v>45656</v>
      </c>
      <c r="H74">
        <v>24620.59</v>
      </c>
      <c r="I74" s="3">
        <v>45656</v>
      </c>
      <c r="J74">
        <v>134.80000000000001</v>
      </c>
      <c r="K74" s="3">
        <v>45656</v>
      </c>
      <c r="L74">
        <v>173.71</v>
      </c>
      <c r="M74" s="3">
        <v>45656</v>
      </c>
      <c r="N74">
        <v>3.23</v>
      </c>
      <c r="O74" s="3">
        <v>45656</v>
      </c>
      <c r="P74">
        <v>41.08</v>
      </c>
      <c r="Q74" s="3">
        <v>45656</v>
      </c>
      <c r="R74">
        <v>40.78</v>
      </c>
    </row>
    <row r="75" spans="7:18" x14ac:dyDescent="0.2">
      <c r="G75" s="3">
        <v>45653</v>
      </c>
      <c r="H75">
        <v>24796.400000000001</v>
      </c>
      <c r="I75" s="3">
        <v>45653</v>
      </c>
      <c r="J75">
        <v>137.1</v>
      </c>
      <c r="K75" s="3">
        <v>45653</v>
      </c>
      <c r="L75">
        <v>175.85</v>
      </c>
      <c r="M75" s="3">
        <v>45653</v>
      </c>
      <c r="N75">
        <v>3.28</v>
      </c>
      <c r="O75" s="3">
        <v>45653</v>
      </c>
      <c r="P75">
        <v>41.16</v>
      </c>
      <c r="Q75" s="3">
        <v>45653</v>
      </c>
      <c r="R75">
        <v>40.82</v>
      </c>
    </row>
    <row r="76" spans="7:18" x14ac:dyDescent="0.2">
      <c r="G76" s="3">
        <v>45650</v>
      </c>
      <c r="H76">
        <v>24846.82</v>
      </c>
      <c r="I76" s="3">
        <v>45650</v>
      </c>
      <c r="J76">
        <v>139.91999999999999</v>
      </c>
      <c r="K76" s="3">
        <v>45650</v>
      </c>
      <c r="L76">
        <v>178.61</v>
      </c>
      <c r="M76" s="3">
        <v>45650</v>
      </c>
      <c r="N76">
        <v>3.26</v>
      </c>
      <c r="O76" s="3">
        <v>45650</v>
      </c>
      <c r="P76">
        <v>42.12</v>
      </c>
      <c r="Q76" s="3">
        <v>45650</v>
      </c>
      <c r="R76">
        <v>40.36</v>
      </c>
    </row>
    <row r="77" spans="7:18" x14ac:dyDescent="0.2">
      <c r="G77" s="3">
        <v>45649</v>
      </c>
      <c r="H77">
        <v>24748.98</v>
      </c>
      <c r="I77" s="3">
        <v>45649</v>
      </c>
      <c r="J77">
        <v>140.29</v>
      </c>
      <c r="K77" s="3">
        <v>45649</v>
      </c>
      <c r="L77">
        <v>177.33</v>
      </c>
      <c r="M77" s="3">
        <v>45649</v>
      </c>
      <c r="N77">
        <v>3.17</v>
      </c>
      <c r="O77" s="3">
        <v>45649</v>
      </c>
      <c r="P77">
        <v>41.39</v>
      </c>
      <c r="Q77" s="3">
        <v>45649</v>
      </c>
      <c r="R77">
        <v>40.15</v>
      </c>
    </row>
    <row r="78" spans="7:18" x14ac:dyDescent="0.2">
      <c r="G78" s="3">
        <v>45646</v>
      </c>
      <c r="H78">
        <v>24599.48</v>
      </c>
      <c r="I78" s="3">
        <v>45646</v>
      </c>
      <c r="J78">
        <v>136.94</v>
      </c>
      <c r="K78" s="3">
        <v>45646</v>
      </c>
      <c r="L78">
        <v>177.35</v>
      </c>
      <c r="M78" s="3">
        <v>45646</v>
      </c>
      <c r="N78">
        <v>3.27</v>
      </c>
      <c r="O78" s="3">
        <v>45646</v>
      </c>
      <c r="P78">
        <v>41.21</v>
      </c>
      <c r="Q78" s="3">
        <v>45646</v>
      </c>
      <c r="R78">
        <v>39.619999999999997</v>
      </c>
    </row>
    <row r="79" spans="7:18" x14ac:dyDescent="0.2">
      <c r="G79" s="3">
        <v>45645</v>
      </c>
      <c r="H79">
        <v>24413.94</v>
      </c>
      <c r="I79" s="3">
        <v>45645</v>
      </c>
      <c r="J79">
        <v>134.04</v>
      </c>
      <c r="K79" s="3">
        <v>45645</v>
      </c>
      <c r="L79">
        <v>176.5</v>
      </c>
      <c r="M79" s="3">
        <v>45645</v>
      </c>
      <c r="N79">
        <v>3.27</v>
      </c>
      <c r="O79" s="3">
        <v>45645</v>
      </c>
      <c r="P79">
        <v>41.7</v>
      </c>
      <c r="Q79" s="3">
        <v>45645</v>
      </c>
      <c r="R79">
        <v>39.44</v>
      </c>
    </row>
    <row r="80" spans="7:18" x14ac:dyDescent="0.2">
      <c r="G80" s="3">
        <v>45644</v>
      </c>
      <c r="H80">
        <v>24557</v>
      </c>
      <c r="I80" s="3">
        <v>45644</v>
      </c>
      <c r="J80">
        <v>132.86000000000001</v>
      </c>
      <c r="K80" s="3">
        <v>45644</v>
      </c>
      <c r="L80">
        <v>176.19</v>
      </c>
      <c r="M80" s="3">
        <v>45644</v>
      </c>
      <c r="N80">
        <v>3.27</v>
      </c>
      <c r="O80" s="3">
        <v>45644</v>
      </c>
      <c r="P80">
        <v>42.2</v>
      </c>
      <c r="Q80" s="3">
        <v>45644</v>
      </c>
      <c r="R80">
        <v>39.56</v>
      </c>
    </row>
    <row r="81" spans="7:18" x14ac:dyDescent="0.2">
      <c r="G81" s="3">
        <v>45643</v>
      </c>
      <c r="H81">
        <v>25119.71</v>
      </c>
      <c r="I81" s="3">
        <v>45643</v>
      </c>
      <c r="J81">
        <v>140</v>
      </c>
      <c r="K81" s="3">
        <v>45643</v>
      </c>
      <c r="L81">
        <v>181.25</v>
      </c>
      <c r="M81" s="3">
        <v>45643</v>
      </c>
      <c r="N81">
        <v>3.42</v>
      </c>
      <c r="O81" s="3">
        <v>45643</v>
      </c>
      <c r="P81">
        <v>43.24</v>
      </c>
      <c r="Q81" s="3">
        <v>45643</v>
      </c>
      <c r="R81">
        <v>40.96</v>
      </c>
    </row>
    <row r="82" spans="7:18" x14ac:dyDescent="0.2">
      <c r="G82" s="3">
        <v>45642</v>
      </c>
      <c r="H82">
        <v>25147.21</v>
      </c>
      <c r="I82" s="3">
        <v>45642</v>
      </c>
      <c r="J82">
        <v>141.07</v>
      </c>
      <c r="K82" s="3">
        <v>45642</v>
      </c>
      <c r="L82">
        <v>181.9</v>
      </c>
      <c r="M82" s="3">
        <v>45642</v>
      </c>
      <c r="N82">
        <v>3.39</v>
      </c>
      <c r="O82" s="3">
        <v>45642</v>
      </c>
      <c r="P82">
        <v>42.15</v>
      </c>
      <c r="Q82" s="3">
        <v>45642</v>
      </c>
      <c r="R82">
        <v>42.12</v>
      </c>
    </row>
    <row r="83" spans="7:18" x14ac:dyDescent="0.2">
      <c r="G83" s="3">
        <v>45639</v>
      </c>
      <c r="H83">
        <v>25274.3</v>
      </c>
      <c r="I83" s="3">
        <v>45639</v>
      </c>
      <c r="J83">
        <v>141.22</v>
      </c>
      <c r="K83" s="3">
        <v>45639</v>
      </c>
      <c r="L83">
        <v>181.9</v>
      </c>
      <c r="M83" s="3">
        <v>45639</v>
      </c>
      <c r="N83">
        <v>3.37</v>
      </c>
      <c r="O83" s="3">
        <v>45639</v>
      </c>
      <c r="P83">
        <v>44.19</v>
      </c>
      <c r="Q83" s="3">
        <v>45639</v>
      </c>
      <c r="R83">
        <v>42</v>
      </c>
    </row>
    <row r="84" spans="7:18" x14ac:dyDescent="0.2">
      <c r="G84" s="3">
        <v>45638</v>
      </c>
      <c r="H84">
        <v>25410.71</v>
      </c>
      <c r="I84" s="3">
        <v>45638</v>
      </c>
      <c r="J84">
        <v>129.41999999999999</v>
      </c>
      <c r="K84" s="3">
        <v>45638</v>
      </c>
      <c r="L84">
        <v>184.67</v>
      </c>
      <c r="M84" s="3">
        <v>45638</v>
      </c>
      <c r="N84">
        <v>3.37</v>
      </c>
      <c r="O84" s="3">
        <v>45638</v>
      </c>
      <c r="P84">
        <v>43.9</v>
      </c>
      <c r="Q84" s="3">
        <v>45638</v>
      </c>
      <c r="R84">
        <v>42.54</v>
      </c>
    </row>
    <row r="85" spans="7:18" x14ac:dyDescent="0.2">
      <c r="G85" s="3">
        <v>45637</v>
      </c>
      <c r="H85">
        <v>25657.7</v>
      </c>
      <c r="I85" s="3">
        <v>45637</v>
      </c>
      <c r="J85">
        <v>127.38</v>
      </c>
      <c r="K85" s="3">
        <v>45637</v>
      </c>
      <c r="L85">
        <v>185.98</v>
      </c>
      <c r="M85" s="3">
        <v>45637</v>
      </c>
      <c r="N85">
        <v>3.41</v>
      </c>
      <c r="O85" s="3">
        <v>45637</v>
      </c>
      <c r="P85">
        <v>44.1</v>
      </c>
      <c r="Q85" s="3">
        <v>45637</v>
      </c>
      <c r="R85">
        <v>43</v>
      </c>
    </row>
    <row r="86" spans="7:18" x14ac:dyDescent="0.2">
      <c r="G86" s="3">
        <v>45636</v>
      </c>
      <c r="H86">
        <v>25504.33</v>
      </c>
      <c r="I86" s="3">
        <v>45636</v>
      </c>
      <c r="J86">
        <v>124.76</v>
      </c>
      <c r="K86" s="3">
        <v>45636</v>
      </c>
      <c r="L86">
        <v>185.47</v>
      </c>
      <c r="M86" s="3">
        <v>45636</v>
      </c>
      <c r="N86">
        <v>3.5</v>
      </c>
      <c r="O86" s="3">
        <v>45636</v>
      </c>
      <c r="P86">
        <v>44.48</v>
      </c>
      <c r="Q86" s="3">
        <v>45636</v>
      </c>
      <c r="R86">
        <v>42.89</v>
      </c>
    </row>
    <row r="87" spans="7:18" x14ac:dyDescent="0.2">
      <c r="G87" s="3">
        <v>45635</v>
      </c>
      <c r="H87">
        <v>25625.42</v>
      </c>
      <c r="I87" s="3">
        <v>45635</v>
      </c>
      <c r="J87">
        <v>128.28</v>
      </c>
      <c r="K87" s="3">
        <v>45635</v>
      </c>
      <c r="L87">
        <v>184.07</v>
      </c>
      <c r="M87" s="3">
        <v>45635</v>
      </c>
      <c r="N87">
        <v>3.42</v>
      </c>
      <c r="O87" s="3">
        <v>45635</v>
      </c>
      <c r="P87">
        <v>44.13</v>
      </c>
      <c r="Q87" s="3">
        <v>45635</v>
      </c>
      <c r="R87">
        <v>43.28</v>
      </c>
    </row>
    <row r="88" spans="7:18" x14ac:dyDescent="0.2">
      <c r="G88" s="3">
        <v>45632</v>
      </c>
      <c r="H88">
        <v>25691.8</v>
      </c>
      <c r="I88" s="3">
        <v>45632</v>
      </c>
      <c r="J88">
        <v>134.27000000000001</v>
      </c>
      <c r="K88" s="3">
        <v>45632</v>
      </c>
      <c r="L88">
        <v>185.48</v>
      </c>
      <c r="M88" s="3">
        <v>45632</v>
      </c>
      <c r="N88">
        <v>3.31</v>
      </c>
      <c r="O88" s="3">
        <v>45632</v>
      </c>
      <c r="P88">
        <v>42.8</v>
      </c>
      <c r="Q88" s="3">
        <v>45632</v>
      </c>
      <c r="R88">
        <v>43.4</v>
      </c>
    </row>
    <row r="89" spans="7:18" x14ac:dyDescent="0.2">
      <c r="G89" s="3">
        <v>45631</v>
      </c>
      <c r="H89">
        <v>25680.04</v>
      </c>
      <c r="I89" s="3">
        <v>45631</v>
      </c>
      <c r="J89">
        <v>129.25</v>
      </c>
      <c r="K89" s="3">
        <v>45631</v>
      </c>
      <c r="L89">
        <v>183.41</v>
      </c>
      <c r="M89" s="3">
        <v>45631</v>
      </c>
      <c r="N89">
        <v>3.34</v>
      </c>
      <c r="O89" s="3">
        <v>45631</v>
      </c>
      <c r="P89">
        <v>43</v>
      </c>
      <c r="Q89" s="3">
        <v>45631</v>
      </c>
      <c r="R89">
        <v>44.41</v>
      </c>
    </row>
    <row r="90" spans="7:18" x14ac:dyDescent="0.2">
      <c r="G90" s="3">
        <v>45630</v>
      </c>
      <c r="H90">
        <v>25641.18</v>
      </c>
      <c r="I90" s="3">
        <v>45630</v>
      </c>
      <c r="J90">
        <v>125.87</v>
      </c>
      <c r="K90" s="3">
        <v>45630</v>
      </c>
      <c r="L90">
        <v>184.56</v>
      </c>
      <c r="M90" s="3">
        <v>45630</v>
      </c>
      <c r="N90">
        <v>3.35</v>
      </c>
      <c r="O90" s="3">
        <v>45630</v>
      </c>
      <c r="P90">
        <v>44.04</v>
      </c>
      <c r="Q90" s="3">
        <v>45630</v>
      </c>
      <c r="R90">
        <v>44.07</v>
      </c>
    </row>
    <row r="91" spans="7:18" x14ac:dyDescent="0.2">
      <c r="G91" s="3">
        <v>45629</v>
      </c>
      <c r="H91">
        <v>25635.73</v>
      </c>
      <c r="I91" s="3">
        <v>45629</v>
      </c>
      <c r="J91">
        <v>125.82</v>
      </c>
      <c r="K91" s="3">
        <v>45629</v>
      </c>
      <c r="L91">
        <v>179.95</v>
      </c>
      <c r="M91" s="3">
        <v>45629</v>
      </c>
      <c r="N91">
        <v>3.29</v>
      </c>
      <c r="O91" s="3">
        <v>45629</v>
      </c>
      <c r="P91">
        <v>45.41</v>
      </c>
      <c r="Q91" s="3">
        <v>45629</v>
      </c>
      <c r="R91">
        <v>43.18</v>
      </c>
    </row>
    <row r="92" spans="7:18" x14ac:dyDescent="0.2">
      <c r="G92" s="3">
        <v>45628</v>
      </c>
      <c r="H92">
        <v>25590.33</v>
      </c>
      <c r="I92" s="3">
        <v>45628</v>
      </c>
      <c r="J92">
        <v>119.4</v>
      </c>
      <c r="K92" s="3">
        <v>45628</v>
      </c>
      <c r="L92">
        <v>182.66</v>
      </c>
      <c r="M92" s="3">
        <v>45628</v>
      </c>
      <c r="N92">
        <v>3.36</v>
      </c>
      <c r="O92" s="3">
        <v>45628</v>
      </c>
      <c r="P92">
        <v>42.63</v>
      </c>
      <c r="Q92" s="3">
        <v>45628</v>
      </c>
      <c r="R92">
        <v>42.51</v>
      </c>
    </row>
    <row r="93" spans="7:18" x14ac:dyDescent="0.2">
      <c r="G93" s="3">
        <v>45625</v>
      </c>
      <c r="H93">
        <v>25648</v>
      </c>
      <c r="I93" s="3">
        <v>45625</v>
      </c>
      <c r="J93">
        <v>120.37</v>
      </c>
      <c r="K93" s="3">
        <v>45625</v>
      </c>
      <c r="L93">
        <v>183.47</v>
      </c>
      <c r="M93" s="3">
        <v>45625</v>
      </c>
      <c r="N93">
        <v>3.36</v>
      </c>
      <c r="O93" s="3">
        <v>45625</v>
      </c>
      <c r="P93">
        <v>42.5</v>
      </c>
      <c r="Q93" s="3">
        <v>45625</v>
      </c>
      <c r="R93">
        <v>42.64</v>
      </c>
    </row>
    <row r="94" spans="7:18" x14ac:dyDescent="0.2">
      <c r="G94" s="3">
        <v>45624</v>
      </c>
      <c r="H94">
        <v>25543.52</v>
      </c>
      <c r="I94" s="3">
        <v>45624</v>
      </c>
      <c r="J94">
        <v>118.87</v>
      </c>
      <c r="K94" s="3">
        <v>45624</v>
      </c>
      <c r="L94">
        <v>179.11</v>
      </c>
      <c r="M94" s="3">
        <v>45624</v>
      </c>
      <c r="N94">
        <v>3.3</v>
      </c>
      <c r="O94" s="3">
        <v>45624</v>
      </c>
      <c r="P94">
        <v>41.73</v>
      </c>
      <c r="Q94" s="3">
        <v>45624</v>
      </c>
      <c r="R94">
        <v>42.98</v>
      </c>
    </row>
    <row r="95" spans="7:18" x14ac:dyDescent="0.2">
      <c r="G95" s="3">
        <v>45623</v>
      </c>
      <c r="H95">
        <v>25488.3</v>
      </c>
      <c r="I95" s="3">
        <v>45623</v>
      </c>
      <c r="J95">
        <v>116.7</v>
      </c>
      <c r="K95" s="3">
        <v>45623</v>
      </c>
      <c r="L95">
        <v>179.43</v>
      </c>
      <c r="M95" s="3">
        <v>45623</v>
      </c>
      <c r="N95">
        <v>3.27</v>
      </c>
      <c r="O95" s="3">
        <v>45623</v>
      </c>
      <c r="P95">
        <v>42.32</v>
      </c>
      <c r="Q95" s="3">
        <v>45623</v>
      </c>
      <c r="R95">
        <v>42.9</v>
      </c>
    </row>
    <row r="96" spans="7:18" x14ac:dyDescent="0.2">
      <c r="G96" s="3">
        <v>45622</v>
      </c>
      <c r="H96">
        <v>25405.14</v>
      </c>
      <c r="I96" s="3">
        <v>45622</v>
      </c>
      <c r="J96">
        <v>121.98</v>
      </c>
      <c r="K96" s="3">
        <v>45622</v>
      </c>
      <c r="L96">
        <v>177.2</v>
      </c>
      <c r="M96" s="3">
        <v>45622</v>
      </c>
      <c r="N96">
        <v>3.28</v>
      </c>
      <c r="O96" s="3">
        <v>45622</v>
      </c>
      <c r="P96">
        <v>42.56</v>
      </c>
      <c r="Q96" s="3">
        <v>45622</v>
      </c>
      <c r="R96">
        <v>42.23</v>
      </c>
    </row>
    <row r="97" spans="7:18" x14ac:dyDescent="0.2">
      <c r="G97" s="3">
        <v>45621</v>
      </c>
      <c r="H97">
        <v>25410.35</v>
      </c>
      <c r="I97" s="3">
        <v>45621</v>
      </c>
      <c r="J97">
        <v>119.71</v>
      </c>
      <c r="K97" s="3">
        <v>45621</v>
      </c>
      <c r="L97">
        <v>171.66</v>
      </c>
      <c r="M97" s="3">
        <v>45621</v>
      </c>
      <c r="N97">
        <v>3.37</v>
      </c>
      <c r="O97" s="3">
        <v>45621</v>
      </c>
      <c r="P97">
        <v>43.23</v>
      </c>
      <c r="Q97" s="3">
        <v>45621</v>
      </c>
      <c r="R97">
        <v>42.33</v>
      </c>
    </row>
    <row r="98" spans="7:18" x14ac:dyDescent="0.2">
      <c r="G98" s="3">
        <v>45618</v>
      </c>
      <c r="H98">
        <v>25444.28</v>
      </c>
      <c r="I98" s="3">
        <v>45618</v>
      </c>
      <c r="J98">
        <v>124.54</v>
      </c>
      <c r="K98" s="3">
        <v>45618</v>
      </c>
      <c r="L98">
        <v>170.59</v>
      </c>
      <c r="M98" s="3">
        <v>45618</v>
      </c>
      <c r="N98">
        <v>3.42</v>
      </c>
      <c r="O98" s="3">
        <v>45618</v>
      </c>
      <c r="P98">
        <v>42.49</v>
      </c>
      <c r="Q98" s="3">
        <v>45618</v>
      </c>
      <c r="R98">
        <v>41.17</v>
      </c>
    </row>
    <row r="99" spans="7:18" x14ac:dyDescent="0.2">
      <c r="G99" s="3">
        <v>45617</v>
      </c>
      <c r="H99">
        <v>25390.68</v>
      </c>
      <c r="I99" s="3">
        <v>45617</v>
      </c>
      <c r="J99">
        <v>127.85</v>
      </c>
      <c r="K99" s="3">
        <v>45617</v>
      </c>
      <c r="L99">
        <v>168.68</v>
      </c>
      <c r="M99" s="3">
        <v>45617</v>
      </c>
      <c r="N99">
        <v>3.36</v>
      </c>
      <c r="O99" s="3">
        <v>45617</v>
      </c>
      <c r="P99">
        <v>41.1</v>
      </c>
      <c r="Q99" s="3">
        <v>45617</v>
      </c>
      <c r="R99">
        <v>40.78</v>
      </c>
    </row>
    <row r="100" spans="7:18" x14ac:dyDescent="0.2">
      <c r="G100" s="3">
        <v>45616</v>
      </c>
      <c r="H100">
        <v>25036.46</v>
      </c>
      <c r="I100" s="3">
        <v>45616</v>
      </c>
      <c r="J100">
        <v>121.59</v>
      </c>
      <c r="K100" s="3">
        <v>45616</v>
      </c>
      <c r="L100">
        <v>168.57</v>
      </c>
      <c r="M100" s="3">
        <v>45616</v>
      </c>
      <c r="N100">
        <v>3.3</v>
      </c>
      <c r="O100" s="3">
        <v>45616</v>
      </c>
      <c r="P100">
        <v>42</v>
      </c>
      <c r="Q100" s="3">
        <v>45616</v>
      </c>
      <c r="R100">
        <v>40.380000000000003</v>
      </c>
    </row>
    <row r="101" spans="7:18" x14ac:dyDescent="0.2">
      <c r="G101" s="3">
        <v>45615</v>
      </c>
      <c r="H101">
        <v>25010.77</v>
      </c>
      <c r="I101" s="3">
        <v>45615</v>
      </c>
      <c r="J101">
        <v>121.18</v>
      </c>
      <c r="K101" s="3">
        <v>45615</v>
      </c>
      <c r="L101">
        <v>168</v>
      </c>
      <c r="M101" s="3">
        <v>45615</v>
      </c>
      <c r="N101">
        <v>3.36</v>
      </c>
      <c r="O101" s="3">
        <v>45615</v>
      </c>
      <c r="P101">
        <v>42</v>
      </c>
      <c r="Q101" s="3">
        <v>45615</v>
      </c>
      <c r="R101">
        <v>39.880000000000003</v>
      </c>
    </row>
    <row r="102" spans="7:18" x14ac:dyDescent="0.2">
      <c r="G102" s="3">
        <v>45614</v>
      </c>
      <c r="H102">
        <v>24976.94</v>
      </c>
      <c r="I102" s="3">
        <v>45614</v>
      </c>
      <c r="J102">
        <v>117.69</v>
      </c>
      <c r="K102" s="3">
        <v>45614</v>
      </c>
      <c r="L102">
        <v>166.25</v>
      </c>
      <c r="M102" s="3">
        <v>45614</v>
      </c>
      <c r="N102">
        <v>3.58</v>
      </c>
      <c r="O102" s="3">
        <v>45614</v>
      </c>
      <c r="P102">
        <v>41.65</v>
      </c>
      <c r="Q102" s="3">
        <v>45614</v>
      </c>
      <c r="R102">
        <v>39.590000000000003</v>
      </c>
    </row>
    <row r="103" spans="7:18" x14ac:dyDescent="0.2">
      <c r="G103" s="3">
        <v>45611</v>
      </c>
      <c r="H103">
        <v>24890.68</v>
      </c>
      <c r="I103" s="3">
        <v>45611</v>
      </c>
      <c r="J103">
        <v>115.75</v>
      </c>
      <c r="K103" s="3">
        <v>45611</v>
      </c>
      <c r="L103">
        <v>165.15</v>
      </c>
      <c r="M103" s="3">
        <v>45611</v>
      </c>
      <c r="N103">
        <v>3.55</v>
      </c>
      <c r="O103" s="3">
        <v>45611</v>
      </c>
      <c r="P103">
        <v>42.1</v>
      </c>
      <c r="Q103" s="3">
        <v>45611</v>
      </c>
      <c r="R103">
        <v>40.61</v>
      </c>
    </row>
    <row r="104" spans="7:18" x14ac:dyDescent="0.2">
      <c r="G104" s="3">
        <v>45610</v>
      </c>
      <c r="H104">
        <v>25049.67</v>
      </c>
      <c r="I104" s="3">
        <v>45610</v>
      </c>
      <c r="J104">
        <v>113.32</v>
      </c>
      <c r="K104" s="3">
        <v>45610</v>
      </c>
      <c r="L104">
        <v>166.37</v>
      </c>
      <c r="M104" s="3">
        <v>45610</v>
      </c>
      <c r="N104">
        <v>3.6</v>
      </c>
      <c r="O104" s="3">
        <v>45610</v>
      </c>
      <c r="P104">
        <v>42.8</v>
      </c>
      <c r="Q104" s="3">
        <v>45610</v>
      </c>
      <c r="R104">
        <v>40.67</v>
      </c>
    </row>
    <row r="105" spans="7:18" x14ac:dyDescent="0.2">
      <c r="G105" s="3">
        <v>45609</v>
      </c>
      <c r="H105">
        <v>24989.02</v>
      </c>
      <c r="I105" s="3">
        <v>45609</v>
      </c>
      <c r="J105">
        <v>114.98</v>
      </c>
      <c r="K105" s="3">
        <v>45609</v>
      </c>
      <c r="L105">
        <v>173</v>
      </c>
      <c r="M105" s="3">
        <v>45609</v>
      </c>
      <c r="N105">
        <v>3.63</v>
      </c>
      <c r="O105" s="3">
        <v>45609</v>
      </c>
      <c r="P105">
        <v>41.83</v>
      </c>
      <c r="Q105" s="3">
        <v>45609</v>
      </c>
      <c r="R105">
        <v>42.72</v>
      </c>
    </row>
    <row r="106" spans="7:18" x14ac:dyDescent="0.2">
      <c r="G106" s="3">
        <v>45608</v>
      </c>
      <c r="H106">
        <v>24923.01</v>
      </c>
      <c r="I106" s="3">
        <v>45608</v>
      </c>
      <c r="J106">
        <v>117.22</v>
      </c>
      <c r="K106" s="3">
        <v>45608</v>
      </c>
      <c r="L106">
        <v>170.99</v>
      </c>
      <c r="M106" s="3">
        <v>45608</v>
      </c>
      <c r="N106">
        <v>3.74</v>
      </c>
      <c r="O106" s="3">
        <v>45608</v>
      </c>
      <c r="P106">
        <v>41.7</v>
      </c>
      <c r="Q106" s="3">
        <v>45608</v>
      </c>
      <c r="R106">
        <v>41.95</v>
      </c>
    </row>
    <row r="107" spans="7:18" x14ac:dyDescent="0.2">
      <c r="G107" s="3">
        <v>45607</v>
      </c>
      <c r="H107">
        <v>24789.279999999999</v>
      </c>
      <c r="I107" s="3">
        <v>45607</v>
      </c>
      <c r="J107">
        <v>117.9</v>
      </c>
      <c r="K107" s="3">
        <v>45607</v>
      </c>
      <c r="L107">
        <v>170.99</v>
      </c>
      <c r="M107" s="3">
        <v>45607</v>
      </c>
      <c r="N107">
        <v>3.53</v>
      </c>
      <c r="O107" s="3">
        <v>45607</v>
      </c>
      <c r="P107">
        <v>39.9</v>
      </c>
      <c r="Q107" s="3">
        <v>45607</v>
      </c>
      <c r="R107">
        <v>41.4</v>
      </c>
    </row>
    <row r="108" spans="7:18" x14ac:dyDescent="0.2">
      <c r="G108" s="3">
        <v>45604</v>
      </c>
      <c r="H108">
        <v>24759.4</v>
      </c>
      <c r="I108" s="3">
        <v>45604</v>
      </c>
      <c r="J108">
        <v>119.54</v>
      </c>
      <c r="K108" s="3">
        <v>45604</v>
      </c>
      <c r="L108">
        <v>169.28</v>
      </c>
      <c r="M108" s="3">
        <v>45604</v>
      </c>
      <c r="N108">
        <v>3.29</v>
      </c>
      <c r="O108" s="3">
        <v>45604</v>
      </c>
      <c r="P108">
        <v>39.25</v>
      </c>
      <c r="Q108" s="3">
        <v>45604</v>
      </c>
      <c r="R108">
        <v>40.69</v>
      </c>
    </row>
    <row r="109" spans="7:18" x14ac:dyDescent="0.2">
      <c r="G109" s="3">
        <v>45603</v>
      </c>
      <c r="H109">
        <v>24845.93</v>
      </c>
      <c r="I109" s="3">
        <v>45603</v>
      </c>
      <c r="J109">
        <v>118.31</v>
      </c>
      <c r="K109" s="3">
        <v>45603</v>
      </c>
      <c r="L109">
        <v>167.97</v>
      </c>
      <c r="M109" s="3">
        <v>45603</v>
      </c>
      <c r="N109">
        <v>3.17</v>
      </c>
      <c r="O109" s="3">
        <v>45603</v>
      </c>
      <c r="P109">
        <v>38.5</v>
      </c>
      <c r="Q109" s="3">
        <v>45603</v>
      </c>
      <c r="R109">
        <v>41.03</v>
      </c>
    </row>
    <row r="110" spans="7:18" x14ac:dyDescent="0.2">
      <c r="G110" s="3">
        <v>45602</v>
      </c>
      <c r="H110">
        <v>24637.45</v>
      </c>
      <c r="I110" s="3">
        <v>45602</v>
      </c>
      <c r="J110">
        <v>112.93</v>
      </c>
      <c r="K110" s="3">
        <v>45602</v>
      </c>
      <c r="L110">
        <v>171.25</v>
      </c>
      <c r="M110" s="3">
        <v>45602</v>
      </c>
      <c r="N110">
        <v>3.16</v>
      </c>
      <c r="O110" s="3">
        <v>45602</v>
      </c>
      <c r="P110">
        <v>38.54</v>
      </c>
      <c r="Q110" s="3">
        <v>45602</v>
      </c>
      <c r="R110">
        <v>40.69</v>
      </c>
    </row>
    <row r="111" spans="7:18" x14ac:dyDescent="0.2">
      <c r="G111" s="3">
        <v>45601</v>
      </c>
      <c r="H111">
        <v>24387.9</v>
      </c>
      <c r="I111" s="3">
        <v>45601</v>
      </c>
      <c r="J111">
        <v>104.69</v>
      </c>
      <c r="K111" s="3">
        <v>45601</v>
      </c>
      <c r="L111">
        <v>165.93</v>
      </c>
      <c r="M111" s="3">
        <v>45601</v>
      </c>
      <c r="N111">
        <v>3</v>
      </c>
      <c r="O111" s="3">
        <v>45601</v>
      </c>
      <c r="P111">
        <v>39.1</v>
      </c>
      <c r="Q111" s="3">
        <v>45601</v>
      </c>
      <c r="R111">
        <v>39.97</v>
      </c>
    </row>
    <row r="112" spans="7:18" x14ac:dyDescent="0.2">
      <c r="G112" s="3">
        <v>45600</v>
      </c>
      <c r="H112">
        <v>24256.06</v>
      </c>
      <c r="I112" s="3">
        <v>45600</v>
      </c>
      <c r="J112">
        <v>100.58</v>
      </c>
      <c r="K112" s="3">
        <v>45600</v>
      </c>
      <c r="L112">
        <v>162.91</v>
      </c>
      <c r="M112" s="3">
        <v>45600</v>
      </c>
      <c r="N112">
        <v>3.07</v>
      </c>
      <c r="O112" s="3">
        <v>45600</v>
      </c>
      <c r="P112">
        <v>38</v>
      </c>
      <c r="Q112" s="3">
        <v>45600</v>
      </c>
      <c r="R112">
        <v>39.78</v>
      </c>
    </row>
    <row r="113" spans="7:18" x14ac:dyDescent="0.2">
      <c r="G113" s="3">
        <v>45597</v>
      </c>
      <c r="H113">
        <v>24255.16</v>
      </c>
      <c r="I113" s="3">
        <v>45597</v>
      </c>
      <c r="J113">
        <v>98.01</v>
      </c>
      <c r="K113" s="3">
        <v>45597</v>
      </c>
      <c r="L113">
        <v>166</v>
      </c>
      <c r="M113" s="3">
        <v>45597</v>
      </c>
      <c r="N113">
        <v>2.99</v>
      </c>
      <c r="O113" s="3">
        <v>45597</v>
      </c>
      <c r="P113">
        <v>34.17</v>
      </c>
      <c r="Q113" s="3">
        <v>45597</v>
      </c>
      <c r="R113">
        <v>40.4</v>
      </c>
    </row>
    <row r="114" spans="7:18" x14ac:dyDescent="0.2">
      <c r="G114" s="3">
        <v>45596</v>
      </c>
      <c r="H114">
        <v>24156.87</v>
      </c>
      <c r="I114" s="3">
        <v>45596</v>
      </c>
      <c r="J114">
        <v>95.28</v>
      </c>
      <c r="K114" s="3">
        <v>45596</v>
      </c>
      <c r="L114">
        <v>154.63999999999999</v>
      </c>
      <c r="M114" s="3">
        <v>45596</v>
      </c>
      <c r="N114">
        <v>3</v>
      </c>
      <c r="O114" s="3">
        <v>45596</v>
      </c>
      <c r="P114">
        <v>32.42</v>
      </c>
      <c r="Q114" s="3">
        <v>45596</v>
      </c>
      <c r="R114">
        <v>41.76</v>
      </c>
    </row>
    <row r="115" spans="7:18" x14ac:dyDescent="0.2">
      <c r="G115" s="3">
        <v>45595</v>
      </c>
      <c r="H115">
        <v>24507.79</v>
      </c>
      <c r="I115" s="3">
        <v>45595</v>
      </c>
      <c r="J115">
        <v>96.98</v>
      </c>
      <c r="K115" s="3">
        <v>45595</v>
      </c>
      <c r="L115">
        <v>157.35</v>
      </c>
      <c r="M115" s="3">
        <v>45595</v>
      </c>
      <c r="N115">
        <v>3.03</v>
      </c>
      <c r="O115" s="3">
        <v>45595</v>
      </c>
      <c r="P115">
        <v>32.42</v>
      </c>
      <c r="Q115" s="3">
        <v>45595</v>
      </c>
      <c r="R115">
        <v>46.99</v>
      </c>
    </row>
    <row r="116" spans="7:18" x14ac:dyDescent="0.2">
      <c r="G116" s="3">
        <v>45594</v>
      </c>
      <c r="H116">
        <v>24562.55</v>
      </c>
      <c r="I116" s="3">
        <v>45594</v>
      </c>
      <c r="J116">
        <v>97.36</v>
      </c>
      <c r="K116" s="3">
        <v>45594</v>
      </c>
      <c r="L116">
        <v>157</v>
      </c>
      <c r="M116" s="3">
        <v>45594</v>
      </c>
      <c r="N116">
        <v>3.07</v>
      </c>
      <c r="O116" s="3">
        <v>45594</v>
      </c>
      <c r="P116">
        <v>32.42</v>
      </c>
      <c r="Q116" s="3">
        <v>45594</v>
      </c>
      <c r="R116">
        <v>47.1</v>
      </c>
    </row>
    <row r="117" spans="7:18" x14ac:dyDescent="0.2">
      <c r="G117" s="3">
        <v>45593</v>
      </c>
      <c r="H117">
        <v>24565.66</v>
      </c>
      <c r="I117" s="3">
        <v>45593</v>
      </c>
      <c r="J117">
        <v>97.68</v>
      </c>
      <c r="K117" s="3">
        <v>45593</v>
      </c>
      <c r="L117">
        <v>156.08000000000001</v>
      </c>
      <c r="M117" s="3">
        <v>45593</v>
      </c>
      <c r="N117">
        <v>3.15</v>
      </c>
      <c r="O117" s="3">
        <v>45593</v>
      </c>
      <c r="P117">
        <v>32.26</v>
      </c>
      <c r="Q117" s="3">
        <v>45593</v>
      </c>
      <c r="R117">
        <v>46.88</v>
      </c>
    </row>
    <row r="118" spans="7:18" x14ac:dyDescent="0.2">
      <c r="G118" s="3">
        <v>45590</v>
      </c>
      <c r="H118">
        <v>24463.67</v>
      </c>
      <c r="I118" s="3">
        <v>45590</v>
      </c>
      <c r="J118">
        <v>96.43</v>
      </c>
      <c r="K118" s="3">
        <v>45590</v>
      </c>
      <c r="L118">
        <v>157.05000000000001</v>
      </c>
      <c r="M118" s="3">
        <v>45590</v>
      </c>
      <c r="N118">
        <v>3.19</v>
      </c>
      <c r="O118" s="3">
        <v>45590</v>
      </c>
      <c r="P118">
        <v>33.090000000000003</v>
      </c>
      <c r="Q118" s="3">
        <v>45590</v>
      </c>
      <c r="R118">
        <v>46.23</v>
      </c>
    </row>
    <row r="119" spans="7:18" x14ac:dyDescent="0.2">
      <c r="G119" s="3">
        <v>45589</v>
      </c>
      <c r="H119">
        <v>24551.55</v>
      </c>
      <c r="I119" s="3">
        <v>45589</v>
      </c>
      <c r="J119">
        <v>93.99</v>
      </c>
      <c r="K119" s="3">
        <v>45589</v>
      </c>
      <c r="L119">
        <v>159.28</v>
      </c>
      <c r="M119" s="3">
        <v>45589</v>
      </c>
      <c r="N119">
        <v>3.38</v>
      </c>
      <c r="O119" s="3">
        <v>45589</v>
      </c>
      <c r="P119">
        <v>32.4</v>
      </c>
      <c r="Q119" s="3">
        <v>45589</v>
      </c>
      <c r="R119">
        <v>46.16</v>
      </c>
    </row>
    <row r="120" spans="7:18" x14ac:dyDescent="0.2">
      <c r="G120" s="3">
        <v>45588</v>
      </c>
      <c r="H120">
        <v>24573.62</v>
      </c>
      <c r="I120" s="3">
        <v>45588</v>
      </c>
      <c r="J120">
        <v>79.47</v>
      </c>
      <c r="K120" s="3">
        <v>45588</v>
      </c>
      <c r="L120">
        <v>156.07</v>
      </c>
      <c r="M120" s="3">
        <v>45588</v>
      </c>
      <c r="N120">
        <v>4.43</v>
      </c>
      <c r="O120" s="3">
        <v>45588</v>
      </c>
      <c r="P120">
        <v>32.4</v>
      </c>
      <c r="Q120" s="3">
        <v>45588</v>
      </c>
      <c r="R120">
        <v>45.44</v>
      </c>
    </row>
    <row r="121" spans="7:18" x14ac:dyDescent="0.2">
      <c r="G121" s="3">
        <v>45587</v>
      </c>
      <c r="H121">
        <v>24716.7</v>
      </c>
      <c r="I121" s="3">
        <v>45587</v>
      </c>
      <c r="J121">
        <v>77.44</v>
      </c>
      <c r="K121" s="3">
        <v>45587</v>
      </c>
      <c r="L121">
        <v>157.05000000000001</v>
      </c>
      <c r="M121" s="3">
        <v>45587</v>
      </c>
      <c r="N121">
        <v>4.5999999999999996</v>
      </c>
      <c r="O121" s="3">
        <v>45587</v>
      </c>
      <c r="P121">
        <v>33</v>
      </c>
      <c r="Q121" s="3">
        <v>45587</v>
      </c>
      <c r="R121">
        <v>46.37</v>
      </c>
    </row>
    <row r="122" spans="7:18" x14ac:dyDescent="0.2">
      <c r="G122" s="3">
        <v>45586</v>
      </c>
      <c r="H122">
        <v>24723.33</v>
      </c>
      <c r="I122" s="3">
        <v>45586</v>
      </c>
      <c r="J122">
        <v>78.37</v>
      </c>
      <c r="K122" s="3">
        <v>45586</v>
      </c>
      <c r="L122">
        <v>155.22999999999999</v>
      </c>
      <c r="M122" s="3">
        <v>45586</v>
      </c>
      <c r="N122">
        <v>4.63</v>
      </c>
      <c r="O122" s="3">
        <v>45586</v>
      </c>
      <c r="P122">
        <v>33.04</v>
      </c>
      <c r="Q122" s="3">
        <v>45586</v>
      </c>
      <c r="R122">
        <v>46.31</v>
      </c>
    </row>
    <row r="123" spans="7:18" x14ac:dyDescent="0.2">
      <c r="G123" s="3">
        <v>45583</v>
      </c>
      <c r="H123">
        <v>24822.54</v>
      </c>
      <c r="I123" s="3">
        <v>45583</v>
      </c>
      <c r="J123">
        <v>79.819999999999993</v>
      </c>
      <c r="K123" s="3">
        <v>45583</v>
      </c>
      <c r="L123">
        <v>155.44999999999999</v>
      </c>
      <c r="M123" s="3">
        <v>45583</v>
      </c>
      <c r="N123">
        <v>4.76</v>
      </c>
      <c r="O123" s="3">
        <v>45583</v>
      </c>
      <c r="P123">
        <v>33.049999999999997</v>
      </c>
      <c r="Q123" s="3">
        <v>45583</v>
      </c>
      <c r="R123">
        <v>46.96</v>
      </c>
    </row>
    <row r="124" spans="7:18" x14ac:dyDescent="0.2">
      <c r="G124" s="3">
        <v>45582</v>
      </c>
      <c r="H124">
        <v>24690.48</v>
      </c>
      <c r="I124" s="3">
        <v>45582</v>
      </c>
      <c r="J124">
        <v>80.27</v>
      </c>
      <c r="K124" s="3">
        <v>45582</v>
      </c>
      <c r="L124">
        <v>156.82</v>
      </c>
      <c r="M124" s="3">
        <v>45582</v>
      </c>
      <c r="N124">
        <v>4.6399999999999997</v>
      </c>
      <c r="O124" s="3">
        <v>45582</v>
      </c>
      <c r="P124">
        <v>33.090000000000003</v>
      </c>
      <c r="Q124" s="3">
        <v>45582</v>
      </c>
      <c r="R124">
        <v>46.83</v>
      </c>
    </row>
    <row r="125" spans="7:18" x14ac:dyDescent="0.2">
      <c r="G125" s="3">
        <v>45581</v>
      </c>
      <c r="H125">
        <v>24561.200000000001</v>
      </c>
      <c r="I125" s="3">
        <v>45581</v>
      </c>
      <c r="J125">
        <v>80.31</v>
      </c>
      <c r="K125" s="3">
        <v>45581</v>
      </c>
      <c r="L125">
        <v>156.94999999999999</v>
      </c>
      <c r="M125" s="3">
        <v>45581</v>
      </c>
      <c r="N125">
        <v>4.75</v>
      </c>
      <c r="O125" s="3">
        <v>45581</v>
      </c>
      <c r="P125">
        <v>33.22</v>
      </c>
      <c r="Q125" s="3">
        <v>45581</v>
      </c>
      <c r="R125">
        <v>46.82</v>
      </c>
    </row>
    <row r="126" spans="7:18" x14ac:dyDescent="0.2">
      <c r="G126" s="3">
        <v>45580</v>
      </c>
      <c r="H126">
        <v>24439.08</v>
      </c>
      <c r="I126" s="3">
        <v>45580</v>
      </c>
      <c r="J126">
        <v>84.25</v>
      </c>
      <c r="K126" s="3">
        <v>45580</v>
      </c>
      <c r="L126">
        <v>157.72</v>
      </c>
      <c r="M126" s="3">
        <v>45580</v>
      </c>
      <c r="N126">
        <v>4.5999999999999996</v>
      </c>
      <c r="O126" s="3">
        <v>45580</v>
      </c>
      <c r="P126">
        <v>32.69</v>
      </c>
      <c r="Q126" s="3">
        <v>45580</v>
      </c>
      <c r="R126">
        <v>46.32</v>
      </c>
    </row>
    <row r="127" spans="7:18" x14ac:dyDescent="0.2">
      <c r="G127" s="3">
        <v>45576</v>
      </c>
      <c r="H127">
        <v>24471.17</v>
      </c>
      <c r="I127" s="3">
        <v>45576</v>
      </c>
      <c r="J127">
        <v>86.76</v>
      </c>
      <c r="K127" s="3">
        <v>45576</v>
      </c>
      <c r="L127">
        <v>158.07</v>
      </c>
      <c r="M127" s="3">
        <v>45576</v>
      </c>
      <c r="N127">
        <v>4.6399999999999997</v>
      </c>
      <c r="O127" s="3">
        <v>45576</v>
      </c>
      <c r="P127">
        <v>32.159999999999997</v>
      </c>
      <c r="Q127" s="3">
        <v>45576</v>
      </c>
      <c r="R127">
        <v>46.56</v>
      </c>
    </row>
    <row r="128" spans="7:18" x14ac:dyDescent="0.2">
      <c r="G128" s="3">
        <v>45575</v>
      </c>
      <c r="H128">
        <v>24302.26</v>
      </c>
      <c r="I128" s="3">
        <v>45575</v>
      </c>
      <c r="J128">
        <v>84.2</v>
      </c>
      <c r="K128" s="3">
        <v>45575</v>
      </c>
      <c r="L128">
        <v>158.96</v>
      </c>
      <c r="M128" s="3">
        <v>45575</v>
      </c>
      <c r="N128">
        <v>4.53</v>
      </c>
      <c r="O128" s="3">
        <v>45575</v>
      </c>
      <c r="P128">
        <v>32.4</v>
      </c>
      <c r="Q128" s="3">
        <v>45575</v>
      </c>
      <c r="R128">
        <v>46.36</v>
      </c>
    </row>
    <row r="129" spans="7:18" x14ac:dyDescent="0.2">
      <c r="G129" s="3">
        <v>45574</v>
      </c>
      <c r="H129">
        <v>24224.9</v>
      </c>
      <c r="I129" s="3">
        <v>45574</v>
      </c>
      <c r="J129">
        <v>79.63</v>
      </c>
      <c r="K129" s="3">
        <v>45574</v>
      </c>
      <c r="L129">
        <v>165</v>
      </c>
      <c r="M129" s="3">
        <v>45574</v>
      </c>
      <c r="N129">
        <v>4.5599999999999996</v>
      </c>
      <c r="O129" s="3">
        <v>45574</v>
      </c>
      <c r="P129">
        <v>32.200000000000003</v>
      </c>
      <c r="Q129" s="3">
        <v>45574</v>
      </c>
      <c r="R129">
        <v>46.32</v>
      </c>
    </row>
    <row r="130" spans="7:18" x14ac:dyDescent="0.2">
      <c r="G130" s="3">
        <v>45573</v>
      </c>
      <c r="H130">
        <v>24072.51</v>
      </c>
      <c r="I130" s="3">
        <v>45573</v>
      </c>
      <c r="J130">
        <v>76.040000000000006</v>
      </c>
      <c r="K130" s="3">
        <v>45573</v>
      </c>
      <c r="L130">
        <v>161.69999999999999</v>
      </c>
      <c r="M130" s="3">
        <v>45573</v>
      </c>
      <c r="N130">
        <v>4.55</v>
      </c>
      <c r="O130" s="3">
        <v>45573</v>
      </c>
      <c r="P130">
        <v>32.36</v>
      </c>
      <c r="Q130" s="3">
        <v>45573</v>
      </c>
      <c r="R130">
        <v>45.33</v>
      </c>
    </row>
    <row r="131" spans="7:18" x14ac:dyDescent="0.2">
      <c r="G131" s="3">
        <v>45572</v>
      </c>
      <c r="H131">
        <v>24102.71</v>
      </c>
      <c r="I131" s="3">
        <v>45572</v>
      </c>
      <c r="J131">
        <v>74.010000000000005</v>
      </c>
      <c r="K131" s="3">
        <v>45572</v>
      </c>
      <c r="L131">
        <v>160.30000000000001</v>
      </c>
      <c r="M131" s="3">
        <v>45572</v>
      </c>
      <c r="N131">
        <v>4.54</v>
      </c>
      <c r="O131" s="3">
        <v>45572</v>
      </c>
      <c r="P131">
        <v>32.07</v>
      </c>
      <c r="Q131" s="3">
        <v>45572</v>
      </c>
      <c r="R131">
        <v>44.9</v>
      </c>
    </row>
    <row r="132" spans="7:18" x14ac:dyDescent="0.2">
      <c r="G132" s="3">
        <v>45569</v>
      </c>
      <c r="H132">
        <v>24162.83</v>
      </c>
      <c r="I132" s="3">
        <v>45569</v>
      </c>
      <c r="J132">
        <v>73.09</v>
      </c>
      <c r="K132" s="3">
        <v>45569</v>
      </c>
      <c r="L132">
        <v>160.46</v>
      </c>
      <c r="M132" s="3">
        <v>45569</v>
      </c>
      <c r="N132">
        <v>4.54</v>
      </c>
      <c r="O132" s="3">
        <v>45569</v>
      </c>
      <c r="P132">
        <v>32.4</v>
      </c>
      <c r="Q132" s="3">
        <v>45569</v>
      </c>
      <c r="R132">
        <v>45.02</v>
      </c>
    </row>
    <row r="133" spans="7:18" x14ac:dyDescent="0.2">
      <c r="G133" s="3">
        <v>45568</v>
      </c>
      <c r="H133">
        <v>23968.5</v>
      </c>
      <c r="I133" s="3">
        <v>45568</v>
      </c>
      <c r="J133">
        <v>69.790000000000006</v>
      </c>
      <c r="K133" s="3">
        <v>45568</v>
      </c>
      <c r="L133">
        <v>158.5</v>
      </c>
      <c r="M133" s="3">
        <v>45568</v>
      </c>
      <c r="N133">
        <v>4.6100000000000003</v>
      </c>
      <c r="O133" s="3">
        <v>45568</v>
      </c>
      <c r="P133">
        <v>32.35</v>
      </c>
      <c r="Q133" s="3">
        <v>45568</v>
      </c>
      <c r="R133">
        <v>44.65</v>
      </c>
    </row>
    <row r="134" spans="7:18" x14ac:dyDescent="0.2">
      <c r="G134" s="3">
        <v>45567</v>
      </c>
      <c r="H134">
        <v>24001.55</v>
      </c>
      <c r="I134" s="3">
        <v>45567</v>
      </c>
      <c r="J134">
        <v>67.930000000000007</v>
      </c>
      <c r="K134" s="3">
        <v>45567</v>
      </c>
      <c r="L134">
        <v>160.03</v>
      </c>
      <c r="M134" s="3">
        <v>45567</v>
      </c>
      <c r="N134">
        <v>4.53</v>
      </c>
      <c r="O134" s="3">
        <v>45567</v>
      </c>
      <c r="P134">
        <v>32.1</v>
      </c>
      <c r="Q134" s="3">
        <v>45567</v>
      </c>
      <c r="R134">
        <v>44.38</v>
      </c>
    </row>
    <row r="135" spans="7:18" x14ac:dyDescent="0.2">
      <c r="G135" s="3">
        <v>45566</v>
      </c>
      <c r="H135">
        <v>24033.99</v>
      </c>
      <c r="I135" s="3">
        <v>45566</v>
      </c>
      <c r="J135">
        <v>66.98</v>
      </c>
      <c r="K135" s="3">
        <v>45566</v>
      </c>
      <c r="L135">
        <v>158.77000000000001</v>
      </c>
      <c r="M135" s="3">
        <v>45566</v>
      </c>
      <c r="N135">
        <v>4.57</v>
      </c>
      <c r="O135" s="3">
        <v>45566</v>
      </c>
      <c r="P135">
        <v>32.36</v>
      </c>
      <c r="Q135" s="3">
        <v>45566</v>
      </c>
      <c r="R135">
        <v>44.3</v>
      </c>
    </row>
    <row r="136" spans="7:18" x14ac:dyDescent="0.2">
      <c r="G136" s="3">
        <v>45565</v>
      </c>
      <c r="H136">
        <v>24000.37</v>
      </c>
      <c r="I136" s="3">
        <v>45565</v>
      </c>
      <c r="J136">
        <v>69.14</v>
      </c>
      <c r="K136" s="3">
        <v>45565</v>
      </c>
      <c r="L136">
        <v>160.66999999999999</v>
      </c>
      <c r="M136" s="3">
        <v>45565</v>
      </c>
      <c r="N136">
        <v>4.62</v>
      </c>
      <c r="O136" s="3">
        <v>45565</v>
      </c>
      <c r="P136">
        <v>31.6</v>
      </c>
      <c r="Q136" s="3">
        <v>45565</v>
      </c>
      <c r="R136">
        <v>45.02</v>
      </c>
    </row>
    <row r="137" spans="7:18" x14ac:dyDescent="0.2">
      <c r="G137" s="3">
        <v>45562</v>
      </c>
      <c r="H137">
        <v>23956.82</v>
      </c>
      <c r="I137" s="3">
        <v>45562</v>
      </c>
      <c r="J137">
        <v>69.09</v>
      </c>
      <c r="K137" s="3">
        <v>45562</v>
      </c>
      <c r="L137">
        <v>156.97</v>
      </c>
      <c r="M137" s="3">
        <v>45562</v>
      </c>
      <c r="N137">
        <v>4.4000000000000004</v>
      </c>
      <c r="O137" s="3">
        <v>45562</v>
      </c>
      <c r="P137">
        <v>32.159999999999997</v>
      </c>
      <c r="Q137" s="3">
        <v>45562</v>
      </c>
      <c r="R137">
        <v>44.73</v>
      </c>
    </row>
    <row r="138" spans="7:18" x14ac:dyDescent="0.2">
      <c r="G138" s="3">
        <v>45561</v>
      </c>
      <c r="H138">
        <v>24033.83</v>
      </c>
      <c r="I138" s="3">
        <v>45561</v>
      </c>
      <c r="J138">
        <v>70.16</v>
      </c>
      <c r="K138" s="3">
        <v>45561</v>
      </c>
      <c r="L138">
        <v>158.25</v>
      </c>
      <c r="M138" s="3">
        <v>45561</v>
      </c>
      <c r="N138">
        <v>4.4800000000000004</v>
      </c>
      <c r="O138" s="3">
        <v>45561</v>
      </c>
      <c r="P138">
        <v>32.950000000000003</v>
      </c>
      <c r="Q138" s="3">
        <v>45561</v>
      </c>
      <c r="R138">
        <v>45.32</v>
      </c>
    </row>
    <row r="139" spans="7:18" x14ac:dyDescent="0.2">
      <c r="G139" s="3">
        <v>45560</v>
      </c>
      <c r="H139">
        <v>23905.88</v>
      </c>
      <c r="I139" s="3">
        <v>45560</v>
      </c>
      <c r="J139">
        <v>68.41</v>
      </c>
      <c r="K139" s="3">
        <v>45560</v>
      </c>
      <c r="L139">
        <v>156.29</v>
      </c>
      <c r="M139" s="3">
        <v>45560</v>
      </c>
      <c r="N139">
        <v>4.2</v>
      </c>
      <c r="O139" s="3">
        <v>45560</v>
      </c>
      <c r="P139">
        <v>32.380000000000003</v>
      </c>
      <c r="Q139" s="3">
        <v>45560</v>
      </c>
      <c r="R139">
        <v>44.5</v>
      </c>
    </row>
    <row r="140" spans="7:18" x14ac:dyDescent="0.2">
      <c r="G140" s="3">
        <v>45559</v>
      </c>
      <c r="H140">
        <v>23952.22</v>
      </c>
      <c r="I140" s="3">
        <v>45559</v>
      </c>
      <c r="J140">
        <v>67.17</v>
      </c>
      <c r="K140" s="3">
        <v>45559</v>
      </c>
      <c r="L140">
        <v>154.32</v>
      </c>
      <c r="M140" s="3">
        <v>45559</v>
      </c>
      <c r="N140">
        <v>4.38</v>
      </c>
      <c r="O140" s="3">
        <v>45559</v>
      </c>
      <c r="P140">
        <v>33.17</v>
      </c>
      <c r="Q140" s="3">
        <v>45559</v>
      </c>
      <c r="R140">
        <v>45.14</v>
      </c>
    </row>
    <row r="141" spans="7:18" x14ac:dyDescent="0.2">
      <c r="G141" s="3">
        <v>45558</v>
      </c>
      <c r="H141">
        <v>23894.71</v>
      </c>
      <c r="I141" s="3">
        <v>45558</v>
      </c>
      <c r="J141">
        <v>67.02</v>
      </c>
      <c r="K141" s="3">
        <v>45558</v>
      </c>
      <c r="L141">
        <v>159.57</v>
      </c>
      <c r="M141" s="3">
        <v>45558</v>
      </c>
      <c r="N141">
        <v>4.33</v>
      </c>
      <c r="O141" s="3">
        <v>45558</v>
      </c>
      <c r="P141">
        <v>33.04</v>
      </c>
      <c r="Q141" s="3">
        <v>45558</v>
      </c>
      <c r="R141">
        <v>44.73</v>
      </c>
    </row>
    <row r="142" spans="7:18" x14ac:dyDescent="0.2">
      <c r="G142" s="3">
        <v>45555</v>
      </c>
      <c r="H142">
        <v>23867.37</v>
      </c>
      <c r="I142" s="3">
        <v>45555</v>
      </c>
      <c r="J142">
        <v>66.13</v>
      </c>
      <c r="K142" s="3">
        <v>45555</v>
      </c>
      <c r="L142">
        <v>162.80000000000001</v>
      </c>
      <c r="M142" s="3">
        <v>45555</v>
      </c>
      <c r="N142">
        <v>4.37</v>
      </c>
      <c r="O142" s="3">
        <v>45555</v>
      </c>
      <c r="P142">
        <v>33.229999999999997</v>
      </c>
      <c r="Q142" s="3">
        <v>45555</v>
      </c>
      <c r="R142">
        <v>44.45</v>
      </c>
    </row>
    <row r="143" spans="7:18" x14ac:dyDescent="0.2">
      <c r="G143" s="3">
        <v>45554</v>
      </c>
      <c r="H143">
        <v>23866.27</v>
      </c>
      <c r="I143" s="3">
        <v>45554</v>
      </c>
      <c r="J143">
        <v>67.38</v>
      </c>
      <c r="K143" s="3">
        <v>45554</v>
      </c>
      <c r="L143">
        <v>163.91</v>
      </c>
      <c r="M143" s="3">
        <v>45554</v>
      </c>
      <c r="N143">
        <v>4.38</v>
      </c>
      <c r="O143" s="3">
        <v>45554</v>
      </c>
      <c r="P143">
        <v>35.1</v>
      </c>
      <c r="Q143" s="3">
        <v>45554</v>
      </c>
      <c r="R143">
        <v>44.5</v>
      </c>
    </row>
    <row r="144" spans="7:18" x14ac:dyDescent="0.2">
      <c r="G144" s="3">
        <v>45553</v>
      </c>
      <c r="H144">
        <v>23592.6</v>
      </c>
      <c r="I144" s="3">
        <v>45553</v>
      </c>
      <c r="J144">
        <v>63.8</v>
      </c>
      <c r="K144" s="3">
        <v>45553</v>
      </c>
      <c r="L144">
        <v>156.71</v>
      </c>
      <c r="M144" s="3">
        <v>45553</v>
      </c>
      <c r="N144">
        <v>4.33</v>
      </c>
      <c r="O144" s="3">
        <v>45553</v>
      </c>
      <c r="P144">
        <v>34.520000000000003</v>
      </c>
      <c r="Q144" s="3">
        <v>45553</v>
      </c>
      <c r="R144">
        <v>43.33</v>
      </c>
    </row>
    <row r="145" spans="7:18" x14ac:dyDescent="0.2">
      <c r="G145" s="3">
        <v>45552</v>
      </c>
      <c r="H145">
        <v>23677.7</v>
      </c>
      <c r="I145" s="3">
        <v>45552</v>
      </c>
      <c r="J145">
        <v>63.9</v>
      </c>
      <c r="K145" s="3">
        <v>45552</v>
      </c>
      <c r="L145">
        <v>153.25</v>
      </c>
      <c r="M145" s="3">
        <v>45552</v>
      </c>
      <c r="N145">
        <v>4.42</v>
      </c>
      <c r="O145" s="3">
        <v>45552</v>
      </c>
      <c r="P145">
        <v>35</v>
      </c>
      <c r="Q145" s="3">
        <v>45552</v>
      </c>
      <c r="R145">
        <v>43.19</v>
      </c>
    </row>
    <row r="146" spans="7:18" x14ac:dyDescent="0.2">
      <c r="G146" s="3">
        <v>45551</v>
      </c>
      <c r="H146">
        <v>23702.07</v>
      </c>
      <c r="I146" s="3">
        <v>45551</v>
      </c>
      <c r="J146">
        <v>62.69</v>
      </c>
      <c r="K146" s="3">
        <v>45551</v>
      </c>
      <c r="L146">
        <v>154.47</v>
      </c>
      <c r="M146" s="3">
        <v>45551</v>
      </c>
      <c r="N146">
        <v>4.29</v>
      </c>
      <c r="O146" s="3">
        <v>45551</v>
      </c>
      <c r="P146">
        <v>34.700000000000003</v>
      </c>
      <c r="Q146" s="3">
        <v>45551</v>
      </c>
      <c r="R146">
        <v>43.67</v>
      </c>
    </row>
    <row r="147" spans="7:18" x14ac:dyDescent="0.2">
      <c r="G147" s="3">
        <v>45548</v>
      </c>
      <c r="H147">
        <v>23568.65</v>
      </c>
      <c r="I147" s="3">
        <v>45548</v>
      </c>
      <c r="J147">
        <v>62.34</v>
      </c>
      <c r="K147" s="3">
        <v>45548</v>
      </c>
      <c r="L147">
        <v>155.71</v>
      </c>
      <c r="M147" s="3">
        <v>45548</v>
      </c>
      <c r="N147">
        <v>4.29</v>
      </c>
      <c r="O147" s="3">
        <v>45548</v>
      </c>
      <c r="P147">
        <v>34.520000000000003</v>
      </c>
      <c r="Q147" s="3">
        <v>45548</v>
      </c>
      <c r="R147">
        <v>43.7</v>
      </c>
    </row>
    <row r="148" spans="7:18" x14ac:dyDescent="0.2">
      <c r="G148" s="3">
        <v>45547</v>
      </c>
      <c r="H148">
        <v>23475.14</v>
      </c>
      <c r="I148" s="3">
        <v>45547</v>
      </c>
      <c r="J148">
        <v>61.85</v>
      </c>
      <c r="K148" s="3">
        <v>45547</v>
      </c>
      <c r="L148">
        <v>151.07</v>
      </c>
      <c r="M148" s="3">
        <v>45547</v>
      </c>
      <c r="N148">
        <v>4.3499999999999996</v>
      </c>
      <c r="O148" s="3">
        <v>45547</v>
      </c>
      <c r="P148">
        <v>34.65</v>
      </c>
      <c r="Q148" s="3">
        <v>45547</v>
      </c>
      <c r="R148">
        <v>43.88</v>
      </c>
    </row>
    <row r="149" spans="7:18" x14ac:dyDescent="0.2">
      <c r="G149" s="3">
        <v>45546</v>
      </c>
      <c r="H149">
        <v>23211.17</v>
      </c>
      <c r="I149" s="3">
        <v>45546</v>
      </c>
      <c r="J149">
        <v>61.47</v>
      </c>
      <c r="K149" s="3">
        <v>45546</v>
      </c>
      <c r="L149">
        <v>151.94999999999999</v>
      </c>
      <c r="M149" s="3">
        <v>45546</v>
      </c>
      <c r="N149">
        <v>4.4800000000000004</v>
      </c>
      <c r="O149" s="3">
        <v>45546</v>
      </c>
      <c r="P149">
        <v>35.75</v>
      </c>
      <c r="Q149" s="3">
        <v>45546</v>
      </c>
      <c r="R149">
        <v>43.83</v>
      </c>
    </row>
    <row r="150" spans="7:18" x14ac:dyDescent="0.2">
      <c r="G150" s="3">
        <v>45545</v>
      </c>
      <c r="H150">
        <v>23003.09</v>
      </c>
      <c r="I150" s="3">
        <v>45545</v>
      </c>
      <c r="J150">
        <v>59.14</v>
      </c>
      <c r="K150" s="3">
        <v>45545</v>
      </c>
      <c r="L150">
        <v>152.58000000000001</v>
      </c>
      <c r="M150" s="3">
        <v>45545</v>
      </c>
      <c r="N150">
        <v>4.38</v>
      </c>
      <c r="O150" s="3">
        <v>45545</v>
      </c>
      <c r="P150">
        <v>36.21</v>
      </c>
      <c r="Q150" s="3">
        <v>45545</v>
      </c>
      <c r="R150">
        <v>43.61</v>
      </c>
    </row>
    <row r="151" spans="7:18" x14ac:dyDescent="0.2">
      <c r="G151" s="3">
        <v>45544</v>
      </c>
      <c r="H151">
        <v>23027.15</v>
      </c>
      <c r="I151" s="3">
        <v>45544</v>
      </c>
      <c r="J151">
        <v>57.77</v>
      </c>
      <c r="K151" s="3">
        <v>45544</v>
      </c>
      <c r="L151">
        <v>150.36000000000001</v>
      </c>
      <c r="M151" s="3">
        <v>45544</v>
      </c>
      <c r="N151">
        <v>4.29</v>
      </c>
      <c r="O151" s="3">
        <v>45544</v>
      </c>
      <c r="P151">
        <v>34.25</v>
      </c>
      <c r="Q151" s="3">
        <v>45544</v>
      </c>
      <c r="R151">
        <v>43.1</v>
      </c>
    </row>
    <row r="152" spans="7:18" x14ac:dyDescent="0.2">
      <c r="G152" s="3">
        <v>45541</v>
      </c>
      <c r="H152">
        <v>22781.43</v>
      </c>
      <c r="I152" s="3">
        <v>45541</v>
      </c>
      <c r="J152">
        <v>55.65</v>
      </c>
      <c r="K152" s="3">
        <v>45541</v>
      </c>
      <c r="L152">
        <v>144.65</v>
      </c>
      <c r="M152" s="3">
        <v>45541</v>
      </c>
      <c r="N152">
        <v>4.32</v>
      </c>
      <c r="O152" s="3">
        <v>45541</v>
      </c>
      <c r="P152">
        <v>33.71</v>
      </c>
      <c r="Q152" s="3">
        <v>45541</v>
      </c>
      <c r="R152">
        <v>42.55</v>
      </c>
    </row>
    <row r="153" spans="7:18" x14ac:dyDescent="0.2">
      <c r="G153" s="3">
        <v>45540</v>
      </c>
      <c r="H153">
        <v>22988.28</v>
      </c>
      <c r="I153" s="3">
        <v>45540</v>
      </c>
      <c r="J153">
        <v>62</v>
      </c>
      <c r="K153" s="3">
        <v>45540</v>
      </c>
      <c r="L153">
        <v>145.80000000000001</v>
      </c>
      <c r="M153" s="3">
        <v>45540</v>
      </c>
      <c r="N153">
        <v>4.49</v>
      </c>
      <c r="O153" s="3">
        <v>45540</v>
      </c>
      <c r="P153">
        <v>33.1</v>
      </c>
      <c r="Q153" s="3">
        <v>45540</v>
      </c>
      <c r="R153">
        <v>42.99</v>
      </c>
    </row>
    <row r="154" spans="7:18" x14ac:dyDescent="0.2">
      <c r="G154" s="3">
        <v>45539</v>
      </c>
      <c r="H154">
        <v>23040.76</v>
      </c>
      <c r="I154" s="3">
        <v>45539</v>
      </c>
      <c r="J154">
        <v>63.03</v>
      </c>
      <c r="K154" s="3">
        <v>45539</v>
      </c>
      <c r="L154">
        <v>147.96</v>
      </c>
      <c r="M154" s="3">
        <v>45539</v>
      </c>
      <c r="N154">
        <v>4.34</v>
      </c>
      <c r="O154" s="3">
        <v>45539</v>
      </c>
      <c r="P154">
        <v>33.72</v>
      </c>
      <c r="Q154" s="3">
        <v>45539</v>
      </c>
      <c r="R154">
        <v>42.97</v>
      </c>
    </row>
    <row r="155" spans="7:18" x14ac:dyDescent="0.2">
      <c r="G155" s="3">
        <v>45538</v>
      </c>
      <c r="H155">
        <v>23042.45</v>
      </c>
      <c r="I155" s="3">
        <v>45538</v>
      </c>
      <c r="J155">
        <v>62.96</v>
      </c>
      <c r="K155" s="3">
        <v>45538</v>
      </c>
      <c r="L155">
        <v>148.19</v>
      </c>
      <c r="M155" s="3">
        <v>45538</v>
      </c>
      <c r="N155">
        <v>4.4000000000000004</v>
      </c>
      <c r="O155" s="3">
        <v>45538</v>
      </c>
      <c r="P155">
        <v>32.9</v>
      </c>
      <c r="Q155" s="3">
        <v>45538</v>
      </c>
      <c r="R155">
        <v>43.08</v>
      </c>
    </row>
    <row r="156" spans="7:18" x14ac:dyDescent="0.2">
      <c r="G156" s="3">
        <v>45534</v>
      </c>
      <c r="H156">
        <v>23346.18</v>
      </c>
      <c r="I156" s="3">
        <v>45534</v>
      </c>
      <c r="J156">
        <v>68.62</v>
      </c>
      <c r="K156" s="3">
        <v>45534</v>
      </c>
      <c r="L156">
        <v>147.32</v>
      </c>
      <c r="M156" s="3">
        <v>45534</v>
      </c>
      <c r="N156">
        <v>4.53</v>
      </c>
      <c r="O156" s="3">
        <v>45534</v>
      </c>
      <c r="P156">
        <v>32.5</v>
      </c>
      <c r="Q156" s="3">
        <v>45534</v>
      </c>
      <c r="R156">
        <v>42.88</v>
      </c>
    </row>
    <row r="157" spans="7:18" x14ac:dyDescent="0.2">
      <c r="G157" s="3">
        <v>45533</v>
      </c>
      <c r="H157">
        <v>23227.49</v>
      </c>
      <c r="I157" s="3">
        <v>45533</v>
      </c>
      <c r="J157">
        <v>68.180000000000007</v>
      </c>
      <c r="K157" s="3">
        <v>45533</v>
      </c>
      <c r="L157">
        <v>143.65</v>
      </c>
      <c r="M157" s="3">
        <v>45533</v>
      </c>
      <c r="N157">
        <v>4.5599999999999996</v>
      </c>
      <c r="O157" s="3">
        <v>45533</v>
      </c>
      <c r="P157">
        <v>33.049999999999997</v>
      </c>
      <c r="Q157" s="3">
        <v>45533</v>
      </c>
      <c r="R157">
        <v>42.99</v>
      </c>
    </row>
    <row r="158" spans="7:18" x14ac:dyDescent="0.2">
      <c r="G158" s="3">
        <v>45532</v>
      </c>
      <c r="H158">
        <v>23126.98</v>
      </c>
      <c r="I158" s="3">
        <v>45532</v>
      </c>
      <c r="J158">
        <v>67.400000000000006</v>
      </c>
      <c r="K158" s="3">
        <v>45532</v>
      </c>
      <c r="L158">
        <v>133.94999999999999</v>
      </c>
      <c r="M158" s="3">
        <v>45532</v>
      </c>
      <c r="N158">
        <v>4.6100000000000003</v>
      </c>
      <c r="O158" s="3">
        <v>45532</v>
      </c>
      <c r="P158">
        <v>33.39</v>
      </c>
      <c r="Q158" s="3">
        <v>45532</v>
      </c>
      <c r="R158">
        <v>43.12</v>
      </c>
    </row>
    <row r="159" spans="7:18" x14ac:dyDescent="0.2">
      <c r="G159" s="3">
        <v>45531</v>
      </c>
      <c r="H159">
        <v>23259.96</v>
      </c>
      <c r="I159" s="3">
        <v>45531</v>
      </c>
      <c r="J159">
        <v>67.709999999999994</v>
      </c>
      <c r="K159" s="3">
        <v>45531</v>
      </c>
      <c r="L159">
        <v>156.74</v>
      </c>
      <c r="M159" s="3">
        <v>45531</v>
      </c>
      <c r="N159">
        <v>4.84</v>
      </c>
      <c r="O159" s="3">
        <v>45531</v>
      </c>
      <c r="P159">
        <v>33.520000000000003</v>
      </c>
      <c r="Q159" s="3">
        <v>45531</v>
      </c>
      <c r="R159">
        <v>43.87</v>
      </c>
    </row>
    <row r="160" spans="7:18" x14ac:dyDescent="0.2">
      <c r="G160" s="3">
        <v>45530</v>
      </c>
      <c r="H160">
        <v>23348.97</v>
      </c>
      <c r="I160" s="3">
        <v>45530</v>
      </c>
      <c r="J160">
        <v>68.83</v>
      </c>
      <c r="K160" s="3">
        <v>45530</v>
      </c>
      <c r="L160">
        <v>154.19999999999999</v>
      </c>
      <c r="M160" s="3">
        <v>45530</v>
      </c>
      <c r="N160">
        <v>4.67</v>
      </c>
      <c r="O160" s="3">
        <v>45530</v>
      </c>
      <c r="P160">
        <v>33.32</v>
      </c>
      <c r="Q160" s="3">
        <v>45530</v>
      </c>
      <c r="R160">
        <v>44.07</v>
      </c>
    </row>
    <row r="161" spans="7:18" x14ac:dyDescent="0.2">
      <c r="G161" s="3">
        <v>45527</v>
      </c>
      <c r="H161">
        <v>23286.080000000002</v>
      </c>
      <c r="I161" s="3">
        <v>45527</v>
      </c>
      <c r="J161">
        <v>71.83</v>
      </c>
      <c r="K161" s="3">
        <v>45527</v>
      </c>
      <c r="L161">
        <v>151.19999999999999</v>
      </c>
      <c r="M161" s="3">
        <v>45527</v>
      </c>
      <c r="N161">
        <v>4.78</v>
      </c>
      <c r="O161" s="3">
        <v>45527</v>
      </c>
      <c r="P161">
        <v>33.54</v>
      </c>
      <c r="Q161" s="3">
        <v>45527</v>
      </c>
      <c r="R161">
        <v>44.05</v>
      </c>
    </row>
    <row r="162" spans="7:18" x14ac:dyDescent="0.2">
      <c r="G162" s="3">
        <v>45526</v>
      </c>
      <c r="H162">
        <v>23037.47</v>
      </c>
      <c r="I162" s="3">
        <v>45526</v>
      </c>
      <c r="J162">
        <v>71.680000000000007</v>
      </c>
      <c r="K162" s="3">
        <v>45526</v>
      </c>
      <c r="L162">
        <v>150.58000000000001</v>
      </c>
      <c r="M162" s="3">
        <v>45526</v>
      </c>
      <c r="N162">
        <v>4.5999999999999996</v>
      </c>
      <c r="O162" s="3">
        <v>45526</v>
      </c>
      <c r="P162">
        <v>33.630000000000003</v>
      </c>
      <c r="Q162" s="3">
        <v>45526</v>
      </c>
      <c r="R162">
        <v>43.36</v>
      </c>
    </row>
    <row r="163" spans="7:18" x14ac:dyDescent="0.2">
      <c r="G163" s="3">
        <v>45525</v>
      </c>
      <c r="H163">
        <v>23121.73</v>
      </c>
      <c r="I163" s="3">
        <v>45525</v>
      </c>
      <c r="J163">
        <v>73</v>
      </c>
      <c r="K163" s="3">
        <v>45525</v>
      </c>
      <c r="L163">
        <v>152.02000000000001</v>
      </c>
      <c r="M163" s="3">
        <v>45525</v>
      </c>
      <c r="N163">
        <v>4.66</v>
      </c>
      <c r="O163" s="3">
        <v>45525</v>
      </c>
      <c r="P163">
        <v>32.950000000000003</v>
      </c>
      <c r="Q163" s="3">
        <v>45525</v>
      </c>
      <c r="R163">
        <v>43.7</v>
      </c>
    </row>
    <row r="164" spans="7:18" x14ac:dyDescent="0.2">
      <c r="G164" s="3">
        <v>45524</v>
      </c>
      <c r="H164">
        <v>23037.439999999999</v>
      </c>
      <c r="I164" s="3">
        <v>45524</v>
      </c>
      <c r="J164">
        <v>73.58</v>
      </c>
      <c r="K164" s="3">
        <v>45524</v>
      </c>
      <c r="L164">
        <v>151.77000000000001</v>
      </c>
      <c r="M164" s="3">
        <v>45524</v>
      </c>
      <c r="N164">
        <v>4.4000000000000004</v>
      </c>
      <c r="O164" s="3">
        <v>45524</v>
      </c>
      <c r="P164">
        <v>32.5</v>
      </c>
      <c r="Q164" s="3">
        <v>45524</v>
      </c>
      <c r="R164">
        <v>43.27</v>
      </c>
    </row>
    <row r="165" spans="7:18" x14ac:dyDescent="0.2">
      <c r="G165" s="3">
        <v>45523</v>
      </c>
      <c r="H165">
        <v>23116.39</v>
      </c>
      <c r="I165" s="3">
        <v>45523</v>
      </c>
      <c r="J165">
        <v>73.760000000000005</v>
      </c>
      <c r="K165" s="3">
        <v>45523</v>
      </c>
      <c r="L165">
        <v>154.44999999999999</v>
      </c>
      <c r="M165" s="3">
        <v>45523</v>
      </c>
      <c r="N165">
        <v>4.33</v>
      </c>
      <c r="O165" s="3">
        <v>45523</v>
      </c>
      <c r="P165">
        <v>32</v>
      </c>
      <c r="Q165" s="3">
        <v>45523</v>
      </c>
      <c r="R165">
        <v>44.24</v>
      </c>
    </row>
    <row r="166" spans="7:18" x14ac:dyDescent="0.2">
      <c r="G166" s="3">
        <v>45520</v>
      </c>
      <c r="H166">
        <v>23054.61</v>
      </c>
      <c r="I166" s="3">
        <v>45520</v>
      </c>
      <c r="J166">
        <v>74.94</v>
      </c>
      <c r="K166" s="3">
        <v>45520</v>
      </c>
      <c r="L166">
        <v>153.9</v>
      </c>
      <c r="M166" s="3">
        <v>45520</v>
      </c>
      <c r="N166">
        <v>4.26</v>
      </c>
      <c r="O166" s="3">
        <v>45520</v>
      </c>
      <c r="P166">
        <v>32.200000000000003</v>
      </c>
      <c r="Q166" s="3">
        <v>45520</v>
      </c>
      <c r="R166">
        <v>43.78</v>
      </c>
    </row>
    <row r="167" spans="7:18" x14ac:dyDescent="0.2">
      <c r="G167" s="3">
        <v>45519</v>
      </c>
      <c r="H167">
        <v>23032.720000000001</v>
      </c>
      <c r="I167" s="3">
        <v>45519</v>
      </c>
      <c r="J167">
        <v>76.92</v>
      </c>
      <c r="K167" s="3">
        <v>45519</v>
      </c>
      <c r="L167">
        <v>153.83000000000001</v>
      </c>
      <c r="M167" s="3">
        <v>45519</v>
      </c>
      <c r="N167">
        <v>4.34</v>
      </c>
      <c r="O167" s="3">
        <v>45519</v>
      </c>
      <c r="P167">
        <v>32.32</v>
      </c>
      <c r="Q167" s="3">
        <v>45519</v>
      </c>
      <c r="R167">
        <v>43.66</v>
      </c>
    </row>
    <row r="168" spans="7:18" x14ac:dyDescent="0.2">
      <c r="G168" s="3">
        <v>45518</v>
      </c>
      <c r="H168">
        <v>22760.01</v>
      </c>
      <c r="I168" s="3">
        <v>45518</v>
      </c>
      <c r="J168">
        <v>71.66</v>
      </c>
      <c r="K168" s="3">
        <v>45518</v>
      </c>
      <c r="L168">
        <v>151.58000000000001</v>
      </c>
      <c r="M168" s="3">
        <v>45518</v>
      </c>
      <c r="N168">
        <v>4.3</v>
      </c>
      <c r="O168" s="3">
        <v>45518</v>
      </c>
      <c r="P168">
        <v>32.229999999999997</v>
      </c>
      <c r="Q168" s="3">
        <v>45518</v>
      </c>
      <c r="R168">
        <v>42.69</v>
      </c>
    </row>
    <row r="169" spans="7:18" x14ac:dyDescent="0.2">
      <c r="G169" s="3">
        <v>45517</v>
      </c>
      <c r="H169">
        <v>22618.18</v>
      </c>
      <c r="I169" s="3">
        <v>45517</v>
      </c>
      <c r="J169">
        <v>70.19</v>
      </c>
      <c r="K169" s="3">
        <v>45517</v>
      </c>
      <c r="L169">
        <v>152.82</v>
      </c>
      <c r="M169" s="3">
        <v>45517</v>
      </c>
      <c r="N169">
        <v>4.1100000000000003</v>
      </c>
      <c r="O169" s="3">
        <v>45517</v>
      </c>
      <c r="P169">
        <v>32.799999999999997</v>
      </c>
      <c r="Q169" s="3">
        <v>45517</v>
      </c>
      <c r="R169">
        <v>42.15</v>
      </c>
    </row>
    <row r="170" spans="7:18" x14ac:dyDescent="0.2">
      <c r="G170" s="3">
        <v>45516</v>
      </c>
      <c r="H170">
        <v>22398.93</v>
      </c>
      <c r="I170" s="3">
        <v>45516</v>
      </c>
      <c r="J170">
        <v>67.58</v>
      </c>
      <c r="K170" s="3">
        <v>45516</v>
      </c>
      <c r="L170">
        <v>149.13999999999999</v>
      </c>
      <c r="M170" s="3">
        <v>45516</v>
      </c>
      <c r="N170">
        <v>4.01</v>
      </c>
      <c r="O170" s="3">
        <v>45516</v>
      </c>
      <c r="P170">
        <v>31.7</v>
      </c>
      <c r="Q170" s="3">
        <v>45516</v>
      </c>
      <c r="R170">
        <v>40.92</v>
      </c>
    </row>
    <row r="171" spans="7:18" x14ac:dyDescent="0.2">
      <c r="G171" s="3">
        <v>45513</v>
      </c>
      <c r="H171">
        <v>22311.3</v>
      </c>
      <c r="I171" s="3">
        <v>45513</v>
      </c>
      <c r="J171">
        <v>65.459999999999994</v>
      </c>
      <c r="K171" s="3">
        <v>45513</v>
      </c>
      <c r="L171">
        <v>154.71</v>
      </c>
      <c r="M171" s="3">
        <v>45513</v>
      </c>
      <c r="N171">
        <v>4.17</v>
      </c>
      <c r="O171" s="3">
        <v>45513</v>
      </c>
      <c r="P171">
        <v>33.25</v>
      </c>
      <c r="Q171" s="3">
        <v>45513</v>
      </c>
      <c r="R171">
        <v>41.54</v>
      </c>
    </row>
    <row r="172" spans="7:18" x14ac:dyDescent="0.2">
      <c r="G172" s="3">
        <v>45512</v>
      </c>
      <c r="H172">
        <v>22225.61</v>
      </c>
      <c r="I172" s="3">
        <v>45512</v>
      </c>
      <c r="J172">
        <v>63.44</v>
      </c>
      <c r="K172" s="3">
        <v>45512</v>
      </c>
      <c r="L172">
        <v>151.75</v>
      </c>
      <c r="M172" s="3">
        <v>45512</v>
      </c>
      <c r="N172">
        <v>4.1100000000000003</v>
      </c>
      <c r="O172" s="3">
        <v>45512</v>
      </c>
      <c r="P172">
        <v>34</v>
      </c>
      <c r="Q172" s="3">
        <v>45512</v>
      </c>
      <c r="R172">
        <v>41.25</v>
      </c>
    </row>
    <row r="173" spans="7:18" x14ac:dyDescent="0.2">
      <c r="G173" s="3">
        <v>45511</v>
      </c>
      <c r="H173">
        <v>21880.95</v>
      </c>
      <c r="I173" s="3">
        <v>45511</v>
      </c>
      <c r="J173">
        <v>61.13</v>
      </c>
      <c r="K173" s="3">
        <v>45511</v>
      </c>
      <c r="L173">
        <v>145.65</v>
      </c>
      <c r="M173" s="3">
        <v>45511</v>
      </c>
      <c r="N173">
        <v>4.08</v>
      </c>
      <c r="O173" s="3">
        <v>45511</v>
      </c>
      <c r="P173">
        <v>35.049999999999997</v>
      </c>
      <c r="Q173" s="3">
        <v>45511</v>
      </c>
      <c r="R173">
        <v>39.869999999999997</v>
      </c>
    </row>
    <row r="174" spans="7:18" x14ac:dyDescent="0.2">
      <c r="G174" s="3">
        <v>45510</v>
      </c>
      <c r="H174">
        <v>21979.360000000001</v>
      </c>
      <c r="I174" s="3">
        <v>45510</v>
      </c>
      <c r="J174">
        <v>64.819999999999993</v>
      </c>
      <c r="K174" s="3">
        <v>45510</v>
      </c>
      <c r="L174">
        <v>143.62</v>
      </c>
      <c r="M174" s="3">
        <v>45510</v>
      </c>
      <c r="N174">
        <v>4.1500000000000004</v>
      </c>
      <c r="O174" s="3">
        <v>45510</v>
      </c>
      <c r="P174">
        <v>35.590000000000003</v>
      </c>
      <c r="Q174" s="3">
        <v>45510</v>
      </c>
      <c r="R174">
        <v>39.86</v>
      </c>
    </row>
    <row r="175" spans="7:18" x14ac:dyDescent="0.2">
      <c r="G175" s="3">
        <v>45506</v>
      </c>
      <c r="H175">
        <v>22227.63</v>
      </c>
      <c r="I175" s="3">
        <v>45506</v>
      </c>
      <c r="J175">
        <v>64.25</v>
      </c>
      <c r="K175" s="3">
        <v>45506</v>
      </c>
      <c r="L175">
        <v>146.26</v>
      </c>
      <c r="M175" s="3">
        <v>45506</v>
      </c>
      <c r="N175">
        <v>4</v>
      </c>
      <c r="O175" s="3">
        <v>45506</v>
      </c>
      <c r="P175">
        <v>36.33</v>
      </c>
      <c r="Q175" s="3">
        <v>45506</v>
      </c>
      <c r="R175">
        <v>39.51</v>
      </c>
    </row>
    <row r="176" spans="7:18" x14ac:dyDescent="0.2">
      <c r="G176" s="3">
        <v>45505</v>
      </c>
      <c r="H176">
        <v>22723.21</v>
      </c>
      <c r="I176" s="3">
        <v>45505</v>
      </c>
      <c r="J176">
        <v>69.84</v>
      </c>
      <c r="K176" s="3">
        <v>45505</v>
      </c>
      <c r="L176">
        <v>154.55000000000001</v>
      </c>
      <c r="M176" s="3">
        <v>45505</v>
      </c>
      <c r="N176">
        <v>4.16</v>
      </c>
      <c r="O176" s="3">
        <v>45505</v>
      </c>
      <c r="P176">
        <v>36.5</v>
      </c>
      <c r="Q176" s="3">
        <v>45505</v>
      </c>
      <c r="R176">
        <v>42.27</v>
      </c>
    </row>
    <row r="177" spans="7:18" x14ac:dyDescent="0.2">
      <c r="G177" s="3">
        <v>45504</v>
      </c>
      <c r="H177">
        <v>23110.81</v>
      </c>
      <c r="I177" s="3">
        <v>45504</v>
      </c>
      <c r="J177">
        <v>72.41</v>
      </c>
      <c r="K177" s="3">
        <v>45504</v>
      </c>
      <c r="L177">
        <v>169.86</v>
      </c>
      <c r="M177" s="3">
        <v>45504</v>
      </c>
      <c r="N177">
        <v>4.21</v>
      </c>
      <c r="O177" s="3">
        <v>45504</v>
      </c>
      <c r="P177">
        <v>36.950000000000003</v>
      </c>
      <c r="Q177" s="3">
        <v>45504</v>
      </c>
      <c r="R177">
        <v>43.52</v>
      </c>
    </row>
    <row r="178" spans="7:18" x14ac:dyDescent="0.2">
      <c r="G178" s="3">
        <v>45503</v>
      </c>
      <c r="H178">
        <v>22824.67</v>
      </c>
      <c r="I178" s="3">
        <v>45503</v>
      </c>
      <c r="J178">
        <v>67.75</v>
      </c>
      <c r="K178" s="3">
        <v>45503</v>
      </c>
      <c r="L178">
        <v>167.38</v>
      </c>
      <c r="M178" s="3">
        <v>45503</v>
      </c>
      <c r="N178">
        <v>4.1399999999999997</v>
      </c>
      <c r="O178" s="3">
        <v>45503</v>
      </c>
      <c r="P178">
        <v>36.5</v>
      </c>
      <c r="Q178" s="3">
        <v>45503</v>
      </c>
      <c r="R178">
        <v>43.14</v>
      </c>
    </row>
    <row r="179" spans="7:18" x14ac:dyDescent="0.2">
      <c r="G179" s="3">
        <v>45502</v>
      </c>
      <c r="H179">
        <v>22779.57</v>
      </c>
      <c r="I179" s="3">
        <v>45502</v>
      </c>
      <c r="J179">
        <v>69.25</v>
      </c>
      <c r="K179" s="3">
        <v>45502</v>
      </c>
      <c r="L179">
        <v>169.78</v>
      </c>
      <c r="M179" s="3">
        <v>45502</v>
      </c>
      <c r="N179">
        <v>4.24</v>
      </c>
      <c r="O179" s="3">
        <v>45502</v>
      </c>
      <c r="P179">
        <v>38.1</v>
      </c>
      <c r="Q179" s="3">
        <v>45502</v>
      </c>
      <c r="R179">
        <v>43.13</v>
      </c>
    </row>
    <row r="180" spans="7:18" x14ac:dyDescent="0.2">
      <c r="G180" s="3">
        <v>45499</v>
      </c>
      <c r="H180">
        <v>22814.81</v>
      </c>
      <c r="I180" s="3">
        <v>45499</v>
      </c>
      <c r="J180">
        <v>72.89</v>
      </c>
      <c r="K180" s="3">
        <v>45499</v>
      </c>
      <c r="L180">
        <v>169.41</v>
      </c>
      <c r="M180" s="3">
        <v>45499</v>
      </c>
      <c r="N180">
        <v>4.2699999999999996</v>
      </c>
      <c r="O180" s="3">
        <v>45499</v>
      </c>
      <c r="P180">
        <v>38.15</v>
      </c>
      <c r="Q180" s="3">
        <v>45499</v>
      </c>
      <c r="R180">
        <v>43.55</v>
      </c>
    </row>
    <row r="181" spans="7:18" x14ac:dyDescent="0.2">
      <c r="G181" s="3">
        <v>45498</v>
      </c>
      <c r="H181">
        <v>22608.03</v>
      </c>
      <c r="I181" s="3">
        <v>45498</v>
      </c>
      <c r="J181">
        <v>70.64</v>
      </c>
      <c r="K181" s="3">
        <v>45498</v>
      </c>
      <c r="L181">
        <v>167.46</v>
      </c>
      <c r="M181" s="3">
        <v>45498</v>
      </c>
      <c r="N181">
        <v>4.17</v>
      </c>
      <c r="O181" s="3">
        <v>45498</v>
      </c>
      <c r="P181">
        <v>37.06</v>
      </c>
      <c r="Q181" s="3">
        <v>45498</v>
      </c>
      <c r="R181">
        <v>43.06</v>
      </c>
    </row>
    <row r="182" spans="7:18" x14ac:dyDescent="0.2">
      <c r="G182" s="3">
        <v>45497</v>
      </c>
      <c r="H182">
        <v>22639.57</v>
      </c>
      <c r="I182" s="3">
        <v>45497</v>
      </c>
      <c r="J182">
        <v>73.75</v>
      </c>
      <c r="K182" s="3">
        <v>45497</v>
      </c>
      <c r="L182">
        <v>168.92</v>
      </c>
      <c r="M182" s="3">
        <v>45497</v>
      </c>
      <c r="N182">
        <v>4.1100000000000003</v>
      </c>
      <c r="O182" s="3">
        <v>45497</v>
      </c>
      <c r="P182">
        <v>36.700000000000003</v>
      </c>
      <c r="Q182" s="3">
        <v>45497</v>
      </c>
      <c r="R182">
        <v>42.44</v>
      </c>
    </row>
    <row r="183" spans="7:18" x14ac:dyDescent="0.2">
      <c r="G183" s="3">
        <v>45496</v>
      </c>
      <c r="H183">
        <v>22813.75</v>
      </c>
      <c r="I183" s="3">
        <v>45496</v>
      </c>
      <c r="J183">
        <v>79.72</v>
      </c>
      <c r="K183" s="3">
        <v>45496</v>
      </c>
      <c r="L183">
        <v>170.35</v>
      </c>
      <c r="M183" s="3">
        <v>45496</v>
      </c>
      <c r="N183">
        <v>4.1900000000000004</v>
      </c>
      <c r="O183" s="3">
        <v>45496</v>
      </c>
      <c r="P183">
        <v>37.229999999999997</v>
      </c>
      <c r="Q183" s="3">
        <v>45496</v>
      </c>
      <c r="R183">
        <v>43.26</v>
      </c>
    </row>
    <row r="184" spans="7:18" x14ac:dyDescent="0.2">
      <c r="G184" s="3">
        <v>45495</v>
      </c>
      <c r="H184">
        <v>22872.65</v>
      </c>
      <c r="I184" s="3">
        <v>45495</v>
      </c>
      <c r="J184">
        <v>78.28</v>
      </c>
      <c r="K184" s="3">
        <v>45495</v>
      </c>
      <c r="L184">
        <v>167.53</v>
      </c>
      <c r="M184" s="3">
        <v>45495</v>
      </c>
      <c r="N184">
        <v>4.13</v>
      </c>
      <c r="O184" s="3">
        <v>45495</v>
      </c>
      <c r="P184">
        <v>35.450000000000003</v>
      </c>
      <c r="Q184" s="3">
        <v>45495</v>
      </c>
      <c r="R184">
        <v>42.98</v>
      </c>
    </row>
    <row r="185" spans="7:18" x14ac:dyDescent="0.2">
      <c r="G185" s="3">
        <v>45492</v>
      </c>
      <c r="H185">
        <v>22690.39</v>
      </c>
      <c r="I185" s="3">
        <v>45492</v>
      </c>
      <c r="J185">
        <v>77.599999999999994</v>
      </c>
      <c r="K185" s="3">
        <v>45492</v>
      </c>
      <c r="L185">
        <v>164.93</v>
      </c>
      <c r="M185" s="3">
        <v>45492</v>
      </c>
      <c r="N185">
        <v>4.13</v>
      </c>
      <c r="O185" s="3">
        <v>45492</v>
      </c>
      <c r="P185">
        <v>35.700000000000003</v>
      </c>
      <c r="Q185" s="3">
        <v>45492</v>
      </c>
      <c r="R185">
        <v>42.47</v>
      </c>
    </row>
    <row r="186" spans="7:18" x14ac:dyDescent="0.2">
      <c r="G186" s="3">
        <v>45491</v>
      </c>
      <c r="H186">
        <v>22726.76</v>
      </c>
      <c r="I186" s="3">
        <v>45491</v>
      </c>
      <c r="J186">
        <v>77.209999999999994</v>
      </c>
      <c r="K186" s="3">
        <v>45491</v>
      </c>
      <c r="L186">
        <v>164.65</v>
      </c>
      <c r="M186" s="3">
        <v>45491</v>
      </c>
      <c r="N186">
        <v>4.07</v>
      </c>
      <c r="O186" s="3">
        <v>45491</v>
      </c>
      <c r="P186">
        <v>35.94</v>
      </c>
      <c r="Q186" s="3">
        <v>45491</v>
      </c>
      <c r="R186">
        <v>42.3</v>
      </c>
    </row>
    <row r="187" spans="7:18" x14ac:dyDescent="0.2">
      <c r="G187" s="3">
        <v>45490</v>
      </c>
      <c r="H187">
        <v>22851.17</v>
      </c>
      <c r="I187" s="3">
        <v>45490</v>
      </c>
      <c r="J187">
        <v>77.790000000000006</v>
      </c>
      <c r="K187" s="3">
        <v>45490</v>
      </c>
      <c r="L187">
        <v>166.01</v>
      </c>
      <c r="M187" s="3">
        <v>45490</v>
      </c>
      <c r="N187">
        <v>4.18</v>
      </c>
      <c r="O187" s="3">
        <v>45490</v>
      </c>
      <c r="P187">
        <v>36.26</v>
      </c>
      <c r="Q187" s="3">
        <v>45490</v>
      </c>
      <c r="R187">
        <v>42.86</v>
      </c>
    </row>
    <row r="188" spans="7:18" x14ac:dyDescent="0.2">
      <c r="G188" s="3">
        <v>45489</v>
      </c>
      <c r="H188">
        <v>22995.39</v>
      </c>
      <c r="I188" s="3">
        <v>45489</v>
      </c>
      <c r="J188">
        <v>86.5</v>
      </c>
      <c r="K188" s="3">
        <v>45489</v>
      </c>
      <c r="L188">
        <v>167.75</v>
      </c>
      <c r="M188" s="3">
        <v>45489</v>
      </c>
      <c r="N188">
        <v>4.46</v>
      </c>
      <c r="O188" s="3">
        <v>45489</v>
      </c>
      <c r="P188">
        <v>36.799999999999997</v>
      </c>
      <c r="Q188" s="3">
        <v>45489</v>
      </c>
      <c r="R188">
        <v>43.34</v>
      </c>
    </row>
    <row r="189" spans="7:18" x14ac:dyDescent="0.2">
      <c r="G189" s="3">
        <v>45488</v>
      </c>
      <c r="H189">
        <v>22751.68</v>
      </c>
      <c r="I189" s="3">
        <v>45488</v>
      </c>
      <c r="J189">
        <v>83.73</v>
      </c>
      <c r="K189" s="3">
        <v>45488</v>
      </c>
      <c r="L189">
        <v>166.47</v>
      </c>
      <c r="M189" s="3">
        <v>45488</v>
      </c>
      <c r="N189">
        <v>4.3</v>
      </c>
      <c r="O189" s="3">
        <v>45488</v>
      </c>
      <c r="P189">
        <v>36</v>
      </c>
      <c r="Q189" s="3">
        <v>45488</v>
      </c>
      <c r="R189">
        <v>42.4</v>
      </c>
    </row>
    <row r="190" spans="7:18" x14ac:dyDescent="0.2">
      <c r="G190" s="3">
        <v>45485</v>
      </c>
      <c r="H190">
        <v>22673.52</v>
      </c>
      <c r="I190" s="3">
        <v>45485</v>
      </c>
      <c r="J190">
        <v>81.010000000000005</v>
      </c>
      <c r="K190" s="3">
        <v>45485</v>
      </c>
      <c r="L190">
        <v>158.54</v>
      </c>
      <c r="M190" s="3">
        <v>45485</v>
      </c>
      <c r="N190">
        <v>4.28</v>
      </c>
      <c r="O190" s="3">
        <v>45485</v>
      </c>
      <c r="P190">
        <v>36.32</v>
      </c>
      <c r="Q190" s="3">
        <v>45485</v>
      </c>
      <c r="R190">
        <v>42.99</v>
      </c>
    </row>
    <row r="191" spans="7:18" x14ac:dyDescent="0.2">
      <c r="G191" s="3">
        <v>45484</v>
      </c>
      <c r="H191">
        <v>22544.13</v>
      </c>
      <c r="I191" s="3">
        <v>45484</v>
      </c>
      <c r="J191">
        <v>81.08</v>
      </c>
      <c r="K191" s="3">
        <v>45484</v>
      </c>
      <c r="L191">
        <v>156.55000000000001</v>
      </c>
      <c r="M191" s="3">
        <v>45484</v>
      </c>
      <c r="N191">
        <v>4.3600000000000003</v>
      </c>
      <c r="O191" s="3">
        <v>45484</v>
      </c>
      <c r="P191">
        <v>35.6</v>
      </c>
      <c r="Q191" s="3">
        <v>45484</v>
      </c>
      <c r="R191">
        <v>42.79</v>
      </c>
    </row>
    <row r="192" spans="7:18" x14ac:dyDescent="0.2">
      <c r="G192" s="3">
        <v>45483</v>
      </c>
      <c r="H192">
        <v>22350.23</v>
      </c>
      <c r="I192" s="3">
        <v>45483</v>
      </c>
      <c r="J192">
        <v>83.71</v>
      </c>
      <c r="K192" s="3">
        <v>45483</v>
      </c>
      <c r="L192">
        <v>160.27000000000001</v>
      </c>
      <c r="M192" s="3">
        <v>45483</v>
      </c>
      <c r="N192">
        <v>4.3899999999999997</v>
      </c>
      <c r="O192" s="3">
        <v>45483</v>
      </c>
      <c r="P192">
        <v>36.049999999999997</v>
      </c>
      <c r="Q192" s="3">
        <v>45483</v>
      </c>
      <c r="R192">
        <v>42.45</v>
      </c>
    </row>
    <row r="193" spans="7:18" x14ac:dyDescent="0.2">
      <c r="G193" s="3">
        <v>45482</v>
      </c>
      <c r="H193">
        <v>22042.5</v>
      </c>
      <c r="I193" s="3">
        <v>45482</v>
      </c>
      <c r="J193">
        <v>80.77</v>
      </c>
      <c r="K193" s="3">
        <v>45482</v>
      </c>
      <c r="L193">
        <v>157.09</v>
      </c>
      <c r="M193" s="3">
        <v>45482</v>
      </c>
      <c r="N193">
        <v>4.4400000000000004</v>
      </c>
      <c r="O193" s="3">
        <v>45482</v>
      </c>
      <c r="P193">
        <v>36.75</v>
      </c>
      <c r="Q193" s="3">
        <v>45482</v>
      </c>
      <c r="R193">
        <v>42.12</v>
      </c>
    </row>
    <row r="194" spans="7:18" x14ac:dyDescent="0.2">
      <c r="G194" s="3">
        <v>45481</v>
      </c>
      <c r="H194">
        <v>22126.13</v>
      </c>
      <c r="I194" s="3">
        <v>45481</v>
      </c>
      <c r="J194">
        <v>80.73</v>
      </c>
      <c r="K194" s="3">
        <v>45481</v>
      </c>
      <c r="L194">
        <v>159.81</v>
      </c>
      <c r="M194" s="3">
        <v>45481</v>
      </c>
      <c r="N194">
        <v>4.4800000000000004</v>
      </c>
      <c r="O194" s="3">
        <v>45481</v>
      </c>
      <c r="P194">
        <v>36.75</v>
      </c>
      <c r="Q194" s="3">
        <v>45481</v>
      </c>
      <c r="R194">
        <v>42.29</v>
      </c>
    </row>
    <row r="195" spans="7:18" x14ac:dyDescent="0.2">
      <c r="G195" s="3">
        <v>45478</v>
      </c>
      <c r="H195">
        <v>22059.03</v>
      </c>
      <c r="I195" s="3">
        <v>45478</v>
      </c>
      <c r="J195">
        <v>78.53</v>
      </c>
      <c r="K195" s="3">
        <v>45478</v>
      </c>
      <c r="L195">
        <v>157.79</v>
      </c>
      <c r="M195" s="3">
        <v>45478</v>
      </c>
      <c r="N195">
        <v>4.37</v>
      </c>
      <c r="O195" s="3">
        <v>45478</v>
      </c>
      <c r="P195">
        <v>36.909999999999997</v>
      </c>
      <c r="Q195" s="3">
        <v>45478</v>
      </c>
      <c r="R195">
        <v>42.2</v>
      </c>
    </row>
    <row r="196" spans="7:18" x14ac:dyDescent="0.2">
      <c r="G196" s="3">
        <v>45477</v>
      </c>
      <c r="H196">
        <v>22244.02</v>
      </c>
      <c r="I196" s="3">
        <v>45477</v>
      </c>
      <c r="J196">
        <v>80.39</v>
      </c>
      <c r="K196" s="3">
        <v>45477</v>
      </c>
      <c r="L196">
        <v>160.99</v>
      </c>
      <c r="M196" s="3">
        <v>45477</v>
      </c>
      <c r="N196">
        <v>4.45</v>
      </c>
      <c r="O196" s="3">
        <v>45477</v>
      </c>
      <c r="P196">
        <v>37.43</v>
      </c>
      <c r="Q196" s="3">
        <v>45477</v>
      </c>
      <c r="R196">
        <v>42.23</v>
      </c>
    </row>
    <row r="197" spans="7:18" x14ac:dyDescent="0.2">
      <c r="G197" s="3">
        <v>45476</v>
      </c>
      <c r="H197">
        <v>22223.67</v>
      </c>
      <c r="I197" s="3">
        <v>45476</v>
      </c>
      <c r="J197">
        <v>79.39</v>
      </c>
      <c r="K197" s="3">
        <v>45476</v>
      </c>
      <c r="L197">
        <v>160.80000000000001</v>
      </c>
      <c r="M197" s="3">
        <v>45476</v>
      </c>
      <c r="N197">
        <v>4.4400000000000004</v>
      </c>
      <c r="O197" s="3">
        <v>45476</v>
      </c>
      <c r="P197">
        <v>37.1</v>
      </c>
      <c r="Q197" s="3">
        <v>45476</v>
      </c>
      <c r="R197">
        <v>42.5</v>
      </c>
    </row>
    <row r="198" spans="7:18" x14ac:dyDescent="0.2">
      <c r="G198" s="3">
        <v>45475</v>
      </c>
      <c r="H198">
        <v>21953.8</v>
      </c>
      <c r="I198" s="3">
        <v>45475</v>
      </c>
      <c r="J198">
        <v>80.209999999999994</v>
      </c>
      <c r="K198" s="3">
        <v>45475</v>
      </c>
      <c r="L198">
        <v>161.83000000000001</v>
      </c>
      <c r="M198" s="3">
        <v>45475</v>
      </c>
      <c r="N198">
        <v>4.43</v>
      </c>
      <c r="O198" s="3">
        <v>45475</v>
      </c>
      <c r="P198">
        <v>36.92</v>
      </c>
      <c r="Q198" s="3">
        <v>45475</v>
      </c>
      <c r="R198">
        <v>41.89</v>
      </c>
    </row>
    <row r="199" spans="7:18" x14ac:dyDescent="0.2">
      <c r="G199" s="3">
        <v>45471</v>
      </c>
      <c r="H199">
        <v>21875.79</v>
      </c>
      <c r="I199" s="3">
        <v>45471</v>
      </c>
      <c r="J199">
        <v>78.34</v>
      </c>
      <c r="K199" s="3">
        <v>45471</v>
      </c>
      <c r="L199">
        <v>157.76</v>
      </c>
      <c r="M199" s="3">
        <v>45471</v>
      </c>
      <c r="N199">
        <v>4.3</v>
      </c>
      <c r="O199" s="3">
        <v>45471</v>
      </c>
      <c r="P199">
        <v>36.93</v>
      </c>
      <c r="Q199" s="3">
        <v>45471</v>
      </c>
      <c r="R199">
        <v>41.08</v>
      </c>
    </row>
    <row r="200" spans="7:18" x14ac:dyDescent="0.2">
      <c r="G200" s="3">
        <v>45470</v>
      </c>
      <c r="H200">
        <v>21942.16</v>
      </c>
      <c r="I200" s="3">
        <v>45470</v>
      </c>
      <c r="J200">
        <v>78.31</v>
      </c>
      <c r="K200" s="3">
        <v>45470</v>
      </c>
      <c r="L200">
        <v>151.1</v>
      </c>
      <c r="M200" s="3">
        <v>45470</v>
      </c>
      <c r="N200">
        <v>4.37</v>
      </c>
      <c r="O200" s="3">
        <v>45470</v>
      </c>
      <c r="P200">
        <v>37.49</v>
      </c>
      <c r="Q200" s="3">
        <v>45470</v>
      </c>
      <c r="R200">
        <v>40.86</v>
      </c>
    </row>
    <row r="201" spans="7:18" x14ac:dyDescent="0.2">
      <c r="G201" s="3">
        <v>45469</v>
      </c>
      <c r="H201">
        <v>21793.9</v>
      </c>
      <c r="I201" s="3">
        <v>45469</v>
      </c>
      <c r="J201">
        <v>75.83</v>
      </c>
      <c r="K201" s="3">
        <v>45469</v>
      </c>
      <c r="L201">
        <v>148.84</v>
      </c>
      <c r="M201" s="3">
        <v>45469</v>
      </c>
      <c r="N201">
        <v>4.33</v>
      </c>
      <c r="O201" s="3">
        <v>45469</v>
      </c>
      <c r="P201">
        <v>36.92</v>
      </c>
      <c r="Q201" s="3">
        <v>45469</v>
      </c>
      <c r="R201">
        <v>40.61</v>
      </c>
    </row>
    <row r="202" spans="7:18" x14ac:dyDescent="0.2">
      <c r="G202" s="3">
        <v>45468</v>
      </c>
      <c r="H202">
        <v>21788.48</v>
      </c>
      <c r="I202" s="3">
        <v>45468</v>
      </c>
      <c r="J202">
        <v>76.2</v>
      </c>
      <c r="K202" s="3">
        <v>45468</v>
      </c>
      <c r="L202">
        <v>150.84</v>
      </c>
      <c r="M202" s="3">
        <v>45468</v>
      </c>
      <c r="N202">
        <v>4.37</v>
      </c>
      <c r="O202" s="3">
        <v>45468</v>
      </c>
      <c r="P202">
        <v>36.9</v>
      </c>
      <c r="Q202" s="3">
        <v>45468</v>
      </c>
      <c r="R202">
        <v>40.65</v>
      </c>
    </row>
    <row r="203" spans="7:18" x14ac:dyDescent="0.2">
      <c r="G203" s="3">
        <v>45467</v>
      </c>
      <c r="H203">
        <v>21848.59</v>
      </c>
      <c r="I203" s="3">
        <v>45467</v>
      </c>
      <c r="J203">
        <v>72.86</v>
      </c>
      <c r="K203" s="3">
        <v>45467</v>
      </c>
      <c r="L203">
        <v>150.58000000000001</v>
      </c>
      <c r="M203" s="3">
        <v>45467</v>
      </c>
      <c r="N203">
        <v>4.47</v>
      </c>
      <c r="O203" s="3">
        <v>45467</v>
      </c>
      <c r="P203">
        <v>36.07</v>
      </c>
      <c r="Q203" s="3">
        <v>45467</v>
      </c>
      <c r="R203">
        <v>40.119999999999997</v>
      </c>
    </row>
    <row r="204" spans="7:18" x14ac:dyDescent="0.2">
      <c r="G204" s="3">
        <v>45464</v>
      </c>
      <c r="H204">
        <v>21554.86</v>
      </c>
      <c r="I204" s="3">
        <v>45464</v>
      </c>
      <c r="J204">
        <v>76.63</v>
      </c>
      <c r="K204" s="3">
        <v>45464</v>
      </c>
      <c r="L204">
        <v>150.16</v>
      </c>
      <c r="M204" s="3">
        <v>45464</v>
      </c>
      <c r="N204">
        <v>4.4000000000000004</v>
      </c>
      <c r="O204" s="3">
        <v>45464</v>
      </c>
      <c r="P204">
        <v>36.299999999999997</v>
      </c>
      <c r="Q204" s="3">
        <v>45464</v>
      </c>
      <c r="R204">
        <v>40.630000000000003</v>
      </c>
    </row>
    <row r="205" spans="7:18" x14ac:dyDescent="0.2">
      <c r="G205" s="3">
        <v>45463</v>
      </c>
      <c r="H205">
        <v>21581.35</v>
      </c>
      <c r="I205" s="3">
        <v>45463</v>
      </c>
      <c r="J205">
        <v>76.400000000000006</v>
      </c>
      <c r="K205" s="3">
        <v>45463</v>
      </c>
      <c r="L205">
        <v>148.71</v>
      </c>
      <c r="M205" s="3">
        <v>45463</v>
      </c>
      <c r="N205">
        <v>4.49</v>
      </c>
      <c r="O205" s="3">
        <v>45463</v>
      </c>
      <c r="P205">
        <v>35.67</v>
      </c>
      <c r="Q205" s="3">
        <v>45463</v>
      </c>
      <c r="R205">
        <v>39.83</v>
      </c>
    </row>
    <row r="206" spans="7:18" x14ac:dyDescent="0.2">
      <c r="G206" s="3">
        <v>45462</v>
      </c>
      <c r="H206">
        <v>21516.9</v>
      </c>
      <c r="I206" s="3">
        <v>45462</v>
      </c>
      <c r="J206">
        <v>81.97</v>
      </c>
      <c r="K206" s="3">
        <v>45462</v>
      </c>
      <c r="L206">
        <v>150.62</v>
      </c>
      <c r="M206" s="3">
        <v>45462</v>
      </c>
      <c r="N206">
        <v>4.5999999999999996</v>
      </c>
      <c r="O206" s="3">
        <v>45462</v>
      </c>
      <c r="P206">
        <v>36.1</v>
      </c>
      <c r="Q206" s="3">
        <v>45462</v>
      </c>
      <c r="R206">
        <v>39.26</v>
      </c>
    </row>
    <row r="207" spans="7:18" x14ac:dyDescent="0.2">
      <c r="G207" s="3">
        <v>45461</v>
      </c>
      <c r="H207">
        <v>21611.3</v>
      </c>
      <c r="I207" s="3">
        <v>45461</v>
      </c>
      <c r="J207">
        <v>81.12</v>
      </c>
      <c r="K207" s="3">
        <v>45461</v>
      </c>
      <c r="L207">
        <v>150.5</v>
      </c>
      <c r="M207" s="3">
        <v>45461</v>
      </c>
      <c r="N207">
        <v>4.6399999999999997</v>
      </c>
      <c r="O207" s="3">
        <v>45461</v>
      </c>
      <c r="P207">
        <v>37.47</v>
      </c>
      <c r="Q207" s="3">
        <v>45461</v>
      </c>
      <c r="R207">
        <v>39.65</v>
      </c>
    </row>
    <row r="208" spans="7:18" x14ac:dyDescent="0.2">
      <c r="G208" s="3">
        <v>45460</v>
      </c>
      <c r="H208">
        <v>21587.88</v>
      </c>
      <c r="I208" s="3">
        <v>45460</v>
      </c>
      <c r="J208">
        <v>78.260000000000005</v>
      </c>
      <c r="K208" s="3">
        <v>45460</v>
      </c>
      <c r="L208">
        <v>150.29</v>
      </c>
      <c r="M208" s="3">
        <v>45460</v>
      </c>
      <c r="N208">
        <v>4.8600000000000003</v>
      </c>
      <c r="O208" s="3">
        <v>45460</v>
      </c>
      <c r="P208">
        <v>38</v>
      </c>
      <c r="Q208" s="3">
        <v>45460</v>
      </c>
      <c r="R208">
        <v>40.26</v>
      </c>
    </row>
    <row r="209" spans="7:18" x14ac:dyDescent="0.2">
      <c r="G209" s="3">
        <v>45457</v>
      </c>
      <c r="H209">
        <v>21639.1</v>
      </c>
      <c r="I209" s="3">
        <v>45457</v>
      </c>
      <c r="J209">
        <v>76.569999999999993</v>
      </c>
      <c r="K209" s="3">
        <v>45457</v>
      </c>
      <c r="L209">
        <v>149.05000000000001</v>
      </c>
      <c r="M209" s="3">
        <v>45457</v>
      </c>
      <c r="N209">
        <v>4.91</v>
      </c>
      <c r="O209" s="3">
        <v>45457</v>
      </c>
      <c r="P209">
        <v>36.35</v>
      </c>
      <c r="Q209" s="3">
        <v>45457</v>
      </c>
      <c r="R209">
        <v>39.51</v>
      </c>
    </row>
    <row r="210" spans="7:18" x14ac:dyDescent="0.2">
      <c r="G210" s="3">
        <v>45456</v>
      </c>
      <c r="H210">
        <v>21698.11</v>
      </c>
      <c r="I210" s="3">
        <v>45456</v>
      </c>
      <c r="J210">
        <v>77.95</v>
      </c>
      <c r="K210" s="3">
        <v>45456</v>
      </c>
      <c r="L210">
        <v>149.24</v>
      </c>
      <c r="M210" s="3">
        <v>45456</v>
      </c>
      <c r="N210">
        <v>4.8600000000000003</v>
      </c>
      <c r="O210" s="3">
        <v>45456</v>
      </c>
      <c r="P210">
        <v>35.5</v>
      </c>
      <c r="Q210" s="3">
        <v>45456</v>
      </c>
      <c r="R210">
        <v>39.270000000000003</v>
      </c>
    </row>
    <row r="211" spans="7:18" x14ac:dyDescent="0.2">
      <c r="G211" s="3">
        <v>45455</v>
      </c>
      <c r="H211">
        <v>21961.55</v>
      </c>
      <c r="I211" s="3">
        <v>45455</v>
      </c>
      <c r="J211">
        <v>75.33</v>
      </c>
      <c r="K211" s="3">
        <v>45455</v>
      </c>
      <c r="L211">
        <v>150.25</v>
      </c>
      <c r="M211" s="3">
        <v>45455</v>
      </c>
      <c r="N211">
        <v>4.9000000000000004</v>
      </c>
      <c r="O211" s="3">
        <v>45455</v>
      </c>
      <c r="P211">
        <v>35.81</v>
      </c>
      <c r="Q211" s="3">
        <v>45455</v>
      </c>
      <c r="R211">
        <v>39.590000000000003</v>
      </c>
    </row>
    <row r="212" spans="7:18" x14ac:dyDescent="0.2">
      <c r="G212" s="3">
        <v>45454</v>
      </c>
      <c r="H212">
        <v>21887.34</v>
      </c>
      <c r="I212" s="3">
        <v>45454</v>
      </c>
      <c r="J212">
        <v>73.23</v>
      </c>
      <c r="K212" s="3">
        <v>45454</v>
      </c>
      <c r="L212">
        <v>148.72</v>
      </c>
      <c r="M212" s="3">
        <v>45454</v>
      </c>
      <c r="N212">
        <v>4.88</v>
      </c>
      <c r="O212" s="3">
        <v>45454</v>
      </c>
      <c r="P212">
        <v>36.130000000000003</v>
      </c>
      <c r="Q212" s="3">
        <v>45454</v>
      </c>
      <c r="R212">
        <v>38.950000000000003</v>
      </c>
    </row>
    <row r="213" spans="7:18" x14ac:dyDescent="0.2">
      <c r="G213" s="3">
        <v>45453</v>
      </c>
      <c r="H213">
        <v>22069.759999999998</v>
      </c>
      <c r="I213" s="3">
        <v>45453</v>
      </c>
      <c r="J213">
        <v>75.040000000000006</v>
      </c>
      <c r="K213" s="3">
        <v>45453</v>
      </c>
      <c r="L213">
        <v>149.66999999999999</v>
      </c>
      <c r="M213" s="3">
        <v>45453</v>
      </c>
      <c r="N213">
        <v>4.8899999999999997</v>
      </c>
      <c r="O213" s="3">
        <v>45453</v>
      </c>
      <c r="P213">
        <v>37.33</v>
      </c>
      <c r="Q213" s="3">
        <v>45453</v>
      </c>
      <c r="R213">
        <v>38.880000000000003</v>
      </c>
    </row>
    <row r="214" spans="7:18" x14ac:dyDescent="0.2">
      <c r="G214" s="3">
        <v>45450</v>
      </c>
      <c r="H214">
        <v>22007</v>
      </c>
      <c r="I214" s="3">
        <v>45450</v>
      </c>
      <c r="J214">
        <v>71.88</v>
      </c>
      <c r="K214" s="3">
        <v>45450</v>
      </c>
      <c r="L214">
        <v>147.44999999999999</v>
      </c>
      <c r="M214" s="3">
        <v>45450</v>
      </c>
      <c r="N214">
        <v>4.82</v>
      </c>
      <c r="O214" s="3">
        <v>45450</v>
      </c>
      <c r="P214">
        <v>37.950000000000003</v>
      </c>
      <c r="Q214" s="3">
        <v>45450</v>
      </c>
      <c r="R214">
        <v>38.11</v>
      </c>
    </row>
    <row r="215" spans="7:18" x14ac:dyDescent="0.2">
      <c r="G215" s="3">
        <v>45449</v>
      </c>
      <c r="H215">
        <v>22229.1</v>
      </c>
      <c r="I215" s="3">
        <v>45449</v>
      </c>
      <c r="J215">
        <v>71.8</v>
      </c>
      <c r="K215" s="3">
        <v>45449</v>
      </c>
      <c r="L215">
        <v>151.24</v>
      </c>
      <c r="M215" s="3">
        <v>45449</v>
      </c>
      <c r="N215">
        <v>4.91</v>
      </c>
      <c r="O215" s="3">
        <v>45449</v>
      </c>
      <c r="P215">
        <v>38.9</v>
      </c>
      <c r="Q215" s="3">
        <v>45449</v>
      </c>
      <c r="R215">
        <v>38.5</v>
      </c>
    </row>
    <row r="216" spans="7:18" x14ac:dyDescent="0.2">
      <c r="G216" s="3">
        <v>45448</v>
      </c>
      <c r="H216">
        <v>22145.02</v>
      </c>
      <c r="I216" s="3">
        <v>45448</v>
      </c>
      <c r="J216">
        <v>77.16</v>
      </c>
      <c r="K216" s="3">
        <v>45448</v>
      </c>
      <c r="L216">
        <v>150.75</v>
      </c>
      <c r="M216" s="3">
        <v>45448</v>
      </c>
      <c r="N216">
        <v>4.99</v>
      </c>
      <c r="O216" s="3">
        <v>45448</v>
      </c>
      <c r="P216">
        <v>39.1</v>
      </c>
      <c r="Q216" s="3">
        <v>45448</v>
      </c>
      <c r="R216">
        <v>38.46</v>
      </c>
    </row>
    <row r="217" spans="7:18" x14ac:dyDescent="0.2">
      <c r="G217" s="3">
        <v>45447</v>
      </c>
      <c r="H217">
        <v>21978.18</v>
      </c>
      <c r="I217" s="3">
        <v>45447</v>
      </c>
      <c r="J217">
        <v>72.08</v>
      </c>
      <c r="K217" s="3">
        <v>45447</v>
      </c>
      <c r="L217">
        <v>145.28</v>
      </c>
      <c r="M217" s="3">
        <v>45447</v>
      </c>
      <c r="N217">
        <v>4.8</v>
      </c>
      <c r="O217" s="3">
        <v>45447</v>
      </c>
      <c r="P217">
        <v>37.85</v>
      </c>
      <c r="Q217" s="3">
        <v>45447</v>
      </c>
      <c r="R217">
        <v>38.049999999999997</v>
      </c>
    </row>
    <row r="218" spans="7:18" x14ac:dyDescent="0.2">
      <c r="G218" s="3">
        <v>45446</v>
      </c>
      <c r="H218">
        <v>22116.69</v>
      </c>
      <c r="I218" s="3">
        <v>45446</v>
      </c>
      <c r="J218">
        <v>75.790000000000006</v>
      </c>
      <c r="K218" s="3">
        <v>45446</v>
      </c>
      <c r="L218">
        <v>145.22999999999999</v>
      </c>
      <c r="M218" s="3">
        <v>45446</v>
      </c>
      <c r="N218">
        <v>4.6900000000000004</v>
      </c>
      <c r="O218" s="3">
        <v>45446</v>
      </c>
      <c r="P218">
        <v>38.03</v>
      </c>
      <c r="Q218" s="3">
        <v>45446</v>
      </c>
      <c r="R218">
        <v>39.42</v>
      </c>
    </row>
    <row r="219" spans="7:18" x14ac:dyDescent="0.2">
      <c r="G219" s="3">
        <v>45443</v>
      </c>
      <c r="H219">
        <v>22269.119999999999</v>
      </c>
      <c r="I219" s="3">
        <v>45443</v>
      </c>
      <c r="J219">
        <v>76.19</v>
      </c>
      <c r="K219" s="3">
        <v>45443</v>
      </c>
      <c r="L219">
        <v>146.44999999999999</v>
      </c>
      <c r="M219" s="3">
        <v>45443</v>
      </c>
      <c r="N219">
        <v>4.71</v>
      </c>
      <c r="O219" s="3">
        <v>45443</v>
      </c>
      <c r="P219">
        <v>38.299999999999997</v>
      </c>
      <c r="Q219" s="3">
        <v>45443</v>
      </c>
      <c r="R219">
        <v>39.880000000000003</v>
      </c>
    </row>
    <row r="220" spans="7:18" x14ac:dyDescent="0.2">
      <c r="G220" s="3">
        <v>45442</v>
      </c>
      <c r="H220">
        <v>22071.71</v>
      </c>
      <c r="I220" s="3">
        <v>45442</v>
      </c>
      <c r="J220">
        <v>78.510000000000005</v>
      </c>
      <c r="K220" s="3">
        <v>45442</v>
      </c>
      <c r="L220">
        <v>144.13999999999999</v>
      </c>
      <c r="M220" s="3">
        <v>45442</v>
      </c>
      <c r="N220">
        <v>4.7699999999999996</v>
      </c>
      <c r="O220" s="3">
        <v>45442</v>
      </c>
      <c r="P220">
        <v>39.64</v>
      </c>
      <c r="Q220" s="3">
        <v>45442</v>
      </c>
      <c r="R220">
        <v>39.479999999999997</v>
      </c>
    </row>
    <row r="221" spans="7:18" x14ac:dyDescent="0.2">
      <c r="G221" s="3">
        <v>45441</v>
      </c>
      <c r="H221">
        <v>21897.98</v>
      </c>
      <c r="I221" s="3">
        <v>45441</v>
      </c>
      <c r="J221">
        <v>81.239999999999995</v>
      </c>
      <c r="K221" s="3">
        <v>45441</v>
      </c>
      <c r="L221">
        <v>150.77000000000001</v>
      </c>
      <c r="M221" s="3">
        <v>45441</v>
      </c>
      <c r="N221">
        <v>4.76</v>
      </c>
      <c r="O221" s="3">
        <v>45441</v>
      </c>
      <c r="P221">
        <v>38.229999999999997</v>
      </c>
      <c r="Q221" s="3">
        <v>45441</v>
      </c>
      <c r="R221">
        <v>40.5</v>
      </c>
    </row>
    <row r="222" spans="7:18" x14ac:dyDescent="0.2">
      <c r="G222" s="3">
        <v>45440</v>
      </c>
      <c r="H222">
        <v>22265.05</v>
      </c>
      <c r="I222" s="3">
        <v>45440</v>
      </c>
      <c r="J222">
        <v>81.069999999999993</v>
      </c>
      <c r="K222" s="3">
        <v>45440</v>
      </c>
      <c r="L222">
        <v>148.85</v>
      </c>
      <c r="M222" s="3">
        <v>45440</v>
      </c>
      <c r="N222">
        <v>4.95</v>
      </c>
      <c r="O222" s="3">
        <v>45440</v>
      </c>
      <c r="P222">
        <v>37.75</v>
      </c>
      <c r="Q222" s="3">
        <v>45440</v>
      </c>
      <c r="R222">
        <v>40.75</v>
      </c>
    </row>
    <row r="223" spans="7:18" x14ac:dyDescent="0.2">
      <c r="G223" s="3">
        <v>45439</v>
      </c>
      <c r="H223">
        <v>22373.38</v>
      </c>
      <c r="I223" s="3">
        <v>45439</v>
      </c>
      <c r="J223">
        <v>80.599999999999994</v>
      </c>
      <c r="K223" s="3">
        <v>45439</v>
      </c>
      <c r="L223">
        <v>149.05000000000001</v>
      </c>
      <c r="M223" s="3">
        <v>45439</v>
      </c>
      <c r="N223">
        <v>5.0999999999999996</v>
      </c>
      <c r="O223" s="3">
        <v>45439</v>
      </c>
      <c r="P223">
        <v>37.75</v>
      </c>
      <c r="Q223" s="3">
        <v>45439</v>
      </c>
      <c r="R223">
        <v>40.94</v>
      </c>
    </row>
    <row r="224" spans="7:18" x14ac:dyDescent="0.2">
      <c r="G224" s="3">
        <v>45436</v>
      </c>
      <c r="H224">
        <v>22320.87</v>
      </c>
      <c r="I224" s="3">
        <v>45436</v>
      </c>
      <c r="J224">
        <v>80.34</v>
      </c>
      <c r="K224" s="3">
        <v>45436</v>
      </c>
      <c r="L224">
        <v>149.71</v>
      </c>
      <c r="M224" s="3">
        <v>45436</v>
      </c>
      <c r="N224">
        <v>5.08</v>
      </c>
      <c r="O224" s="3">
        <v>45436</v>
      </c>
      <c r="P224">
        <v>38.770000000000003</v>
      </c>
      <c r="Q224" s="3">
        <v>45436</v>
      </c>
      <c r="R224">
        <v>41.09</v>
      </c>
    </row>
    <row r="225" spans="7:18" x14ac:dyDescent="0.2">
      <c r="G225" s="3">
        <v>45435</v>
      </c>
      <c r="H225">
        <v>22200.79</v>
      </c>
      <c r="I225" s="3">
        <v>45435</v>
      </c>
      <c r="J225">
        <v>76.069999999999993</v>
      </c>
      <c r="K225" s="3">
        <v>45435</v>
      </c>
      <c r="L225">
        <v>150.83000000000001</v>
      </c>
      <c r="M225" s="3">
        <v>45435</v>
      </c>
      <c r="N225">
        <v>4.97</v>
      </c>
      <c r="O225" s="3">
        <v>45435</v>
      </c>
      <c r="P225">
        <v>38.479999999999997</v>
      </c>
      <c r="Q225" s="3">
        <v>45435</v>
      </c>
      <c r="R225">
        <v>41.71</v>
      </c>
    </row>
    <row r="226" spans="7:18" x14ac:dyDescent="0.2">
      <c r="G226" s="3">
        <v>45434</v>
      </c>
      <c r="H226">
        <v>22346.76</v>
      </c>
      <c r="I226" s="3">
        <v>45434</v>
      </c>
      <c r="J226">
        <v>73.739999999999995</v>
      </c>
      <c r="K226" s="3">
        <v>45434</v>
      </c>
      <c r="L226">
        <v>155.12</v>
      </c>
      <c r="M226" s="3">
        <v>45434</v>
      </c>
      <c r="N226">
        <v>5.0999999999999996</v>
      </c>
      <c r="O226" s="3">
        <v>45434</v>
      </c>
      <c r="P226">
        <v>39.28</v>
      </c>
      <c r="Q226" s="3">
        <v>45434</v>
      </c>
      <c r="R226">
        <v>42.33</v>
      </c>
    </row>
    <row r="227" spans="7:18" x14ac:dyDescent="0.2">
      <c r="G227" s="3">
        <v>45433</v>
      </c>
      <c r="H227">
        <v>22468.16</v>
      </c>
      <c r="I227" s="3">
        <v>45433</v>
      </c>
      <c r="J227">
        <v>71.849999999999994</v>
      </c>
      <c r="K227" s="3">
        <v>45433</v>
      </c>
      <c r="L227">
        <v>154.69999999999999</v>
      </c>
      <c r="M227" s="3">
        <v>45433</v>
      </c>
      <c r="N227">
        <v>5.12</v>
      </c>
      <c r="O227" s="3">
        <v>45433</v>
      </c>
      <c r="P227">
        <v>38.92</v>
      </c>
      <c r="Q227" s="3">
        <v>45433</v>
      </c>
      <c r="R227">
        <v>42.21</v>
      </c>
    </row>
    <row r="228" spans="7:18" x14ac:dyDescent="0.2">
      <c r="G228" s="3">
        <v>45429</v>
      </c>
      <c r="H228">
        <v>22465.37</v>
      </c>
      <c r="I228" s="3">
        <v>45429</v>
      </c>
      <c r="J228">
        <v>70.23</v>
      </c>
      <c r="K228" s="3">
        <v>45429</v>
      </c>
      <c r="L228">
        <v>156.22</v>
      </c>
      <c r="M228" s="3">
        <v>45429</v>
      </c>
      <c r="N228">
        <v>5.25</v>
      </c>
      <c r="O228" s="3">
        <v>45429</v>
      </c>
      <c r="P228">
        <v>38.5</v>
      </c>
      <c r="Q228" s="3">
        <v>45429</v>
      </c>
      <c r="R228">
        <v>41.46</v>
      </c>
    </row>
    <row r="229" spans="7:18" x14ac:dyDescent="0.2">
      <c r="G229" s="3">
        <v>45428</v>
      </c>
      <c r="H229">
        <v>22299.83</v>
      </c>
      <c r="I229" s="3">
        <v>45428</v>
      </c>
      <c r="J229">
        <v>71.39</v>
      </c>
      <c r="K229" s="3">
        <v>45428</v>
      </c>
      <c r="L229">
        <v>157.81</v>
      </c>
      <c r="M229" s="3">
        <v>45428</v>
      </c>
      <c r="N229">
        <v>5.39</v>
      </c>
      <c r="O229" s="3">
        <v>45428</v>
      </c>
      <c r="P229">
        <v>38.75</v>
      </c>
      <c r="Q229" s="3">
        <v>45428</v>
      </c>
      <c r="R229">
        <v>41.76</v>
      </c>
    </row>
    <row r="230" spans="7:18" x14ac:dyDescent="0.2">
      <c r="G230" s="3">
        <v>45427</v>
      </c>
      <c r="H230">
        <v>22284.76</v>
      </c>
      <c r="I230" s="3">
        <v>45427</v>
      </c>
      <c r="J230">
        <v>70.8</v>
      </c>
      <c r="K230" s="3">
        <v>45427</v>
      </c>
      <c r="L230">
        <v>152</v>
      </c>
      <c r="M230" s="3">
        <v>45427</v>
      </c>
      <c r="N230">
        <v>5.45</v>
      </c>
      <c r="O230" s="3">
        <v>45427</v>
      </c>
      <c r="P230">
        <v>38.75</v>
      </c>
      <c r="Q230" s="3">
        <v>45427</v>
      </c>
      <c r="R230">
        <v>42</v>
      </c>
    </row>
    <row r="231" spans="7:18" x14ac:dyDescent="0.2">
      <c r="G231" s="3">
        <v>45426</v>
      </c>
      <c r="H231">
        <v>22243.34</v>
      </c>
      <c r="I231" s="3">
        <v>45426</v>
      </c>
      <c r="J231">
        <v>65.55</v>
      </c>
      <c r="K231" s="3">
        <v>45426</v>
      </c>
      <c r="L231">
        <v>151.09</v>
      </c>
      <c r="M231" s="3">
        <v>45426</v>
      </c>
      <c r="N231">
        <v>5.18</v>
      </c>
      <c r="O231" s="3">
        <v>45426</v>
      </c>
      <c r="P231">
        <v>38.299999999999997</v>
      </c>
      <c r="Q231" s="3">
        <v>45426</v>
      </c>
      <c r="R231">
        <v>41.7</v>
      </c>
    </row>
    <row r="232" spans="7:18" x14ac:dyDescent="0.2">
      <c r="G232" s="3">
        <v>45425</v>
      </c>
      <c r="H232">
        <v>22259.17</v>
      </c>
      <c r="I232" s="3">
        <v>45425</v>
      </c>
      <c r="J232">
        <v>63.97</v>
      </c>
      <c r="K232" s="3">
        <v>45425</v>
      </c>
      <c r="L232">
        <v>149.62</v>
      </c>
      <c r="M232" s="3">
        <v>45425</v>
      </c>
      <c r="N232">
        <v>5.1100000000000003</v>
      </c>
      <c r="O232" s="3">
        <v>45425</v>
      </c>
      <c r="P232">
        <v>38.299999999999997</v>
      </c>
      <c r="Q232" s="3">
        <v>45425</v>
      </c>
      <c r="R232">
        <v>41.83</v>
      </c>
    </row>
    <row r="233" spans="7:18" x14ac:dyDescent="0.2">
      <c r="G233" s="3">
        <v>45422</v>
      </c>
      <c r="H233">
        <v>22308.93</v>
      </c>
      <c r="I233" s="3">
        <v>45422</v>
      </c>
      <c r="J233">
        <v>66.31</v>
      </c>
      <c r="K233" s="3">
        <v>45422</v>
      </c>
      <c r="L233">
        <v>149.47</v>
      </c>
      <c r="M233" s="3">
        <v>45422</v>
      </c>
      <c r="N233">
        <v>5.0599999999999996</v>
      </c>
      <c r="O233" s="3">
        <v>45422</v>
      </c>
      <c r="P233">
        <v>37.840000000000003</v>
      </c>
      <c r="Q233" s="3">
        <v>45422</v>
      </c>
      <c r="R233">
        <v>41.46</v>
      </c>
    </row>
    <row r="234" spans="7:18" x14ac:dyDescent="0.2">
      <c r="G234" s="3">
        <v>45421</v>
      </c>
      <c r="H234">
        <v>22375.83</v>
      </c>
      <c r="I234" s="3">
        <v>45421</v>
      </c>
      <c r="J234">
        <v>66.040000000000006</v>
      </c>
      <c r="K234" s="3">
        <v>45421</v>
      </c>
      <c r="L234">
        <v>150.04</v>
      </c>
      <c r="M234" s="3">
        <v>45421</v>
      </c>
      <c r="N234">
        <v>5.07</v>
      </c>
      <c r="O234" s="3">
        <v>45421</v>
      </c>
      <c r="P234">
        <v>37.5</v>
      </c>
      <c r="Q234" s="3">
        <v>45421</v>
      </c>
      <c r="R234">
        <v>41.2</v>
      </c>
    </row>
    <row r="235" spans="7:18" x14ac:dyDescent="0.2">
      <c r="G235" s="3">
        <v>45420</v>
      </c>
      <c r="H235">
        <v>22259.16</v>
      </c>
      <c r="I235" s="3">
        <v>45420</v>
      </c>
      <c r="J235">
        <v>67.86</v>
      </c>
      <c r="K235" s="3">
        <v>45420</v>
      </c>
      <c r="L235">
        <v>144.31</v>
      </c>
      <c r="M235" s="3">
        <v>45420</v>
      </c>
      <c r="N235">
        <v>5.73</v>
      </c>
      <c r="O235" s="3">
        <v>45420</v>
      </c>
      <c r="P235">
        <v>38.1</v>
      </c>
      <c r="Q235" s="3">
        <v>45420</v>
      </c>
      <c r="R235">
        <v>41.91</v>
      </c>
    </row>
    <row r="236" spans="7:18" x14ac:dyDescent="0.2">
      <c r="G236" s="3">
        <v>45419</v>
      </c>
      <c r="H236">
        <v>22290.62</v>
      </c>
      <c r="I236" s="3">
        <v>45419</v>
      </c>
      <c r="J236">
        <v>65.66</v>
      </c>
      <c r="K236" s="3">
        <v>45419</v>
      </c>
      <c r="L236">
        <v>145.59</v>
      </c>
      <c r="M236" s="3">
        <v>45419</v>
      </c>
      <c r="N236">
        <v>5.58</v>
      </c>
      <c r="O236" s="3">
        <v>45419</v>
      </c>
      <c r="P236">
        <v>38.51</v>
      </c>
      <c r="Q236" s="3">
        <v>45419</v>
      </c>
      <c r="R236">
        <v>41.48</v>
      </c>
    </row>
    <row r="237" spans="7:18" x14ac:dyDescent="0.2">
      <c r="G237" s="3">
        <v>45418</v>
      </c>
      <c r="H237">
        <v>22259.47</v>
      </c>
      <c r="I237" s="3">
        <v>45418</v>
      </c>
      <c r="J237">
        <v>64.069999999999993</v>
      </c>
      <c r="K237" s="3">
        <v>45418</v>
      </c>
      <c r="L237">
        <v>151.59</v>
      </c>
      <c r="M237" s="3">
        <v>45418</v>
      </c>
      <c r="N237">
        <v>5.53</v>
      </c>
      <c r="O237" s="3">
        <v>45418</v>
      </c>
      <c r="P237">
        <v>37.85</v>
      </c>
      <c r="Q237" s="3">
        <v>45418</v>
      </c>
      <c r="R237">
        <v>41.28</v>
      </c>
    </row>
    <row r="238" spans="7:18" x14ac:dyDescent="0.2">
      <c r="G238" s="3">
        <v>45415</v>
      </c>
      <c r="H238">
        <v>21947.41</v>
      </c>
      <c r="I238" s="3">
        <v>45415</v>
      </c>
      <c r="J238">
        <v>61.37</v>
      </c>
      <c r="K238" s="3">
        <v>45415</v>
      </c>
      <c r="L238">
        <v>151.38</v>
      </c>
      <c r="M238" s="3">
        <v>45415</v>
      </c>
      <c r="N238">
        <v>5.38</v>
      </c>
      <c r="O238" s="3">
        <v>45415</v>
      </c>
      <c r="P238">
        <v>38</v>
      </c>
      <c r="Q238" s="3">
        <v>45415</v>
      </c>
      <c r="R238">
        <v>41.38</v>
      </c>
    </row>
    <row r="239" spans="7:18" x14ac:dyDescent="0.2">
      <c r="G239" s="3">
        <v>45414</v>
      </c>
      <c r="H239">
        <v>21823.22</v>
      </c>
      <c r="I239" s="3">
        <v>45414</v>
      </c>
      <c r="J239">
        <v>60.14</v>
      </c>
      <c r="K239" s="3">
        <v>45414</v>
      </c>
      <c r="L239">
        <v>150.88</v>
      </c>
      <c r="M239" s="3">
        <v>45414</v>
      </c>
      <c r="N239">
        <v>5.28</v>
      </c>
      <c r="O239" s="3">
        <v>45414</v>
      </c>
      <c r="P239">
        <v>36.18</v>
      </c>
      <c r="Q239" s="3">
        <v>45414</v>
      </c>
      <c r="R239">
        <v>48.54</v>
      </c>
    </row>
    <row r="240" spans="7:18" x14ac:dyDescent="0.2">
      <c r="G240" s="3">
        <v>45413</v>
      </c>
      <c r="H240">
        <v>21728.55</v>
      </c>
      <c r="I240" s="3">
        <v>45413</v>
      </c>
      <c r="J240">
        <v>59.84</v>
      </c>
      <c r="K240" s="3">
        <v>45413</v>
      </c>
      <c r="L240">
        <v>152.49</v>
      </c>
      <c r="M240" s="3">
        <v>45413</v>
      </c>
      <c r="N240">
        <v>5.26</v>
      </c>
      <c r="O240" s="3">
        <v>45413</v>
      </c>
      <c r="P240">
        <v>38.200000000000003</v>
      </c>
      <c r="Q240" s="3">
        <v>45413</v>
      </c>
      <c r="R240">
        <v>48.67</v>
      </c>
    </row>
    <row r="241" spans="7:18" x14ac:dyDescent="0.2">
      <c r="G241" s="3">
        <v>45412</v>
      </c>
      <c r="H241">
        <v>21714.54</v>
      </c>
      <c r="I241" s="3">
        <v>45412</v>
      </c>
      <c r="J241">
        <v>59.61</v>
      </c>
      <c r="K241" s="3">
        <v>45412</v>
      </c>
      <c r="L241">
        <v>146.59</v>
      </c>
      <c r="M241" s="3">
        <v>45412</v>
      </c>
      <c r="N241">
        <v>5.35</v>
      </c>
      <c r="O241" s="3">
        <v>45412</v>
      </c>
      <c r="P241">
        <v>37.71</v>
      </c>
      <c r="Q241" s="3">
        <v>45412</v>
      </c>
      <c r="R241">
        <v>48.61</v>
      </c>
    </row>
    <row r="242" spans="7:18" x14ac:dyDescent="0.2">
      <c r="G242" s="3">
        <v>45411</v>
      </c>
      <c r="H242">
        <v>22011.62</v>
      </c>
      <c r="I242" s="3">
        <v>45411</v>
      </c>
      <c r="J242">
        <v>60.17</v>
      </c>
      <c r="K242" s="3">
        <v>45411</v>
      </c>
      <c r="L242">
        <v>148.75</v>
      </c>
      <c r="M242" s="3">
        <v>45411</v>
      </c>
      <c r="N242">
        <v>5.48</v>
      </c>
      <c r="O242" s="3">
        <v>45411</v>
      </c>
      <c r="P242">
        <v>37.1</v>
      </c>
      <c r="Q242" s="3">
        <v>45411</v>
      </c>
      <c r="R242">
        <v>48.5</v>
      </c>
    </row>
    <row r="243" spans="7:18" x14ac:dyDescent="0.2">
      <c r="G243" s="3">
        <v>45408</v>
      </c>
      <c r="H243">
        <v>21969.24</v>
      </c>
      <c r="I243" s="3">
        <v>45408</v>
      </c>
      <c r="J243">
        <v>59.36</v>
      </c>
      <c r="K243" s="3">
        <v>45408</v>
      </c>
      <c r="L243">
        <v>150.21</v>
      </c>
      <c r="M243" s="3">
        <v>45408</v>
      </c>
      <c r="N243">
        <v>5.5</v>
      </c>
      <c r="O243" s="3">
        <v>45408</v>
      </c>
      <c r="P243">
        <v>38.04</v>
      </c>
      <c r="Q243" s="3">
        <v>45408</v>
      </c>
      <c r="R243">
        <v>48.78</v>
      </c>
    </row>
    <row r="244" spans="7:18" x14ac:dyDescent="0.2">
      <c r="G244" s="3">
        <v>45407</v>
      </c>
      <c r="H244">
        <v>21885.38</v>
      </c>
      <c r="I244" s="3">
        <v>45407</v>
      </c>
      <c r="J244">
        <v>59.12</v>
      </c>
      <c r="K244" s="3">
        <v>45407</v>
      </c>
      <c r="L244">
        <v>149.56</v>
      </c>
      <c r="M244" s="3">
        <v>45407</v>
      </c>
      <c r="N244">
        <v>5.54</v>
      </c>
      <c r="O244" s="3">
        <v>45407</v>
      </c>
      <c r="P244">
        <v>36.93</v>
      </c>
      <c r="Q244" s="3">
        <v>45407</v>
      </c>
      <c r="R244">
        <v>48.85</v>
      </c>
    </row>
    <row r="245" spans="7:18" x14ac:dyDescent="0.2">
      <c r="G245" s="3">
        <v>45406</v>
      </c>
      <c r="H245">
        <v>21873.72</v>
      </c>
      <c r="I245" s="3">
        <v>45406</v>
      </c>
      <c r="J245">
        <v>60.42</v>
      </c>
      <c r="K245" s="3">
        <v>45406</v>
      </c>
      <c r="L245">
        <v>151.71</v>
      </c>
      <c r="M245" s="3">
        <v>45406</v>
      </c>
      <c r="N245">
        <v>5.67</v>
      </c>
      <c r="O245" s="3">
        <v>45406</v>
      </c>
      <c r="P245">
        <v>36.5</v>
      </c>
      <c r="Q245" s="3">
        <v>45406</v>
      </c>
      <c r="R245">
        <v>49.33</v>
      </c>
    </row>
    <row r="246" spans="7:18" x14ac:dyDescent="0.2">
      <c r="G246" s="3">
        <v>45405</v>
      </c>
      <c r="H246">
        <v>22011.72</v>
      </c>
      <c r="I246" s="3">
        <v>45405</v>
      </c>
      <c r="J246">
        <v>59.78</v>
      </c>
      <c r="K246" s="3">
        <v>45405</v>
      </c>
      <c r="L246">
        <v>152.51</v>
      </c>
      <c r="M246" s="3">
        <v>45405</v>
      </c>
      <c r="N246">
        <v>5.62</v>
      </c>
      <c r="O246" s="3">
        <v>45405</v>
      </c>
      <c r="P246">
        <v>36.92</v>
      </c>
      <c r="Q246" s="3">
        <v>45405</v>
      </c>
      <c r="R246">
        <v>49.28</v>
      </c>
    </row>
    <row r="247" spans="7:18" x14ac:dyDescent="0.2">
      <c r="G247" s="3">
        <v>45404</v>
      </c>
      <c r="H247">
        <v>21871.96</v>
      </c>
      <c r="I247" s="3">
        <v>45404</v>
      </c>
      <c r="J247">
        <v>58.93</v>
      </c>
      <c r="K247" s="3">
        <v>45404</v>
      </c>
      <c r="L247">
        <v>150.91999999999999</v>
      </c>
      <c r="M247" s="3">
        <v>45404</v>
      </c>
      <c r="N247">
        <v>5.72</v>
      </c>
      <c r="O247" s="3">
        <v>45404</v>
      </c>
      <c r="P247">
        <v>35.99</v>
      </c>
      <c r="Q247" s="3">
        <v>45404</v>
      </c>
      <c r="R247">
        <v>48.61</v>
      </c>
    </row>
    <row r="248" spans="7:18" x14ac:dyDescent="0.2">
      <c r="G248" s="3">
        <v>45401</v>
      </c>
      <c r="H248">
        <v>21807.37</v>
      </c>
      <c r="I248" s="3">
        <v>45401</v>
      </c>
      <c r="J248">
        <v>56.03</v>
      </c>
      <c r="K248" s="3">
        <v>45401</v>
      </c>
      <c r="L248">
        <v>148.79</v>
      </c>
      <c r="M248" s="3">
        <v>45401</v>
      </c>
      <c r="N248">
        <v>5.42</v>
      </c>
      <c r="O248" s="3">
        <v>45401</v>
      </c>
      <c r="P248">
        <v>36.11</v>
      </c>
      <c r="Q248" s="3">
        <v>45401</v>
      </c>
      <c r="R248">
        <v>48.18</v>
      </c>
    </row>
    <row r="249" spans="7:18" x14ac:dyDescent="0.2">
      <c r="G249" s="3">
        <v>45400</v>
      </c>
      <c r="H249">
        <v>21708.44</v>
      </c>
      <c r="I249" s="3">
        <v>45400</v>
      </c>
      <c r="J249">
        <v>60.34</v>
      </c>
      <c r="K249" s="3">
        <v>45400</v>
      </c>
      <c r="L249">
        <v>151.57</v>
      </c>
      <c r="M249" s="3">
        <v>45400</v>
      </c>
      <c r="N249">
        <v>5.39</v>
      </c>
      <c r="O249" s="3">
        <v>45400</v>
      </c>
      <c r="P249">
        <v>38.28</v>
      </c>
      <c r="Q249" s="3">
        <v>45400</v>
      </c>
      <c r="R249">
        <v>47.88</v>
      </c>
    </row>
    <row r="250" spans="7:18" x14ac:dyDescent="0.2">
      <c r="G250" s="3">
        <v>45399</v>
      </c>
      <c r="H250">
        <v>21656.05</v>
      </c>
      <c r="I250" s="3">
        <v>45399</v>
      </c>
      <c r="J250">
        <v>61.46</v>
      </c>
      <c r="K250" s="3">
        <v>45399</v>
      </c>
      <c r="L250">
        <v>151.68</v>
      </c>
      <c r="M250" s="3">
        <v>45399</v>
      </c>
      <c r="N250">
        <v>5.32</v>
      </c>
      <c r="O250" s="3">
        <v>45399</v>
      </c>
      <c r="P250">
        <v>37.35</v>
      </c>
      <c r="Q250" s="3">
        <v>45399</v>
      </c>
      <c r="R250">
        <v>47.67</v>
      </c>
    </row>
    <row r="251" spans="7:18" x14ac:dyDescent="0.2">
      <c r="G251" s="3">
        <v>45398</v>
      </c>
      <c r="H251">
        <v>21642.87</v>
      </c>
      <c r="I251" s="3">
        <v>45398</v>
      </c>
      <c r="J251">
        <v>63.13</v>
      </c>
      <c r="K251" s="3">
        <v>45398</v>
      </c>
      <c r="L251">
        <v>150.31</v>
      </c>
      <c r="M251" s="3">
        <v>45398</v>
      </c>
      <c r="N251">
        <v>5.39</v>
      </c>
      <c r="O251" s="3">
        <v>45398</v>
      </c>
      <c r="P251">
        <v>36.97</v>
      </c>
      <c r="Q251" s="3">
        <v>45398</v>
      </c>
      <c r="R251">
        <v>47.66</v>
      </c>
    </row>
    <row r="252" spans="7:18" x14ac:dyDescent="0.2">
      <c r="G252" s="3">
        <v>45397</v>
      </c>
      <c r="H252">
        <v>21740.2</v>
      </c>
      <c r="I252" s="3">
        <v>45397</v>
      </c>
      <c r="J252">
        <v>61.17</v>
      </c>
      <c r="K252" s="3">
        <v>45397</v>
      </c>
      <c r="L252">
        <v>150.25</v>
      </c>
      <c r="M252" s="3">
        <v>45397</v>
      </c>
      <c r="N252">
        <v>5.35</v>
      </c>
      <c r="O252" s="3">
        <v>45397</v>
      </c>
      <c r="P252">
        <v>37.5</v>
      </c>
      <c r="Q252" s="3">
        <v>45397</v>
      </c>
      <c r="R252">
        <v>47.86</v>
      </c>
    </row>
    <row r="253" spans="7:18" x14ac:dyDescent="0.2">
      <c r="G253" s="3">
        <v>45394</v>
      </c>
      <c r="H253">
        <v>21899.99</v>
      </c>
      <c r="I253" s="3">
        <v>45394</v>
      </c>
      <c r="J253">
        <v>61.64</v>
      </c>
      <c r="K253" s="3">
        <v>45394</v>
      </c>
      <c r="L253">
        <v>151.37</v>
      </c>
      <c r="M253" s="3">
        <v>45394</v>
      </c>
      <c r="N253">
        <v>5.3</v>
      </c>
      <c r="O253" s="3">
        <v>45394</v>
      </c>
      <c r="P253">
        <v>38.619999999999997</v>
      </c>
      <c r="Q253" s="3">
        <v>45394</v>
      </c>
      <c r="R253">
        <v>48.92</v>
      </c>
    </row>
    <row r="254" spans="7:18" x14ac:dyDescent="0.2">
      <c r="G254" s="3">
        <v>45393</v>
      </c>
      <c r="H254">
        <v>22110.11</v>
      </c>
      <c r="I254" s="3">
        <v>45393</v>
      </c>
      <c r="J254">
        <v>62.95</v>
      </c>
      <c r="K254" s="3">
        <v>45393</v>
      </c>
      <c r="L254">
        <v>153.01</v>
      </c>
      <c r="M254" s="3">
        <v>45393</v>
      </c>
      <c r="N254">
        <v>5.53</v>
      </c>
      <c r="O254" s="3">
        <v>45393</v>
      </c>
      <c r="P254">
        <v>38.5</v>
      </c>
      <c r="Q254" s="3">
        <v>45393</v>
      </c>
      <c r="R254">
        <v>49.13</v>
      </c>
    </row>
    <row r="255" spans="7:18" x14ac:dyDescent="0.2">
      <c r="G255" s="3">
        <v>45392</v>
      </c>
      <c r="H255">
        <v>22199.13</v>
      </c>
      <c r="I255" s="3">
        <v>45392</v>
      </c>
      <c r="J255">
        <v>63.04</v>
      </c>
      <c r="K255" s="3">
        <v>45392</v>
      </c>
      <c r="L255">
        <v>151.38999999999999</v>
      </c>
      <c r="M255" s="3">
        <v>45392</v>
      </c>
      <c r="N255">
        <v>5.37</v>
      </c>
      <c r="O255" s="3">
        <v>45392</v>
      </c>
      <c r="P255">
        <v>38.369999999999997</v>
      </c>
      <c r="Q255" s="3">
        <v>45392</v>
      </c>
      <c r="R255">
        <v>49.48</v>
      </c>
    </row>
    <row r="256" spans="7:18" x14ac:dyDescent="0.2">
      <c r="G256" s="3">
        <v>45391</v>
      </c>
      <c r="H256">
        <v>22361.78</v>
      </c>
      <c r="I256" s="3">
        <v>45391</v>
      </c>
      <c r="J256">
        <v>63.84</v>
      </c>
      <c r="K256" s="3">
        <v>45391</v>
      </c>
      <c r="L256">
        <v>153.1</v>
      </c>
      <c r="M256" s="3">
        <v>45391</v>
      </c>
      <c r="N256">
        <v>5.6</v>
      </c>
      <c r="O256" s="3">
        <v>45391</v>
      </c>
      <c r="P256">
        <v>39</v>
      </c>
      <c r="Q256" s="3">
        <v>45391</v>
      </c>
      <c r="R256">
        <v>50.61</v>
      </c>
    </row>
    <row r="257" spans="7:18" x14ac:dyDescent="0.2">
      <c r="G257" s="3">
        <v>45390</v>
      </c>
      <c r="H257">
        <v>22260.3</v>
      </c>
      <c r="I257" s="3">
        <v>45390</v>
      </c>
      <c r="J257">
        <v>67.13</v>
      </c>
      <c r="K257" s="3">
        <v>45390</v>
      </c>
      <c r="L257">
        <v>151.88999999999999</v>
      </c>
      <c r="M257" s="3">
        <v>45390</v>
      </c>
      <c r="N257">
        <v>5.5</v>
      </c>
      <c r="O257" s="3">
        <v>45390</v>
      </c>
      <c r="P257">
        <v>36.67</v>
      </c>
      <c r="Q257" s="3">
        <v>45390</v>
      </c>
      <c r="R257">
        <v>50.4</v>
      </c>
    </row>
    <row r="258" spans="7:18" x14ac:dyDescent="0.2">
      <c r="G258" s="3">
        <v>45387</v>
      </c>
      <c r="H258">
        <v>22264.38</v>
      </c>
      <c r="I258" s="3">
        <v>45387</v>
      </c>
      <c r="J258">
        <v>67.05</v>
      </c>
      <c r="K258" s="3">
        <v>45387</v>
      </c>
      <c r="L258">
        <v>152.46</v>
      </c>
      <c r="M258" s="3">
        <v>45387</v>
      </c>
      <c r="N258">
        <v>5.65</v>
      </c>
      <c r="O258" s="3">
        <v>45387</v>
      </c>
      <c r="P258">
        <v>36.6</v>
      </c>
      <c r="Q258" s="3">
        <v>45387</v>
      </c>
      <c r="R258">
        <v>51.1</v>
      </c>
    </row>
    <row r="259" spans="7:18" x14ac:dyDescent="0.2">
      <c r="G259" s="3">
        <v>45386</v>
      </c>
      <c r="H259">
        <v>22051.79</v>
      </c>
      <c r="I259" s="3">
        <v>45386</v>
      </c>
      <c r="J259">
        <v>65.13</v>
      </c>
      <c r="K259" s="3">
        <v>45386</v>
      </c>
      <c r="L259">
        <v>146.91</v>
      </c>
      <c r="M259" s="3">
        <v>45386</v>
      </c>
      <c r="N259">
        <v>5.56</v>
      </c>
      <c r="O259" s="3">
        <v>45386</v>
      </c>
      <c r="P259">
        <v>36.44</v>
      </c>
      <c r="Q259" s="3">
        <v>45386</v>
      </c>
      <c r="R259">
        <v>50.76</v>
      </c>
    </row>
    <row r="260" spans="7:18" x14ac:dyDescent="0.2">
      <c r="G260" s="3">
        <v>45385</v>
      </c>
      <c r="H260">
        <v>22112.46</v>
      </c>
      <c r="I260" s="3">
        <v>45385</v>
      </c>
      <c r="J260">
        <v>66.61</v>
      </c>
      <c r="K260" s="3">
        <v>45385</v>
      </c>
      <c r="L260">
        <v>150</v>
      </c>
      <c r="M260" s="3">
        <v>45385</v>
      </c>
      <c r="N260">
        <v>5.77</v>
      </c>
      <c r="O260" s="3">
        <v>45385</v>
      </c>
      <c r="P260">
        <v>36.46</v>
      </c>
      <c r="Q260" s="3">
        <v>45385</v>
      </c>
      <c r="R260">
        <v>51.39</v>
      </c>
    </row>
    <row r="261" spans="7:18" x14ac:dyDescent="0.2">
      <c r="G261" s="3">
        <v>45384</v>
      </c>
      <c r="H261">
        <v>22075.1</v>
      </c>
      <c r="I261" s="3">
        <v>45384</v>
      </c>
      <c r="J261">
        <v>63.64</v>
      </c>
      <c r="K261" s="3">
        <v>45384</v>
      </c>
      <c r="L261">
        <v>152.52000000000001</v>
      </c>
      <c r="M261" s="3">
        <v>45384</v>
      </c>
      <c r="N261">
        <v>5.84</v>
      </c>
      <c r="O261" s="3">
        <v>45384</v>
      </c>
      <c r="P261">
        <v>34.43</v>
      </c>
      <c r="Q261" s="3">
        <v>45384</v>
      </c>
      <c r="R261">
        <v>51.53</v>
      </c>
    </row>
    <row r="262" spans="7:18" x14ac:dyDescent="0.2">
      <c r="G262" s="3">
        <v>45383</v>
      </c>
      <c r="H262">
        <v>22185.25</v>
      </c>
      <c r="I262" s="3">
        <v>45383</v>
      </c>
      <c r="J262">
        <v>62.29</v>
      </c>
      <c r="K262" s="3">
        <v>45383</v>
      </c>
      <c r="L262">
        <v>153.37</v>
      </c>
      <c r="M262" s="3">
        <v>45383</v>
      </c>
      <c r="N262">
        <v>5.65</v>
      </c>
      <c r="O262" s="3">
        <v>45383</v>
      </c>
      <c r="P262">
        <v>35.299999999999997</v>
      </c>
      <c r="Q262" s="3">
        <v>45383</v>
      </c>
      <c r="R262">
        <v>52.12</v>
      </c>
    </row>
    <row r="263" spans="7:18" x14ac:dyDescent="0.2">
      <c r="G263" s="3">
        <v>45379</v>
      </c>
      <c r="H263">
        <v>22167.03</v>
      </c>
      <c r="I263" s="3">
        <v>45379</v>
      </c>
      <c r="J263">
        <v>60.86</v>
      </c>
      <c r="K263" s="3">
        <v>45379</v>
      </c>
      <c r="L263">
        <v>154</v>
      </c>
      <c r="M263" s="3">
        <v>45379</v>
      </c>
      <c r="N263">
        <v>5.82</v>
      </c>
      <c r="O263" s="3">
        <v>45379</v>
      </c>
      <c r="P263">
        <v>35.81</v>
      </c>
      <c r="Q263" s="3">
        <v>45379</v>
      </c>
      <c r="R263">
        <v>52.56</v>
      </c>
    </row>
    <row r="264" spans="7:18" x14ac:dyDescent="0.2">
      <c r="G264" s="3">
        <v>45378</v>
      </c>
      <c r="H264">
        <v>22107.08</v>
      </c>
      <c r="I264" s="3">
        <v>45378</v>
      </c>
      <c r="J264">
        <v>61.79</v>
      </c>
      <c r="K264" s="3">
        <v>45378</v>
      </c>
      <c r="L264">
        <v>152.94</v>
      </c>
      <c r="M264" s="3">
        <v>45378</v>
      </c>
      <c r="N264">
        <v>5.77</v>
      </c>
      <c r="O264" s="3">
        <v>45378</v>
      </c>
      <c r="P264">
        <v>38</v>
      </c>
      <c r="Q264" s="3">
        <v>45378</v>
      </c>
      <c r="R264">
        <v>52.64</v>
      </c>
    </row>
    <row r="265" spans="7:18" x14ac:dyDescent="0.2">
      <c r="G265" s="3">
        <v>45377</v>
      </c>
      <c r="H265">
        <v>21912.52</v>
      </c>
      <c r="I265" s="3">
        <v>45377</v>
      </c>
      <c r="J265">
        <v>62.98</v>
      </c>
      <c r="K265" s="3">
        <v>45377</v>
      </c>
      <c r="L265">
        <v>150.33000000000001</v>
      </c>
      <c r="M265" s="3">
        <v>45377</v>
      </c>
      <c r="N265">
        <v>5.76</v>
      </c>
      <c r="O265" s="3">
        <v>45377</v>
      </c>
      <c r="P265">
        <v>34.97</v>
      </c>
      <c r="Q265" s="3">
        <v>45377</v>
      </c>
      <c r="R265">
        <v>53.49</v>
      </c>
    </row>
    <row r="266" spans="7:18" x14ac:dyDescent="0.2">
      <c r="G266" s="3">
        <v>45376</v>
      </c>
      <c r="H266">
        <v>21942.28</v>
      </c>
      <c r="I266" s="3">
        <v>45376</v>
      </c>
      <c r="J266">
        <v>62.97</v>
      </c>
      <c r="K266" s="3">
        <v>45376</v>
      </c>
      <c r="L266">
        <v>150.26</v>
      </c>
      <c r="M266" s="3">
        <v>45376</v>
      </c>
      <c r="N266">
        <v>5.64</v>
      </c>
      <c r="O266" s="3">
        <v>45376</v>
      </c>
      <c r="P266">
        <v>33.76</v>
      </c>
      <c r="Q266" s="3">
        <v>45376</v>
      </c>
      <c r="R266">
        <v>53.21</v>
      </c>
    </row>
    <row r="267" spans="7:18" x14ac:dyDescent="0.2">
      <c r="G267" s="3">
        <v>45373</v>
      </c>
      <c r="H267">
        <v>21984.080000000002</v>
      </c>
      <c r="I267" s="3">
        <v>45373</v>
      </c>
      <c r="J267">
        <v>63.98</v>
      </c>
      <c r="K267" s="3">
        <v>45373</v>
      </c>
      <c r="L267">
        <v>150.52000000000001</v>
      </c>
      <c r="M267" s="3">
        <v>45373</v>
      </c>
      <c r="N267">
        <v>5.66</v>
      </c>
      <c r="O267" s="3">
        <v>45373</v>
      </c>
      <c r="P267">
        <v>34</v>
      </c>
      <c r="Q267" s="3">
        <v>45373</v>
      </c>
      <c r="R267">
        <v>53.25</v>
      </c>
    </row>
    <row r="268" spans="7:18" x14ac:dyDescent="0.2">
      <c r="G268" s="3">
        <v>45372</v>
      </c>
      <c r="H268">
        <v>22087.26</v>
      </c>
      <c r="I268" s="3">
        <v>45372</v>
      </c>
      <c r="J268">
        <v>63.68</v>
      </c>
      <c r="K268" s="3">
        <v>45372</v>
      </c>
      <c r="L268">
        <v>153.78</v>
      </c>
      <c r="M268" s="3">
        <v>45372</v>
      </c>
      <c r="N268">
        <v>5.77</v>
      </c>
      <c r="O268" s="3">
        <v>45372</v>
      </c>
      <c r="P268">
        <v>33.75</v>
      </c>
      <c r="Q268" s="3">
        <v>45372</v>
      </c>
      <c r="R268">
        <v>54.1</v>
      </c>
    </row>
    <row r="269" spans="7:18" x14ac:dyDescent="0.2">
      <c r="G269" s="3">
        <v>45371</v>
      </c>
      <c r="H269">
        <v>22045.71</v>
      </c>
      <c r="I269" s="3">
        <v>45371</v>
      </c>
      <c r="J269">
        <v>59.4</v>
      </c>
      <c r="K269" s="3">
        <v>45371</v>
      </c>
      <c r="L269">
        <v>152.1</v>
      </c>
      <c r="M269" s="3">
        <v>45371</v>
      </c>
      <c r="N269">
        <v>5.8</v>
      </c>
      <c r="O269" s="3">
        <v>45371</v>
      </c>
      <c r="P269">
        <v>32.81</v>
      </c>
      <c r="Q269" s="3">
        <v>45371</v>
      </c>
      <c r="R269">
        <v>52.99</v>
      </c>
    </row>
    <row r="270" spans="7:18" x14ac:dyDescent="0.2">
      <c r="G270" s="3">
        <v>45370</v>
      </c>
      <c r="H270">
        <v>21860.58</v>
      </c>
      <c r="I270" s="3">
        <v>45370</v>
      </c>
      <c r="J270">
        <v>58.36</v>
      </c>
      <c r="K270" s="3">
        <v>45370</v>
      </c>
      <c r="L270">
        <v>147.54</v>
      </c>
      <c r="M270" s="3">
        <v>45370</v>
      </c>
      <c r="N270">
        <v>5.85</v>
      </c>
      <c r="O270" s="3">
        <v>45370</v>
      </c>
      <c r="P270">
        <v>33</v>
      </c>
      <c r="Q270" s="3">
        <v>45370</v>
      </c>
      <c r="R270">
        <v>52.11</v>
      </c>
    </row>
    <row r="271" spans="7:18" x14ac:dyDescent="0.2">
      <c r="G271" s="3">
        <v>45369</v>
      </c>
      <c r="H271">
        <v>21837.18</v>
      </c>
      <c r="I271" s="3">
        <v>45369</v>
      </c>
      <c r="J271">
        <v>60.51</v>
      </c>
      <c r="K271" s="3">
        <v>45369</v>
      </c>
      <c r="L271">
        <v>147.44</v>
      </c>
      <c r="M271" s="3">
        <v>45369</v>
      </c>
      <c r="N271">
        <v>5.87</v>
      </c>
      <c r="O271" s="3">
        <v>45369</v>
      </c>
      <c r="P271">
        <v>33.99</v>
      </c>
      <c r="Q271" s="3">
        <v>45369</v>
      </c>
      <c r="R271">
        <v>52.21</v>
      </c>
    </row>
    <row r="272" spans="7:18" x14ac:dyDescent="0.2">
      <c r="G272" s="3">
        <v>45366</v>
      </c>
      <c r="H272">
        <v>21849.15</v>
      </c>
      <c r="I272" s="3">
        <v>45366</v>
      </c>
      <c r="J272">
        <v>59.43</v>
      </c>
      <c r="K272" s="3">
        <v>45366</v>
      </c>
      <c r="L272">
        <v>149.41999999999999</v>
      </c>
      <c r="M272" s="3">
        <v>45366</v>
      </c>
      <c r="N272">
        <v>5.74</v>
      </c>
      <c r="O272" s="3">
        <v>45366</v>
      </c>
      <c r="P272">
        <v>33.31</v>
      </c>
      <c r="Q272" s="3">
        <v>45366</v>
      </c>
      <c r="R272">
        <v>52.14</v>
      </c>
    </row>
    <row r="273" spans="7:18" x14ac:dyDescent="0.2">
      <c r="G273" s="3">
        <v>45365</v>
      </c>
      <c r="H273">
        <v>21829.85</v>
      </c>
      <c r="I273" s="3">
        <v>45365</v>
      </c>
      <c r="J273">
        <v>60.14</v>
      </c>
      <c r="K273" s="3">
        <v>45365</v>
      </c>
      <c r="L273">
        <v>151.66</v>
      </c>
      <c r="M273" s="3">
        <v>45365</v>
      </c>
      <c r="N273">
        <v>6</v>
      </c>
      <c r="O273" s="3">
        <v>45365</v>
      </c>
      <c r="P273">
        <v>34.01</v>
      </c>
      <c r="Q273" s="3">
        <v>45365</v>
      </c>
      <c r="R273">
        <v>52.45</v>
      </c>
    </row>
    <row r="274" spans="7:18" x14ac:dyDescent="0.2">
      <c r="G274" s="3">
        <v>45364</v>
      </c>
      <c r="H274">
        <v>21970.11</v>
      </c>
      <c r="I274" s="3">
        <v>45364</v>
      </c>
      <c r="J274">
        <v>60.67</v>
      </c>
      <c r="K274" s="3">
        <v>45364</v>
      </c>
      <c r="L274">
        <v>150.47999999999999</v>
      </c>
      <c r="M274" s="3">
        <v>45364</v>
      </c>
      <c r="N274">
        <v>5.89</v>
      </c>
      <c r="O274" s="3">
        <v>45364</v>
      </c>
      <c r="P274">
        <v>35.15</v>
      </c>
      <c r="Q274" s="3">
        <v>45364</v>
      </c>
      <c r="R274">
        <v>52.75</v>
      </c>
    </row>
    <row r="275" spans="7:18" x14ac:dyDescent="0.2">
      <c r="G275" s="3">
        <v>45363</v>
      </c>
      <c r="H275">
        <v>21831.02</v>
      </c>
      <c r="I275" s="3">
        <v>45363</v>
      </c>
      <c r="J275">
        <v>60.99</v>
      </c>
      <c r="K275" s="3">
        <v>45363</v>
      </c>
      <c r="L275">
        <v>151.16999999999999</v>
      </c>
      <c r="M275" s="3">
        <v>45363</v>
      </c>
      <c r="N275">
        <v>5.72</v>
      </c>
      <c r="O275" s="3">
        <v>45363</v>
      </c>
      <c r="P275">
        <v>35.94</v>
      </c>
      <c r="Q275" s="3">
        <v>45363</v>
      </c>
      <c r="R275">
        <v>51.72</v>
      </c>
    </row>
    <row r="276" spans="7:18" x14ac:dyDescent="0.2">
      <c r="G276" s="3">
        <v>45362</v>
      </c>
      <c r="H276">
        <v>21769.22</v>
      </c>
      <c r="I276" s="3">
        <v>45362</v>
      </c>
      <c r="J276">
        <v>58.86</v>
      </c>
      <c r="K276" s="3">
        <v>45362</v>
      </c>
      <c r="L276">
        <v>147.06</v>
      </c>
      <c r="M276" s="3">
        <v>45362</v>
      </c>
      <c r="N276">
        <v>5.51</v>
      </c>
      <c r="O276" s="3">
        <v>45362</v>
      </c>
      <c r="P276">
        <v>36.5</v>
      </c>
      <c r="Q276" s="3">
        <v>45362</v>
      </c>
      <c r="R276">
        <v>52.12</v>
      </c>
    </row>
    <row r="277" spans="7:18" x14ac:dyDescent="0.2">
      <c r="G277" s="3">
        <v>45359</v>
      </c>
      <c r="H277">
        <v>21737.53</v>
      </c>
      <c r="I277" s="3">
        <v>45359</v>
      </c>
      <c r="J277">
        <v>62.21</v>
      </c>
      <c r="K277" s="3">
        <v>45359</v>
      </c>
      <c r="L277">
        <v>146.27000000000001</v>
      </c>
      <c r="M277" s="3">
        <v>45359</v>
      </c>
      <c r="N277">
        <v>5.42</v>
      </c>
      <c r="O277" s="3">
        <v>45359</v>
      </c>
      <c r="P277">
        <v>36.81</v>
      </c>
      <c r="Q277" s="3">
        <v>45359</v>
      </c>
      <c r="R277">
        <v>51.84</v>
      </c>
    </row>
    <row r="278" spans="7:18" x14ac:dyDescent="0.2">
      <c r="G278" s="3">
        <v>45358</v>
      </c>
      <c r="H278">
        <v>21794.560000000001</v>
      </c>
      <c r="I278" s="3">
        <v>45358</v>
      </c>
      <c r="J278">
        <v>63.7</v>
      </c>
      <c r="K278" s="3">
        <v>45358</v>
      </c>
      <c r="L278">
        <v>148</v>
      </c>
      <c r="M278" s="3">
        <v>45358</v>
      </c>
      <c r="N278">
        <v>5.23</v>
      </c>
      <c r="O278" s="3">
        <v>45358</v>
      </c>
      <c r="P278">
        <v>36.93</v>
      </c>
      <c r="Q278" s="3">
        <v>45358</v>
      </c>
      <c r="R278">
        <v>51.99</v>
      </c>
    </row>
    <row r="279" spans="7:18" x14ac:dyDescent="0.2">
      <c r="G279" s="3">
        <v>45357</v>
      </c>
      <c r="H279">
        <v>21593.96</v>
      </c>
      <c r="I279" s="3">
        <v>45357</v>
      </c>
      <c r="J279">
        <v>63.76</v>
      </c>
      <c r="K279" s="3">
        <v>45357</v>
      </c>
      <c r="L279">
        <v>146</v>
      </c>
      <c r="M279" s="3">
        <v>45357</v>
      </c>
      <c r="N279">
        <v>5.19</v>
      </c>
      <c r="O279" s="3">
        <v>45357</v>
      </c>
      <c r="P279">
        <v>36.729999999999997</v>
      </c>
      <c r="Q279" s="3">
        <v>45357</v>
      </c>
      <c r="R279">
        <v>50.83</v>
      </c>
    </row>
    <row r="280" spans="7:18" x14ac:dyDescent="0.2">
      <c r="G280" s="3">
        <v>45356</v>
      </c>
      <c r="H280">
        <v>21525.93</v>
      </c>
      <c r="I280" s="3">
        <v>45356</v>
      </c>
      <c r="J280">
        <v>62.21</v>
      </c>
      <c r="K280" s="3">
        <v>45356</v>
      </c>
      <c r="L280">
        <v>143.85</v>
      </c>
      <c r="M280" s="3">
        <v>45356</v>
      </c>
      <c r="N280">
        <v>4.88</v>
      </c>
      <c r="O280" s="3">
        <v>45356</v>
      </c>
      <c r="P280">
        <v>36.4</v>
      </c>
      <c r="Q280" s="3">
        <v>45356</v>
      </c>
      <c r="R280">
        <v>51.53</v>
      </c>
    </row>
    <row r="281" spans="7:18" x14ac:dyDescent="0.2">
      <c r="G281" s="3">
        <v>45355</v>
      </c>
      <c r="H281">
        <v>21531.07</v>
      </c>
      <c r="I281" s="3">
        <v>45355</v>
      </c>
      <c r="J281">
        <v>64.010000000000005</v>
      </c>
      <c r="K281" s="3">
        <v>45355</v>
      </c>
      <c r="L281">
        <v>153.80000000000001</v>
      </c>
      <c r="M281" s="3">
        <v>45355</v>
      </c>
      <c r="N281">
        <v>5.26</v>
      </c>
      <c r="O281" s="3">
        <v>45355</v>
      </c>
      <c r="P281">
        <v>37.5</v>
      </c>
      <c r="Q281" s="3">
        <v>45355</v>
      </c>
      <c r="R281">
        <v>53.66</v>
      </c>
    </row>
    <row r="282" spans="7:18" x14ac:dyDescent="0.2">
      <c r="G282" s="3">
        <v>45352</v>
      </c>
      <c r="H282">
        <v>21552.35</v>
      </c>
      <c r="I282" s="3">
        <v>45352</v>
      </c>
      <c r="J282">
        <v>61.37</v>
      </c>
      <c r="K282" s="3">
        <v>45352</v>
      </c>
      <c r="L282">
        <v>149.07</v>
      </c>
      <c r="M282" s="3">
        <v>45352</v>
      </c>
      <c r="N282">
        <v>5.0999999999999996</v>
      </c>
      <c r="O282" s="3">
        <v>45352</v>
      </c>
      <c r="P282">
        <v>37.5</v>
      </c>
      <c r="Q282" s="3">
        <v>45352</v>
      </c>
      <c r="R282">
        <v>53.24</v>
      </c>
    </row>
    <row r="283" spans="7:18" x14ac:dyDescent="0.2">
      <c r="G283" s="3">
        <v>45351</v>
      </c>
      <c r="H283">
        <v>21363.61</v>
      </c>
      <c r="I283" s="3">
        <v>45351</v>
      </c>
      <c r="J283">
        <v>57.68</v>
      </c>
      <c r="K283" s="3">
        <v>45351</v>
      </c>
      <c r="L283">
        <v>140.68</v>
      </c>
      <c r="M283" s="3">
        <v>45351</v>
      </c>
      <c r="N283">
        <v>5.08</v>
      </c>
      <c r="O283" s="3">
        <v>45351</v>
      </c>
      <c r="P283">
        <v>37.6</v>
      </c>
      <c r="Q283" s="3">
        <v>45351</v>
      </c>
      <c r="R283">
        <v>52.19</v>
      </c>
    </row>
    <row r="284" spans="7:18" x14ac:dyDescent="0.2">
      <c r="G284" s="3">
        <v>45350</v>
      </c>
      <c r="H284">
        <v>21243.77</v>
      </c>
      <c r="I284" s="3">
        <v>45350</v>
      </c>
      <c r="J284">
        <v>55.86</v>
      </c>
      <c r="K284" s="3">
        <v>45350</v>
      </c>
      <c r="L284">
        <v>154.38</v>
      </c>
      <c r="M284" s="3">
        <v>45350</v>
      </c>
      <c r="N284">
        <v>4.83</v>
      </c>
      <c r="O284" s="3">
        <v>45350</v>
      </c>
      <c r="P284">
        <v>35.549999999999997</v>
      </c>
      <c r="Q284" s="3">
        <v>45350</v>
      </c>
      <c r="R284">
        <v>52.47</v>
      </c>
    </row>
    <row r="285" spans="7:18" x14ac:dyDescent="0.2">
      <c r="G285" s="3">
        <v>45349</v>
      </c>
      <c r="H285">
        <v>21318.9</v>
      </c>
      <c r="I285" s="3">
        <v>45349</v>
      </c>
      <c r="J285">
        <v>56.54</v>
      </c>
      <c r="K285" s="3">
        <v>45349</v>
      </c>
      <c r="L285">
        <v>151.76</v>
      </c>
      <c r="M285" s="3">
        <v>45349</v>
      </c>
      <c r="N285">
        <v>5.09</v>
      </c>
      <c r="O285" s="3">
        <v>45349</v>
      </c>
      <c r="P285">
        <v>34.71</v>
      </c>
      <c r="Q285" s="3">
        <v>45349</v>
      </c>
      <c r="R285">
        <v>52.97</v>
      </c>
    </row>
    <row r="286" spans="7:18" x14ac:dyDescent="0.2">
      <c r="G286" s="3">
        <v>45348</v>
      </c>
      <c r="H286">
        <v>21324.31</v>
      </c>
      <c r="I286" s="3">
        <v>45348</v>
      </c>
      <c r="J286">
        <v>56.4</v>
      </c>
      <c r="K286" s="3">
        <v>45348</v>
      </c>
      <c r="L286">
        <v>154.88</v>
      </c>
      <c r="M286" s="3">
        <v>45348</v>
      </c>
      <c r="N286">
        <v>4.8899999999999997</v>
      </c>
      <c r="O286" s="3">
        <v>45348</v>
      </c>
      <c r="P286">
        <v>34.5</v>
      </c>
      <c r="Q286" s="3">
        <v>45348</v>
      </c>
      <c r="R286">
        <v>51.96</v>
      </c>
    </row>
    <row r="287" spans="7:18" x14ac:dyDescent="0.2">
      <c r="G287" s="3">
        <v>45345</v>
      </c>
      <c r="H287">
        <v>21413.15</v>
      </c>
      <c r="I287" s="3">
        <v>45345</v>
      </c>
      <c r="J287">
        <v>54.57</v>
      </c>
      <c r="K287" s="3">
        <v>45345</v>
      </c>
      <c r="L287">
        <v>154.33000000000001</v>
      </c>
      <c r="M287" s="3">
        <v>45345</v>
      </c>
      <c r="N287">
        <v>4.66</v>
      </c>
      <c r="O287" s="3">
        <v>45345</v>
      </c>
      <c r="P287">
        <v>34.549999999999997</v>
      </c>
      <c r="Q287" s="3">
        <v>45345</v>
      </c>
      <c r="R287">
        <v>52.24</v>
      </c>
    </row>
    <row r="288" spans="7:18" x14ac:dyDescent="0.2">
      <c r="G288" s="3">
        <v>45344</v>
      </c>
      <c r="H288">
        <v>21318.080000000002</v>
      </c>
      <c r="I288" s="3">
        <v>45344</v>
      </c>
      <c r="J288">
        <v>56.28</v>
      </c>
      <c r="K288" s="3">
        <v>45344</v>
      </c>
      <c r="L288">
        <v>148.72</v>
      </c>
      <c r="M288" s="3">
        <v>45344</v>
      </c>
      <c r="N288">
        <v>4.46</v>
      </c>
      <c r="O288" s="3">
        <v>45344</v>
      </c>
      <c r="P288">
        <v>35.85</v>
      </c>
      <c r="Q288" s="3">
        <v>45344</v>
      </c>
      <c r="R288">
        <v>52.29</v>
      </c>
    </row>
    <row r="289" spans="7:18" x14ac:dyDescent="0.2">
      <c r="G289" s="3">
        <v>45343</v>
      </c>
      <c r="H289">
        <v>21172.38</v>
      </c>
      <c r="I289" s="3">
        <v>45343</v>
      </c>
      <c r="J289">
        <v>50.22</v>
      </c>
      <c r="K289" s="3">
        <v>45343</v>
      </c>
      <c r="L289">
        <v>150</v>
      </c>
      <c r="M289" s="3">
        <v>45343</v>
      </c>
      <c r="N289">
        <v>4.53</v>
      </c>
      <c r="O289" s="3">
        <v>45343</v>
      </c>
      <c r="P289">
        <v>33.880000000000003</v>
      </c>
      <c r="Q289" s="3">
        <v>45343</v>
      </c>
      <c r="R289">
        <v>51.36</v>
      </c>
    </row>
    <row r="290" spans="7:18" x14ac:dyDescent="0.2">
      <c r="G290" s="3">
        <v>45342</v>
      </c>
      <c r="H290">
        <v>21217.53</v>
      </c>
      <c r="I290" s="3">
        <v>45342</v>
      </c>
      <c r="J290">
        <v>50.63</v>
      </c>
      <c r="K290" s="3">
        <v>45342</v>
      </c>
      <c r="L290">
        <v>153.97</v>
      </c>
      <c r="M290" s="3">
        <v>45342</v>
      </c>
      <c r="N290">
        <v>4.4800000000000004</v>
      </c>
      <c r="O290" s="3">
        <v>45342</v>
      </c>
      <c r="P290">
        <v>34.17</v>
      </c>
      <c r="Q290" s="3">
        <v>45342</v>
      </c>
      <c r="R290">
        <v>53.01</v>
      </c>
    </row>
    <row r="291" spans="7:18" x14ac:dyDescent="0.2">
      <c r="G291" s="3">
        <v>45338</v>
      </c>
      <c r="H291">
        <v>21255.61</v>
      </c>
      <c r="I291" s="3">
        <v>45338</v>
      </c>
      <c r="J291">
        <v>53.33</v>
      </c>
      <c r="K291" s="3">
        <v>45338</v>
      </c>
      <c r="L291">
        <v>160.38</v>
      </c>
      <c r="M291" s="3">
        <v>45338</v>
      </c>
      <c r="N291">
        <v>4.55</v>
      </c>
      <c r="O291" s="3">
        <v>45338</v>
      </c>
      <c r="P291">
        <v>32.29</v>
      </c>
      <c r="Q291" s="3">
        <v>45338</v>
      </c>
      <c r="R291">
        <v>53.93</v>
      </c>
    </row>
    <row r="292" spans="7:18" x14ac:dyDescent="0.2">
      <c r="G292" s="3">
        <v>45337</v>
      </c>
      <c r="H292">
        <v>21222.69</v>
      </c>
      <c r="I292" s="3">
        <v>45337</v>
      </c>
      <c r="J292">
        <v>53.72</v>
      </c>
      <c r="K292" s="3">
        <v>45337</v>
      </c>
      <c r="L292">
        <v>162.13</v>
      </c>
      <c r="M292" s="3">
        <v>45337</v>
      </c>
      <c r="N292">
        <v>4.57</v>
      </c>
      <c r="O292" s="3">
        <v>45337</v>
      </c>
      <c r="P292">
        <v>31.89</v>
      </c>
      <c r="Q292" s="3">
        <v>45337</v>
      </c>
      <c r="R292">
        <v>54.6</v>
      </c>
    </row>
    <row r="293" spans="7:18" x14ac:dyDescent="0.2">
      <c r="G293" s="3">
        <v>45336</v>
      </c>
      <c r="H293">
        <v>20889.400000000001</v>
      </c>
      <c r="I293" s="3">
        <v>45336</v>
      </c>
      <c r="J293">
        <v>53.03</v>
      </c>
      <c r="K293" s="3">
        <v>45336</v>
      </c>
      <c r="L293">
        <v>161.88</v>
      </c>
      <c r="M293" s="3">
        <v>45336</v>
      </c>
      <c r="N293">
        <v>4.5</v>
      </c>
      <c r="O293" s="3">
        <v>45336</v>
      </c>
      <c r="P293">
        <v>32.18</v>
      </c>
      <c r="Q293" s="3">
        <v>45336</v>
      </c>
      <c r="R293">
        <v>54.56</v>
      </c>
    </row>
    <row r="294" spans="7:18" x14ac:dyDescent="0.2">
      <c r="G294" s="3">
        <v>45335</v>
      </c>
      <c r="H294">
        <v>20584.97</v>
      </c>
      <c r="I294" s="3">
        <v>45335</v>
      </c>
      <c r="J294">
        <v>50.91</v>
      </c>
      <c r="K294" s="3">
        <v>45335</v>
      </c>
      <c r="L294">
        <v>159.43</v>
      </c>
      <c r="M294" s="3">
        <v>45335</v>
      </c>
      <c r="N294">
        <v>4.4400000000000004</v>
      </c>
      <c r="O294" s="3">
        <v>45335</v>
      </c>
      <c r="P294">
        <v>31.33</v>
      </c>
      <c r="Q294" s="3">
        <v>45335</v>
      </c>
      <c r="R294">
        <v>53</v>
      </c>
    </row>
    <row r="295" spans="7:18" x14ac:dyDescent="0.2">
      <c r="G295" s="3">
        <v>45334</v>
      </c>
      <c r="H295">
        <v>21067.3</v>
      </c>
      <c r="I295" s="3">
        <v>45334</v>
      </c>
      <c r="J295">
        <v>51.45</v>
      </c>
      <c r="K295" s="3">
        <v>45334</v>
      </c>
      <c r="L295">
        <v>160.71</v>
      </c>
      <c r="M295" s="3">
        <v>45334</v>
      </c>
      <c r="N295">
        <v>4.53</v>
      </c>
      <c r="O295" s="3">
        <v>45334</v>
      </c>
      <c r="P295">
        <v>31.35</v>
      </c>
      <c r="Q295" s="3">
        <v>45334</v>
      </c>
      <c r="R295">
        <v>54.88</v>
      </c>
    </row>
    <row r="296" spans="7:18" x14ac:dyDescent="0.2">
      <c r="G296" s="3">
        <v>45331</v>
      </c>
      <c r="H296">
        <v>21009.599999999999</v>
      </c>
      <c r="I296" s="3">
        <v>45331</v>
      </c>
      <c r="J296">
        <v>52.02</v>
      </c>
      <c r="K296" s="3">
        <v>45331</v>
      </c>
      <c r="L296">
        <v>160.29</v>
      </c>
      <c r="M296" s="3">
        <v>45331</v>
      </c>
      <c r="N296">
        <v>4.59</v>
      </c>
      <c r="O296" s="3">
        <v>45331</v>
      </c>
      <c r="P296">
        <v>31</v>
      </c>
      <c r="Q296" s="3">
        <v>45331</v>
      </c>
      <c r="R296">
        <v>56.37</v>
      </c>
    </row>
    <row r="297" spans="7:18" x14ac:dyDescent="0.2">
      <c r="G297" s="3">
        <v>45330</v>
      </c>
      <c r="H297">
        <v>20919.64</v>
      </c>
      <c r="I297" s="3">
        <v>45330</v>
      </c>
      <c r="J297">
        <v>50.52</v>
      </c>
      <c r="K297" s="3">
        <v>45330</v>
      </c>
      <c r="L297">
        <v>156.5</v>
      </c>
      <c r="M297" s="3">
        <v>45330</v>
      </c>
      <c r="N297">
        <v>4.42</v>
      </c>
      <c r="O297" s="3">
        <v>45330</v>
      </c>
      <c r="P297">
        <v>32.01</v>
      </c>
      <c r="Q297" s="3">
        <v>45330</v>
      </c>
      <c r="R297">
        <v>55.3</v>
      </c>
    </row>
    <row r="298" spans="7:18" x14ac:dyDescent="0.2">
      <c r="G298" s="3">
        <v>45329</v>
      </c>
      <c r="H298">
        <v>20969.18</v>
      </c>
      <c r="I298" s="3">
        <v>45329</v>
      </c>
      <c r="J298">
        <v>48.98</v>
      </c>
      <c r="K298" s="3">
        <v>45329</v>
      </c>
      <c r="L298">
        <v>157.47999999999999</v>
      </c>
      <c r="M298" s="3">
        <v>45329</v>
      </c>
      <c r="N298">
        <v>4.7</v>
      </c>
      <c r="O298" s="3">
        <v>45329</v>
      </c>
      <c r="P298">
        <v>32.340000000000003</v>
      </c>
      <c r="Q298" s="3">
        <v>45329</v>
      </c>
      <c r="R298">
        <v>55.07</v>
      </c>
    </row>
    <row r="299" spans="7:18" x14ac:dyDescent="0.2">
      <c r="G299" s="3">
        <v>45328</v>
      </c>
      <c r="H299">
        <v>20957.740000000002</v>
      </c>
      <c r="I299" s="3">
        <v>45328</v>
      </c>
      <c r="J299">
        <v>48.9</v>
      </c>
      <c r="K299" s="3">
        <v>45328</v>
      </c>
      <c r="L299">
        <v>158.05000000000001</v>
      </c>
      <c r="M299" s="3">
        <v>45328</v>
      </c>
      <c r="N299">
        <v>4.72</v>
      </c>
      <c r="O299" s="3">
        <v>45328</v>
      </c>
      <c r="P299">
        <v>32.43</v>
      </c>
      <c r="Q299" s="3">
        <v>45328</v>
      </c>
      <c r="R299">
        <v>55.76</v>
      </c>
    </row>
    <row r="300" spans="7:18" x14ac:dyDescent="0.2">
      <c r="G300" s="3">
        <v>45327</v>
      </c>
      <c r="H300">
        <v>20871.89</v>
      </c>
      <c r="I300" s="3">
        <v>45327</v>
      </c>
      <c r="J300">
        <v>50</v>
      </c>
      <c r="K300" s="3">
        <v>45327</v>
      </c>
      <c r="L300">
        <v>161.59</v>
      </c>
      <c r="M300" s="3">
        <v>45327</v>
      </c>
      <c r="N300">
        <v>4.6399999999999997</v>
      </c>
      <c r="O300" s="3">
        <v>45327</v>
      </c>
      <c r="P300">
        <v>32.770000000000003</v>
      </c>
      <c r="Q300" s="3">
        <v>45327</v>
      </c>
      <c r="R300">
        <v>56.65</v>
      </c>
    </row>
    <row r="301" spans="7:18" x14ac:dyDescent="0.2">
      <c r="G301" s="3">
        <v>45324</v>
      </c>
      <c r="H301">
        <v>21085.09</v>
      </c>
      <c r="I301" s="3">
        <v>45324</v>
      </c>
      <c r="J301">
        <v>48.54</v>
      </c>
      <c r="K301" s="3">
        <v>45324</v>
      </c>
      <c r="L301">
        <v>165.81</v>
      </c>
      <c r="M301" s="3">
        <v>45324</v>
      </c>
      <c r="N301">
        <v>4.87</v>
      </c>
      <c r="O301" s="3">
        <v>45324</v>
      </c>
      <c r="P301">
        <v>32.21</v>
      </c>
      <c r="Q301" s="3">
        <v>45324</v>
      </c>
      <c r="R301">
        <v>57.97</v>
      </c>
    </row>
    <row r="302" spans="7:18" x14ac:dyDescent="0.2">
      <c r="G302" s="3">
        <v>45323</v>
      </c>
      <c r="H302">
        <v>21119.21</v>
      </c>
      <c r="I302" s="3">
        <v>45323</v>
      </c>
      <c r="J302">
        <v>48.35</v>
      </c>
      <c r="K302" s="3">
        <v>45323</v>
      </c>
      <c r="L302">
        <v>164.21</v>
      </c>
      <c r="M302" s="3">
        <v>45323</v>
      </c>
      <c r="N302">
        <v>4.74</v>
      </c>
      <c r="O302" s="3">
        <v>45323</v>
      </c>
      <c r="P302">
        <v>31.5</v>
      </c>
      <c r="Q302" s="3">
        <v>45323</v>
      </c>
      <c r="R302">
        <v>59.04</v>
      </c>
    </row>
    <row r="303" spans="7:18" x14ac:dyDescent="0.2">
      <c r="G303" s="3">
        <v>45322</v>
      </c>
      <c r="H303">
        <v>21021.88</v>
      </c>
      <c r="I303" s="3">
        <v>45322</v>
      </c>
      <c r="J303">
        <v>46.21</v>
      </c>
      <c r="K303" s="3">
        <v>45322</v>
      </c>
      <c r="L303">
        <v>163.72</v>
      </c>
      <c r="M303" s="3">
        <v>45322</v>
      </c>
      <c r="N303">
        <v>4.54</v>
      </c>
      <c r="O303" s="3">
        <v>45322</v>
      </c>
      <c r="P303">
        <v>31.36</v>
      </c>
      <c r="Q303" s="3">
        <v>45322</v>
      </c>
      <c r="R303">
        <v>58.63</v>
      </c>
    </row>
    <row r="304" spans="7:18" x14ac:dyDescent="0.2">
      <c r="G304" s="3">
        <v>45321</v>
      </c>
      <c r="H304">
        <v>21227.87</v>
      </c>
      <c r="I304" s="3">
        <v>45321</v>
      </c>
      <c r="J304">
        <v>44.32</v>
      </c>
      <c r="K304" s="3">
        <v>45321</v>
      </c>
      <c r="L304">
        <v>166.06</v>
      </c>
      <c r="M304" s="3">
        <v>45321</v>
      </c>
      <c r="N304">
        <v>4.68</v>
      </c>
      <c r="O304" s="3">
        <v>45321</v>
      </c>
      <c r="P304">
        <v>32.17</v>
      </c>
      <c r="Q304" s="3">
        <v>45321</v>
      </c>
      <c r="R304">
        <v>58.99</v>
      </c>
    </row>
    <row r="305" spans="7:18" x14ac:dyDescent="0.2">
      <c r="G305" s="3">
        <v>45320</v>
      </c>
      <c r="H305">
        <v>21200.06</v>
      </c>
      <c r="I305" s="3">
        <v>45320</v>
      </c>
      <c r="J305">
        <v>43.63</v>
      </c>
      <c r="K305" s="3">
        <v>45320</v>
      </c>
      <c r="L305">
        <v>165.31</v>
      </c>
      <c r="M305" s="3">
        <v>45320</v>
      </c>
      <c r="N305">
        <v>4.1399999999999997</v>
      </c>
      <c r="O305" s="3">
        <v>45320</v>
      </c>
      <c r="P305">
        <v>31.23</v>
      </c>
      <c r="Q305" s="3">
        <v>45320</v>
      </c>
      <c r="R305">
        <v>59.22</v>
      </c>
    </row>
    <row r="306" spans="7:18" x14ac:dyDescent="0.2">
      <c r="G306" s="3">
        <v>45317</v>
      </c>
      <c r="H306">
        <v>21125.279999999999</v>
      </c>
      <c r="I306" s="3">
        <v>45317</v>
      </c>
      <c r="J306">
        <v>42.97</v>
      </c>
      <c r="K306" s="3">
        <v>45317</v>
      </c>
      <c r="L306">
        <v>164.52</v>
      </c>
      <c r="M306" s="3">
        <v>45317</v>
      </c>
      <c r="N306">
        <v>4.0999999999999996</v>
      </c>
      <c r="O306" s="3">
        <v>45317</v>
      </c>
      <c r="P306">
        <v>30.48</v>
      </c>
      <c r="Q306" s="3">
        <v>45317</v>
      </c>
      <c r="R306">
        <v>58.47</v>
      </c>
    </row>
    <row r="307" spans="7:18" x14ac:dyDescent="0.2">
      <c r="G307" s="3">
        <v>45316</v>
      </c>
      <c r="H307">
        <v>21101.54</v>
      </c>
      <c r="I307" s="3">
        <v>45316</v>
      </c>
      <c r="J307">
        <v>42.73</v>
      </c>
      <c r="K307" s="3">
        <v>45316</v>
      </c>
      <c r="L307">
        <v>162.66</v>
      </c>
      <c r="M307" s="3">
        <v>45316</v>
      </c>
      <c r="N307">
        <v>3.95</v>
      </c>
      <c r="O307" s="3">
        <v>45316</v>
      </c>
      <c r="P307">
        <v>30.85</v>
      </c>
      <c r="Q307" s="3">
        <v>45316</v>
      </c>
      <c r="R307">
        <v>58.1</v>
      </c>
    </row>
    <row r="308" spans="7:18" x14ac:dyDescent="0.2">
      <c r="G308" s="3">
        <v>45315</v>
      </c>
      <c r="H308">
        <v>21025.78</v>
      </c>
      <c r="I308" s="3">
        <v>45315</v>
      </c>
      <c r="J308">
        <v>41.49</v>
      </c>
      <c r="K308" s="3">
        <v>45315</v>
      </c>
      <c r="L308">
        <v>163.69999999999999</v>
      </c>
      <c r="M308" s="3">
        <v>45315</v>
      </c>
      <c r="N308">
        <v>3.95</v>
      </c>
      <c r="O308" s="3">
        <v>45315</v>
      </c>
      <c r="P308">
        <v>32.049999999999997</v>
      </c>
      <c r="Q308" s="3">
        <v>45315</v>
      </c>
      <c r="R308">
        <v>56.68</v>
      </c>
    </row>
    <row r="309" spans="7:18" x14ac:dyDescent="0.2">
      <c r="G309" s="3">
        <v>45314</v>
      </c>
      <c r="H309">
        <v>21034.59</v>
      </c>
      <c r="I309" s="3">
        <v>45314</v>
      </c>
      <c r="J309">
        <v>41.2</v>
      </c>
      <c r="K309" s="3">
        <v>45314</v>
      </c>
      <c r="L309">
        <v>165.53</v>
      </c>
      <c r="M309" s="3">
        <v>45314</v>
      </c>
      <c r="N309">
        <v>3.92</v>
      </c>
      <c r="O309" s="3">
        <v>45314</v>
      </c>
      <c r="P309">
        <v>32.9</v>
      </c>
      <c r="Q309" s="3">
        <v>45314</v>
      </c>
      <c r="R309">
        <v>55.91</v>
      </c>
    </row>
    <row r="310" spans="7:18" x14ac:dyDescent="0.2">
      <c r="G310" s="3">
        <v>45313</v>
      </c>
      <c r="H310">
        <v>20924.3</v>
      </c>
      <c r="I310" s="3">
        <v>45313</v>
      </c>
      <c r="J310">
        <v>42.64</v>
      </c>
      <c r="K310" s="3">
        <v>45313</v>
      </c>
      <c r="L310">
        <v>164.59</v>
      </c>
      <c r="M310" s="3">
        <v>45313</v>
      </c>
      <c r="N310">
        <v>3.88</v>
      </c>
      <c r="O310" s="3">
        <v>45313</v>
      </c>
      <c r="P310">
        <v>33.340000000000003</v>
      </c>
      <c r="Q310" s="3">
        <v>45313</v>
      </c>
      <c r="R310">
        <v>56.2</v>
      </c>
    </row>
    <row r="311" spans="7:18" x14ac:dyDescent="0.2">
      <c r="G311" s="3">
        <v>45310</v>
      </c>
      <c r="H311">
        <v>20906.52</v>
      </c>
      <c r="I311" s="3">
        <v>45310</v>
      </c>
      <c r="J311">
        <v>41.53</v>
      </c>
      <c r="K311" s="3">
        <v>45310</v>
      </c>
      <c r="L311">
        <v>165.78</v>
      </c>
      <c r="M311" s="3">
        <v>45310</v>
      </c>
      <c r="N311">
        <v>3.89</v>
      </c>
      <c r="O311" s="3">
        <v>45310</v>
      </c>
      <c r="P311">
        <v>33.01</v>
      </c>
      <c r="Q311" s="3">
        <v>45310</v>
      </c>
      <c r="R311">
        <v>55.26</v>
      </c>
    </row>
    <row r="312" spans="7:18" x14ac:dyDescent="0.2">
      <c r="G312" s="3">
        <v>45309</v>
      </c>
      <c r="H312">
        <v>20756.73</v>
      </c>
      <c r="I312" s="3">
        <v>45309</v>
      </c>
      <c r="J312">
        <v>38.590000000000003</v>
      </c>
      <c r="K312" s="3">
        <v>45309</v>
      </c>
      <c r="L312">
        <v>163.32</v>
      </c>
      <c r="M312" s="3">
        <v>45309</v>
      </c>
      <c r="N312">
        <v>3.74</v>
      </c>
      <c r="O312" s="3">
        <v>45309</v>
      </c>
      <c r="P312">
        <v>32.21</v>
      </c>
      <c r="Q312" s="3">
        <v>45309</v>
      </c>
      <c r="R312">
        <v>55.19</v>
      </c>
    </row>
    <row r="313" spans="7:18" x14ac:dyDescent="0.2">
      <c r="G313" s="3">
        <v>45308</v>
      </c>
      <c r="H313">
        <v>20695.02</v>
      </c>
      <c r="I313" s="3">
        <v>45308</v>
      </c>
      <c r="J313">
        <v>37.299999999999997</v>
      </c>
      <c r="K313" s="3">
        <v>45308</v>
      </c>
      <c r="L313">
        <v>159.44999999999999</v>
      </c>
      <c r="M313" s="3">
        <v>45308</v>
      </c>
      <c r="N313">
        <v>3.78</v>
      </c>
      <c r="O313" s="3">
        <v>45308</v>
      </c>
      <c r="P313">
        <v>31.74</v>
      </c>
      <c r="Q313" s="3">
        <v>45308</v>
      </c>
      <c r="R313">
        <v>53.93</v>
      </c>
    </row>
    <row r="314" spans="7:18" x14ac:dyDescent="0.2">
      <c r="G314" s="3">
        <v>45307</v>
      </c>
      <c r="H314">
        <v>20948.09</v>
      </c>
      <c r="I314" s="3">
        <v>45307</v>
      </c>
      <c r="J314">
        <v>38.520000000000003</v>
      </c>
      <c r="K314" s="3">
        <v>45307</v>
      </c>
      <c r="L314">
        <v>155.35</v>
      </c>
      <c r="M314" s="3">
        <v>45307</v>
      </c>
      <c r="N314">
        <v>3.73</v>
      </c>
      <c r="O314" s="3">
        <v>45307</v>
      </c>
      <c r="P314">
        <v>31.82</v>
      </c>
      <c r="Q314" s="3">
        <v>45307</v>
      </c>
      <c r="R314">
        <v>54.42</v>
      </c>
    </row>
    <row r="315" spans="7:18" x14ac:dyDescent="0.2">
      <c r="G315" s="3">
        <v>45306</v>
      </c>
      <c r="H315">
        <v>21061.88</v>
      </c>
      <c r="I315" s="3">
        <v>45306</v>
      </c>
      <c r="J315">
        <v>38.090000000000003</v>
      </c>
      <c r="K315" s="3">
        <v>45306</v>
      </c>
      <c r="L315">
        <v>148.77000000000001</v>
      </c>
      <c r="M315" s="3">
        <v>45306</v>
      </c>
      <c r="N315">
        <v>3.85</v>
      </c>
      <c r="O315" s="3">
        <v>45306</v>
      </c>
      <c r="P315">
        <v>31.62</v>
      </c>
      <c r="Q315" s="3">
        <v>45306</v>
      </c>
      <c r="R315">
        <v>54.94</v>
      </c>
    </row>
    <row r="316" spans="7:18" x14ac:dyDescent="0.2">
      <c r="G316" s="3">
        <v>45303</v>
      </c>
      <c r="H316">
        <v>20990.22</v>
      </c>
      <c r="I316" s="3">
        <v>45303</v>
      </c>
      <c r="J316">
        <v>38.520000000000003</v>
      </c>
      <c r="K316" s="3">
        <v>45303</v>
      </c>
      <c r="L316">
        <v>148.13</v>
      </c>
      <c r="M316" s="3">
        <v>45303</v>
      </c>
      <c r="N316">
        <v>3.94</v>
      </c>
      <c r="O316" s="3">
        <v>45303</v>
      </c>
      <c r="P316">
        <v>30.3</v>
      </c>
      <c r="Q316" s="3">
        <v>45303</v>
      </c>
      <c r="R316">
        <v>55.72</v>
      </c>
    </row>
    <row r="317" spans="7:18" x14ac:dyDescent="0.2">
      <c r="G317" s="3">
        <v>45302</v>
      </c>
      <c r="H317">
        <v>20918.400000000001</v>
      </c>
      <c r="I317" s="3">
        <v>45302</v>
      </c>
      <c r="J317">
        <v>38.44</v>
      </c>
      <c r="K317" s="3">
        <v>45302</v>
      </c>
      <c r="L317">
        <v>143.94999999999999</v>
      </c>
      <c r="M317" s="3">
        <v>45302</v>
      </c>
      <c r="N317">
        <v>3.94</v>
      </c>
      <c r="O317" s="3">
        <v>45302</v>
      </c>
      <c r="P317">
        <v>29.28</v>
      </c>
      <c r="Q317" s="3">
        <v>45302</v>
      </c>
      <c r="R317">
        <v>56.5</v>
      </c>
    </row>
    <row r="318" spans="7:18" x14ac:dyDescent="0.2">
      <c r="G318" s="3">
        <v>45301</v>
      </c>
      <c r="H318">
        <v>20989.42</v>
      </c>
      <c r="I318" s="3">
        <v>45301</v>
      </c>
      <c r="J318">
        <v>39.51</v>
      </c>
      <c r="K318" s="3">
        <v>45301</v>
      </c>
      <c r="L318">
        <v>143.36000000000001</v>
      </c>
      <c r="M318" s="3">
        <v>45301</v>
      </c>
      <c r="N318">
        <v>4.01</v>
      </c>
      <c r="O318" s="3">
        <v>45301</v>
      </c>
      <c r="P318">
        <v>28.7</v>
      </c>
      <c r="Q318" s="3">
        <v>45301</v>
      </c>
      <c r="R318">
        <v>55.62</v>
      </c>
    </row>
    <row r="319" spans="7:18" x14ac:dyDescent="0.2">
      <c r="G319" s="3">
        <v>45300</v>
      </c>
      <c r="H319">
        <v>20970.98</v>
      </c>
      <c r="I319" s="3">
        <v>45300</v>
      </c>
      <c r="J319">
        <v>38.54</v>
      </c>
      <c r="K319" s="3">
        <v>45300</v>
      </c>
      <c r="L319">
        <v>143</v>
      </c>
      <c r="M319" s="3">
        <v>45300</v>
      </c>
      <c r="N319">
        <v>4.04</v>
      </c>
      <c r="O319" s="3">
        <v>45300</v>
      </c>
      <c r="P319">
        <v>28.52</v>
      </c>
      <c r="Q319" s="3">
        <v>45300</v>
      </c>
      <c r="R319">
        <v>54.75</v>
      </c>
    </row>
    <row r="320" spans="7:18" x14ac:dyDescent="0.2">
      <c r="G320" s="3">
        <v>45299</v>
      </c>
      <c r="H320">
        <v>21074.91</v>
      </c>
      <c r="I320" s="3">
        <v>45299</v>
      </c>
      <c r="J320">
        <v>38.520000000000003</v>
      </c>
      <c r="K320" s="3">
        <v>45299</v>
      </c>
      <c r="L320">
        <v>141.16</v>
      </c>
      <c r="M320" s="3">
        <v>45299</v>
      </c>
      <c r="N320">
        <v>4.13</v>
      </c>
      <c r="O320" s="3">
        <v>45299</v>
      </c>
      <c r="P320">
        <v>28.55</v>
      </c>
      <c r="Q320" s="3">
        <v>45299</v>
      </c>
      <c r="R320">
        <v>55.12</v>
      </c>
    </row>
    <row r="321" spans="7:18" x14ac:dyDescent="0.2">
      <c r="G321" s="3">
        <v>45296</v>
      </c>
      <c r="H321">
        <v>20937.55</v>
      </c>
      <c r="I321" s="3">
        <v>45296</v>
      </c>
      <c r="J321">
        <v>37.33</v>
      </c>
      <c r="K321" s="3">
        <v>45296</v>
      </c>
      <c r="L321">
        <v>136.75</v>
      </c>
      <c r="M321" s="3">
        <v>45296</v>
      </c>
      <c r="N321">
        <v>4.0999999999999996</v>
      </c>
      <c r="O321" s="3">
        <v>45296</v>
      </c>
      <c r="P321">
        <v>27.8</v>
      </c>
      <c r="Q321" s="3">
        <v>45296</v>
      </c>
      <c r="R321">
        <v>53.63</v>
      </c>
    </row>
    <row r="322" spans="7:18" x14ac:dyDescent="0.2">
      <c r="G322" s="3">
        <v>45295</v>
      </c>
      <c r="H322">
        <v>20871.349999999999</v>
      </c>
      <c r="I322" s="3">
        <v>45295</v>
      </c>
      <c r="J322">
        <v>37.299999999999997</v>
      </c>
      <c r="K322" s="3">
        <v>45295</v>
      </c>
      <c r="L322">
        <v>137.65</v>
      </c>
      <c r="M322" s="3">
        <v>45295</v>
      </c>
      <c r="N322">
        <v>4.08</v>
      </c>
      <c r="O322" s="3">
        <v>45295</v>
      </c>
      <c r="P322">
        <v>28.49</v>
      </c>
      <c r="Q322" s="3">
        <v>45295</v>
      </c>
      <c r="R322">
        <v>53.12</v>
      </c>
    </row>
    <row r="323" spans="7:18" x14ac:dyDescent="0.2">
      <c r="G323" s="3">
        <v>45294</v>
      </c>
      <c r="H323">
        <v>20818.580000000002</v>
      </c>
      <c r="I323" s="3">
        <v>45294</v>
      </c>
      <c r="J323">
        <v>37.630000000000003</v>
      </c>
      <c r="K323" s="3">
        <v>45294</v>
      </c>
      <c r="L323">
        <v>139.02000000000001</v>
      </c>
      <c r="M323" s="3">
        <v>45294</v>
      </c>
      <c r="N323">
        <v>3.97</v>
      </c>
      <c r="O323" s="3">
        <v>45294</v>
      </c>
      <c r="P323">
        <v>28.55</v>
      </c>
      <c r="Q323" s="3">
        <v>45294</v>
      </c>
      <c r="R323">
        <v>53.2</v>
      </c>
    </row>
    <row r="324" spans="7:18" x14ac:dyDescent="0.2">
      <c r="G324" s="3">
        <v>45293</v>
      </c>
      <c r="H324">
        <v>20872.14</v>
      </c>
      <c r="I324" s="3">
        <v>45293</v>
      </c>
      <c r="J324">
        <v>37.659999999999997</v>
      </c>
      <c r="K324" s="3">
        <v>45293</v>
      </c>
      <c r="L324">
        <v>142.37</v>
      </c>
      <c r="M324" s="3">
        <v>45293</v>
      </c>
      <c r="N324">
        <v>4.0599999999999996</v>
      </c>
      <c r="O324" s="3">
        <v>45293</v>
      </c>
      <c r="P324">
        <v>28.9</v>
      </c>
      <c r="Q324" s="3">
        <v>45293</v>
      </c>
      <c r="R324">
        <v>54.19</v>
      </c>
    </row>
    <row r="325" spans="7:18" x14ac:dyDescent="0.2">
      <c r="G325" s="3">
        <v>45289</v>
      </c>
      <c r="H325">
        <v>20958.439999999999</v>
      </c>
      <c r="I325" s="3">
        <v>45289</v>
      </c>
      <c r="J325">
        <v>38.81</v>
      </c>
      <c r="K325" s="3">
        <v>45289</v>
      </c>
      <c r="L325">
        <v>148.71</v>
      </c>
      <c r="M325" s="3">
        <v>45289</v>
      </c>
      <c r="N325">
        <v>4.1399999999999997</v>
      </c>
      <c r="O325" s="3">
        <v>45289</v>
      </c>
      <c r="P325">
        <v>29.9</v>
      </c>
      <c r="Q325" s="3">
        <v>45289</v>
      </c>
      <c r="R325">
        <v>55.69</v>
      </c>
    </row>
    <row r="326" spans="7:18" x14ac:dyDescent="0.2">
      <c r="G326" s="3">
        <v>45288</v>
      </c>
      <c r="H326">
        <v>20929.38</v>
      </c>
      <c r="I326" s="3">
        <v>45288</v>
      </c>
      <c r="J326">
        <v>39.159999999999997</v>
      </c>
      <c r="K326" s="3">
        <v>45288</v>
      </c>
      <c r="L326">
        <v>148.62</v>
      </c>
      <c r="M326" s="3">
        <v>45288</v>
      </c>
      <c r="N326">
        <v>4.2</v>
      </c>
      <c r="O326" s="3">
        <v>45288</v>
      </c>
      <c r="P326">
        <v>30.2</v>
      </c>
      <c r="Q326" s="3">
        <v>45288</v>
      </c>
      <c r="R326">
        <v>55.95</v>
      </c>
    </row>
    <row r="327" spans="7:18" x14ac:dyDescent="0.2">
      <c r="G327" s="3">
        <v>45287</v>
      </c>
      <c r="H327">
        <v>21015.91</v>
      </c>
      <c r="I327" s="3">
        <v>45287</v>
      </c>
      <c r="J327">
        <v>38.96</v>
      </c>
      <c r="K327" s="3">
        <v>45287</v>
      </c>
      <c r="L327">
        <v>149</v>
      </c>
      <c r="M327" s="3">
        <v>45287</v>
      </c>
      <c r="N327">
        <v>4</v>
      </c>
      <c r="O327" s="3">
        <v>45287</v>
      </c>
      <c r="P327">
        <v>29.4</v>
      </c>
      <c r="Q327" s="3">
        <v>45287</v>
      </c>
      <c r="R327">
        <v>56.28</v>
      </c>
    </row>
    <row r="328" spans="7:18" x14ac:dyDescent="0.2">
      <c r="G328" s="3">
        <v>45282</v>
      </c>
      <c r="H328">
        <v>20881.189999999999</v>
      </c>
      <c r="I328" s="3">
        <v>45282</v>
      </c>
      <c r="J328">
        <v>39.54</v>
      </c>
      <c r="K328" s="3">
        <v>45282</v>
      </c>
      <c r="L328">
        <v>151.01</v>
      </c>
      <c r="M328" s="3">
        <v>45282</v>
      </c>
      <c r="N328">
        <v>4.09</v>
      </c>
      <c r="O328" s="3">
        <v>45282</v>
      </c>
      <c r="P328">
        <v>28.69</v>
      </c>
      <c r="Q328" s="3">
        <v>45282</v>
      </c>
      <c r="R328">
        <v>55.85</v>
      </c>
    </row>
    <row r="329" spans="7:18" x14ac:dyDescent="0.2">
      <c r="G329" s="3">
        <v>45281</v>
      </c>
      <c r="H329">
        <v>20765.73</v>
      </c>
      <c r="I329" s="3">
        <v>45281</v>
      </c>
      <c r="J329">
        <v>39.43</v>
      </c>
      <c r="K329" s="3">
        <v>45281</v>
      </c>
      <c r="L329">
        <v>150.5</v>
      </c>
      <c r="M329" s="3">
        <v>45281</v>
      </c>
      <c r="N329">
        <v>4.16</v>
      </c>
      <c r="O329" s="3">
        <v>45281</v>
      </c>
      <c r="P329">
        <v>27.65</v>
      </c>
      <c r="Q329" s="3">
        <v>45281</v>
      </c>
      <c r="R329">
        <v>55.95</v>
      </c>
    </row>
    <row r="330" spans="7:18" x14ac:dyDescent="0.2">
      <c r="G330" s="3">
        <v>45280</v>
      </c>
      <c r="H330">
        <v>20600.810000000001</v>
      </c>
      <c r="I330" s="3">
        <v>45280</v>
      </c>
      <c r="J330">
        <v>38.36</v>
      </c>
      <c r="K330" s="3">
        <v>45280</v>
      </c>
      <c r="L330">
        <v>148.47</v>
      </c>
      <c r="M330" s="3">
        <v>45280</v>
      </c>
      <c r="N330">
        <v>4.1500000000000004</v>
      </c>
      <c r="O330" s="3">
        <v>45280</v>
      </c>
      <c r="P330">
        <v>26.35</v>
      </c>
      <c r="Q330" s="3">
        <v>45280</v>
      </c>
      <c r="R330">
        <v>54.84</v>
      </c>
    </row>
    <row r="331" spans="7:18" x14ac:dyDescent="0.2">
      <c r="G331" s="3">
        <v>45279</v>
      </c>
      <c r="H331">
        <v>20839.63</v>
      </c>
      <c r="I331" s="3">
        <v>45279</v>
      </c>
      <c r="J331">
        <v>39.159999999999997</v>
      </c>
      <c r="K331" s="3">
        <v>45279</v>
      </c>
      <c r="L331">
        <v>154</v>
      </c>
      <c r="M331" s="3">
        <v>45279</v>
      </c>
      <c r="N331">
        <v>4.1399999999999997</v>
      </c>
      <c r="O331" s="3">
        <v>45279</v>
      </c>
      <c r="P331">
        <v>23.19</v>
      </c>
      <c r="Q331" s="3">
        <v>45279</v>
      </c>
      <c r="R331">
        <v>54.96</v>
      </c>
    </row>
    <row r="332" spans="7:18" x14ac:dyDescent="0.2">
      <c r="G332" s="3">
        <v>45278</v>
      </c>
      <c r="H332">
        <v>20622.71</v>
      </c>
      <c r="I332" s="3">
        <v>45278</v>
      </c>
      <c r="J332">
        <v>39.39</v>
      </c>
      <c r="K332" s="3">
        <v>45278</v>
      </c>
      <c r="L332">
        <v>153.59</v>
      </c>
      <c r="M332" s="3">
        <v>45278</v>
      </c>
      <c r="N332">
        <v>4.12</v>
      </c>
      <c r="O332" s="3">
        <v>45278</v>
      </c>
      <c r="P332">
        <v>23.22</v>
      </c>
      <c r="Q332" s="3">
        <v>45278</v>
      </c>
      <c r="R332">
        <v>55.23</v>
      </c>
    </row>
    <row r="333" spans="7:18" x14ac:dyDescent="0.2">
      <c r="G333" s="3">
        <v>45275</v>
      </c>
      <c r="H333">
        <v>20529.150000000001</v>
      </c>
      <c r="I333" s="3">
        <v>45275</v>
      </c>
      <c r="J333">
        <v>39.49</v>
      </c>
      <c r="K333" s="3">
        <v>45275</v>
      </c>
      <c r="L333">
        <v>153.13999999999999</v>
      </c>
      <c r="M333" s="3">
        <v>45275</v>
      </c>
      <c r="N333">
        <v>4.2</v>
      </c>
      <c r="O333" s="3">
        <v>45275</v>
      </c>
      <c r="P333">
        <v>23.82</v>
      </c>
      <c r="Q333" s="3">
        <v>45275</v>
      </c>
      <c r="R333">
        <v>55</v>
      </c>
    </row>
    <row r="334" spans="7:18" x14ac:dyDescent="0.2">
      <c r="G334" s="3">
        <v>45274</v>
      </c>
      <c r="H334">
        <v>20778.8</v>
      </c>
      <c r="I334" s="3">
        <v>45274</v>
      </c>
      <c r="J334">
        <v>38.9</v>
      </c>
      <c r="K334" s="3">
        <v>45274</v>
      </c>
      <c r="L334">
        <v>155.29</v>
      </c>
      <c r="M334" s="3">
        <v>45274</v>
      </c>
      <c r="N334">
        <v>4.2300000000000004</v>
      </c>
      <c r="O334" s="3">
        <v>45274</v>
      </c>
      <c r="P334">
        <v>24.4</v>
      </c>
      <c r="Q334" s="3">
        <v>45274</v>
      </c>
      <c r="R334">
        <v>55.74</v>
      </c>
    </row>
    <row r="335" spans="7:18" x14ac:dyDescent="0.2">
      <c r="G335" s="3">
        <v>45273</v>
      </c>
      <c r="H335">
        <v>20629.45</v>
      </c>
      <c r="I335" s="3">
        <v>45273</v>
      </c>
      <c r="J335">
        <v>38.020000000000003</v>
      </c>
      <c r="K335" s="3">
        <v>45273</v>
      </c>
      <c r="L335">
        <v>154.63</v>
      </c>
      <c r="M335" s="3">
        <v>45273</v>
      </c>
      <c r="N335">
        <v>4.1399999999999997</v>
      </c>
      <c r="O335" s="3">
        <v>45273</v>
      </c>
      <c r="P335">
        <v>23.18</v>
      </c>
      <c r="Q335" s="3">
        <v>45273</v>
      </c>
      <c r="R335">
        <v>55.36</v>
      </c>
    </row>
    <row r="336" spans="7:18" x14ac:dyDescent="0.2">
      <c r="G336" s="3">
        <v>45272</v>
      </c>
      <c r="H336">
        <v>20233.84</v>
      </c>
      <c r="I336" s="3">
        <v>45272</v>
      </c>
      <c r="J336">
        <v>37.369999999999997</v>
      </c>
      <c r="K336" s="3">
        <v>45272</v>
      </c>
      <c r="L336">
        <v>151.46</v>
      </c>
      <c r="M336" s="3">
        <v>45272</v>
      </c>
      <c r="N336">
        <v>4.2699999999999996</v>
      </c>
      <c r="O336" s="3">
        <v>45272</v>
      </c>
      <c r="P336">
        <v>23.93</v>
      </c>
      <c r="Q336" s="3">
        <v>45272</v>
      </c>
      <c r="R336">
        <v>55.09</v>
      </c>
    </row>
    <row r="337" spans="7:18" x14ac:dyDescent="0.2">
      <c r="G337" s="3">
        <v>45271</v>
      </c>
      <c r="H337">
        <v>20318.36</v>
      </c>
      <c r="I337" s="3">
        <v>45271</v>
      </c>
      <c r="J337">
        <v>37.6</v>
      </c>
      <c r="K337" s="3">
        <v>45271</v>
      </c>
      <c r="L337">
        <v>152.38</v>
      </c>
      <c r="M337" s="3">
        <v>45271</v>
      </c>
      <c r="N337">
        <v>4.3600000000000003</v>
      </c>
      <c r="O337" s="3">
        <v>45271</v>
      </c>
      <c r="P337">
        <v>24.31</v>
      </c>
      <c r="Q337" s="3">
        <v>45271</v>
      </c>
      <c r="R337">
        <v>54.74</v>
      </c>
    </row>
    <row r="338" spans="7:18" x14ac:dyDescent="0.2">
      <c r="G338" s="3">
        <v>45268</v>
      </c>
      <c r="H338">
        <v>20331.54</v>
      </c>
      <c r="I338" s="3">
        <v>45268</v>
      </c>
      <c r="J338">
        <v>36.96</v>
      </c>
      <c r="K338" s="3">
        <v>45268</v>
      </c>
      <c r="L338">
        <v>154.47</v>
      </c>
      <c r="M338" s="3">
        <v>45268</v>
      </c>
      <c r="N338">
        <v>4.2</v>
      </c>
      <c r="O338" s="3">
        <v>45268</v>
      </c>
      <c r="P338">
        <v>23.25</v>
      </c>
      <c r="Q338" s="3">
        <v>45268</v>
      </c>
      <c r="R338">
        <v>54.26</v>
      </c>
    </row>
    <row r="339" spans="7:18" x14ac:dyDescent="0.2">
      <c r="G339" s="3">
        <v>45267</v>
      </c>
      <c r="H339">
        <v>20278.509999999998</v>
      </c>
      <c r="I339" s="3">
        <v>45267</v>
      </c>
      <c r="J339">
        <v>36.270000000000003</v>
      </c>
      <c r="K339" s="3">
        <v>45267</v>
      </c>
      <c r="L339">
        <v>154.44999999999999</v>
      </c>
      <c r="M339" s="3">
        <v>45267</v>
      </c>
      <c r="N339">
        <v>4.09</v>
      </c>
      <c r="O339" s="3">
        <v>45267</v>
      </c>
      <c r="P339">
        <v>23.65</v>
      </c>
      <c r="Q339" s="3">
        <v>45267</v>
      </c>
      <c r="R339">
        <v>54.1</v>
      </c>
    </row>
    <row r="340" spans="7:18" x14ac:dyDescent="0.2">
      <c r="G340" s="3">
        <v>45266</v>
      </c>
      <c r="H340">
        <v>20274.21</v>
      </c>
      <c r="I340" s="3">
        <v>45266</v>
      </c>
      <c r="J340">
        <v>35.15</v>
      </c>
      <c r="K340" s="3">
        <v>45266</v>
      </c>
      <c r="L340">
        <v>151.6</v>
      </c>
      <c r="M340" s="3">
        <v>45266</v>
      </c>
      <c r="N340">
        <v>3.99</v>
      </c>
      <c r="O340" s="3">
        <v>45266</v>
      </c>
      <c r="P340">
        <v>23.07</v>
      </c>
      <c r="Q340" s="3">
        <v>45266</v>
      </c>
      <c r="R340">
        <v>54.02</v>
      </c>
    </row>
    <row r="341" spans="7:18" x14ac:dyDescent="0.2">
      <c r="G341" s="3">
        <v>45265</v>
      </c>
      <c r="H341">
        <v>20375.93</v>
      </c>
      <c r="I341" s="3">
        <v>45265</v>
      </c>
      <c r="J341">
        <v>36.86</v>
      </c>
      <c r="K341" s="3">
        <v>45265</v>
      </c>
      <c r="L341">
        <v>152.5</v>
      </c>
      <c r="M341" s="3">
        <v>45265</v>
      </c>
      <c r="N341">
        <v>4.05</v>
      </c>
      <c r="O341" s="3">
        <v>45265</v>
      </c>
      <c r="P341">
        <v>23.25</v>
      </c>
      <c r="Q341" s="3">
        <v>45265</v>
      </c>
      <c r="R341">
        <v>54.63</v>
      </c>
    </row>
    <row r="342" spans="7:18" x14ac:dyDescent="0.2">
      <c r="G342" s="3">
        <v>45264</v>
      </c>
      <c r="H342">
        <v>20410.21</v>
      </c>
      <c r="I342" s="3">
        <v>45264</v>
      </c>
      <c r="J342">
        <v>36.369999999999997</v>
      </c>
      <c r="K342" s="3">
        <v>45264</v>
      </c>
      <c r="L342">
        <v>152.75</v>
      </c>
      <c r="M342" s="3">
        <v>45264</v>
      </c>
      <c r="N342">
        <v>4.09</v>
      </c>
      <c r="O342" s="3">
        <v>45264</v>
      </c>
      <c r="P342">
        <v>23.81</v>
      </c>
      <c r="Q342" s="3">
        <v>45264</v>
      </c>
      <c r="R342">
        <v>54.53</v>
      </c>
    </row>
    <row r="343" spans="7:18" x14ac:dyDescent="0.2">
      <c r="G343" s="3">
        <v>45261</v>
      </c>
      <c r="H343">
        <v>20452.87</v>
      </c>
      <c r="I343" s="3">
        <v>45261</v>
      </c>
      <c r="J343">
        <v>36.64</v>
      </c>
      <c r="K343" s="3">
        <v>45261</v>
      </c>
      <c r="L343">
        <v>154.65</v>
      </c>
      <c r="M343" s="3">
        <v>45261</v>
      </c>
      <c r="N343">
        <v>4.05</v>
      </c>
      <c r="O343" s="3">
        <v>45261</v>
      </c>
      <c r="P343">
        <v>24.07</v>
      </c>
      <c r="Q343" s="3">
        <v>45261</v>
      </c>
      <c r="R343">
        <v>54.94</v>
      </c>
    </row>
    <row r="344" spans="7:18" x14ac:dyDescent="0.2">
      <c r="G344" s="3">
        <v>45260</v>
      </c>
      <c r="H344">
        <v>20236.29</v>
      </c>
      <c r="I344" s="3">
        <v>45260</v>
      </c>
      <c r="J344">
        <v>36.56</v>
      </c>
      <c r="K344" s="3">
        <v>45260</v>
      </c>
      <c r="L344">
        <v>151</v>
      </c>
      <c r="M344" s="3">
        <v>45260</v>
      </c>
      <c r="N344">
        <v>3.98</v>
      </c>
      <c r="O344" s="3">
        <v>45260</v>
      </c>
      <c r="P344">
        <v>23.3</v>
      </c>
      <c r="Q344" s="3">
        <v>45260</v>
      </c>
      <c r="R344">
        <v>54.29</v>
      </c>
    </row>
    <row r="345" spans="7:18" x14ac:dyDescent="0.2">
      <c r="G345" s="3">
        <v>45259</v>
      </c>
      <c r="H345">
        <v>20116.2</v>
      </c>
      <c r="I345" s="3">
        <v>45259</v>
      </c>
      <c r="J345">
        <v>37.090000000000003</v>
      </c>
      <c r="K345" s="3">
        <v>45259</v>
      </c>
      <c r="L345">
        <v>151.38999999999999</v>
      </c>
      <c r="M345" s="3">
        <v>45259</v>
      </c>
      <c r="N345">
        <v>4.08</v>
      </c>
      <c r="O345" s="3">
        <v>45259</v>
      </c>
      <c r="P345">
        <v>24.58</v>
      </c>
      <c r="Q345" s="3">
        <v>45259</v>
      </c>
      <c r="R345">
        <v>55.33</v>
      </c>
    </row>
    <row r="346" spans="7:18" x14ac:dyDescent="0.2">
      <c r="G346" s="3">
        <v>45258</v>
      </c>
      <c r="H346">
        <v>20036.77</v>
      </c>
      <c r="I346" s="3">
        <v>45258</v>
      </c>
      <c r="J346">
        <v>36.630000000000003</v>
      </c>
      <c r="K346" s="3">
        <v>45258</v>
      </c>
      <c r="L346">
        <v>151.27000000000001</v>
      </c>
      <c r="M346" s="3">
        <v>45258</v>
      </c>
      <c r="N346">
        <v>4.1399999999999997</v>
      </c>
      <c r="O346" s="3">
        <v>45258</v>
      </c>
      <c r="P346">
        <v>24.85</v>
      </c>
      <c r="Q346" s="3">
        <v>45258</v>
      </c>
      <c r="R346">
        <v>54.78</v>
      </c>
    </row>
    <row r="347" spans="7:18" x14ac:dyDescent="0.2">
      <c r="G347" s="3">
        <v>45257</v>
      </c>
      <c r="H347">
        <v>20032.66</v>
      </c>
      <c r="I347" s="3">
        <v>45257</v>
      </c>
      <c r="J347">
        <v>36.840000000000003</v>
      </c>
      <c r="K347" s="3">
        <v>45257</v>
      </c>
      <c r="L347">
        <v>151.76</v>
      </c>
      <c r="M347" s="3">
        <v>45257</v>
      </c>
      <c r="N347">
        <v>4.1100000000000003</v>
      </c>
      <c r="O347" s="3">
        <v>45257</v>
      </c>
      <c r="P347">
        <v>22.97</v>
      </c>
      <c r="Q347" s="3">
        <v>45257</v>
      </c>
      <c r="R347">
        <v>54.14</v>
      </c>
    </row>
    <row r="348" spans="7:18" x14ac:dyDescent="0.2">
      <c r="G348" s="3">
        <v>45254</v>
      </c>
      <c r="H348">
        <v>20103.11</v>
      </c>
      <c r="I348" s="3">
        <v>45254</v>
      </c>
      <c r="J348">
        <v>36.799999999999997</v>
      </c>
      <c r="K348" s="3">
        <v>45254</v>
      </c>
      <c r="L348">
        <v>150.53</v>
      </c>
      <c r="M348" s="3">
        <v>45254</v>
      </c>
      <c r="N348">
        <v>4.21</v>
      </c>
      <c r="O348" s="3">
        <v>45254</v>
      </c>
      <c r="P348">
        <v>24.11</v>
      </c>
      <c r="Q348" s="3">
        <v>45254</v>
      </c>
      <c r="R348">
        <v>53.3</v>
      </c>
    </row>
    <row r="349" spans="7:18" x14ac:dyDescent="0.2">
      <c r="G349" s="3">
        <v>45253</v>
      </c>
      <c r="H349">
        <v>20116.66</v>
      </c>
      <c r="I349" s="3">
        <v>45253</v>
      </c>
      <c r="J349">
        <v>37.07</v>
      </c>
      <c r="K349" s="3">
        <v>45253</v>
      </c>
      <c r="L349">
        <v>151.28</v>
      </c>
      <c r="M349" s="3">
        <v>45253</v>
      </c>
      <c r="N349">
        <v>4.1500000000000004</v>
      </c>
      <c r="O349" s="3">
        <v>45253</v>
      </c>
      <c r="P349">
        <v>24.25</v>
      </c>
      <c r="Q349" s="3">
        <v>45253</v>
      </c>
      <c r="R349">
        <v>53.23</v>
      </c>
    </row>
    <row r="350" spans="7:18" x14ac:dyDescent="0.2">
      <c r="G350" s="3">
        <v>45252</v>
      </c>
      <c r="H350">
        <v>20113.96</v>
      </c>
      <c r="I350" s="3">
        <v>45252</v>
      </c>
      <c r="J350">
        <v>36.450000000000003</v>
      </c>
      <c r="K350" s="3">
        <v>45252</v>
      </c>
      <c r="L350">
        <v>151.4</v>
      </c>
      <c r="M350" s="3">
        <v>45252</v>
      </c>
      <c r="N350">
        <v>4.1500000000000004</v>
      </c>
      <c r="O350" s="3">
        <v>45252</v>
      </c>
      <c r="P350">
        <v>23.15</v>
      </c>
      <c r="Q350" s="3">
        <v>45252</v>
      </c>
      <c r="R350">
        <v>53.01</v>
      </c>
    </row>
    <row r="351" spans="7:18" x14ac:dyDescent="0.2">
      <c r="G351" s="3">
        <v>45251</v>
      </c>
      <c r="H351">
        <v>20109.97</v>
      </c>
      <c r="I351" s="3">
        <v>45251</v>
      </c>
      <c r="J351">
        <v>36.700000000000003</v>
      </c>
      <c r="K351" s="3">
        <v>45251</v>
      </c>
      <c r="L351">
        <v>152</v>
      </c>
      <c r="M351" s="3">
        <v>45251</v>
      </c>
      <c r="N351">
        <v>4.0999999999999996</v>
      </c>
      <c r="O351" s="3">
        <v>45251</v>
      </c>
      <c r="P351">
        <v>23.28</v>
      </c>
      <c r="Q351" s="3">
        <v>45251</v>
      </c>
      <c r="R351">
        <v>53.06</v>
      </c>
    </row>
    <row r="352" spans="7:18" x14ac:dyDescent="0.2">
      <c r="G352" s="3">
        <v>45250</v>
      </c>
      <c r="H352">
        <v>20246.47</v>
      </c>
      <c r="I352" s="3">
        <v>45250</v>
      </c>
      <c r="J352">
        <v>38.61</v>
      </c>
      <c r="K352" s="3">
        <v>45250</v>
      </c>
      <c r="L352">
        <v>152.06</v>
      </c>
      <c r="M352" s="3">
        <v>45250</v>
      </c>
      <c r="N352">
        <v>4.1100000000000003</v>
      </c>
      <c r="O352" s="3">
        <v>45250</v>
      </c>
      <c r="P352">
        <v>23.25</v>
      </c>
      <c r="Q352" s="3">
        <v>45250</v>
      </c>
      <c r="R352">
        <v>53.43</v>
      </c>
    </row>
    <row r="353" spans="7:18" x14ac:dyDescent="0.2">
      <c r="G353" s="3">
        <v>45247</v>
      </c>
      <c r="H353">
        <v>20175.77</v>
      </c>
      <c r="I353" s="3">
        <v>45247</v>
      </c>
      <c r="J353">
        <v>38.46</v>
      </c>
      <c r="K353" s="3">
        <v>45247</v>
      </c>
      <c r="L353">
        <v>151.80000000000001</v>
      </c>
      <c r="M353" s="3">
        <v>45247</v>
      </c>
      <c r="N353">
        <v>4</v>
      </c>
      <c r="O353" s="3">
        <v>45247</v>
      </c>
      <c r="P353">
        <v>21.98</v>
      </c>
      <c r="Q353" s="3">
        <v>45247</v>
      </c>
      <c r="R353">
        <v>53.14</v>
      </c>
    </row>
    <row r="354" spans="7:18" x14ac:dyDescent="0.2">
      <c r="G354" s="3">
        <v>45246</v>
      </c>
      <c r="H354">
        <v>20053.07</v>
      </c>
      <c r="I354" s="3">
        <v>45246</v>
      </c>
      <c r="J354">
        <v>37.840000000000003</v>
      </c>
      <c r="K354" s="3">
        <v>45246</v>
      </c>
      <c r="L354">
        <v>151.94999999999999</v>
      </c>
      <c r="M354" s="3">
        <v>45246</v>
      </c>
      <c r="N354">
        <v>3.97</v>
      </c>
      <c r="O354" s="3">
        <v>45246</v>
      </c>
      <c r="P354">
        <v>21</v>
      </c>
      <c r="Q354" s="3">
        <v>45246</v>
      </c>
      <c r="R354">
        <v>53.03</v>
      </c>
    </row>
    <row r="355" spans="7:18" x14ac:dyDescent="0.2">
      <c r="G355" s="3">
        <v>45245</v>
      </c>
      <c r="H355">
        <v>20057.89</v>
      </c>
      <c r="I355" s="3">
        <v>45245</v>
      </c>
      <c r="J355">
        <v>37.25</v>
      </c>
      <c r="K355" s="3">
        <v>45245</v>
      </c>
      <c r="L355">
        <v>151.53</v>
      </c>
      <c r="M355" s="3">
        <v>45245</v>
      </c>
      <c r="N355">
        <v>3.99</v>
      </c>
      <c r="O355" s="3">
        <v>45245</v>
      </c>
      <c r="P355">
        <v>21.54</v>
      </c>
      <c r="Q355" s="3">
        <v>45245</v>
      </c>
      <c r="R355">
        <v>52.64</v>
      </c>
    </row>
    <row r="356" spans="7:18" x14ac:dyDescent="0.2">
      <c r="G356" s="3">
        <v>45244</v>
      </c>
      <c r="H356">
        <v>20023.73</v>
      </c>
      <c r="I356" s="3">
        <v>45244</v>
      </c>
      <c r="J356">
        <v>36.79</v>
      </c>
      <c r="K356" s="3">
        <v>45244</v>
      </c>
      <c r="L356">
        <v>150.84</v>
      </c>
      <c r="M356" s="3">
        <v>45244</v>
      </c>
      <c r="N356">
        <v>3.72</v>
      </c>
      <c r="O356" s="3">
        <v>45244</v>
      </c>
      <c r="P356">
        <v>21.01</v>
      </c>
      <c r="Q356" s="3">
        <v>45244</v>
      </c>
      <c r="R356">
        <v>51.41</v>
      </c>
    </row>
    <row r="357" spans="7:18" x14ac:dyDescent="0.2">
      <c r="G357" s="3">
        <v>45243</v>
      </c>
      <c r="H357">
        <v>19709.150000000001</v>
      </c>
      <c r="I357" s="3">
        <v>45243</v>
      </c>
      <c r="J357">
        <v>35.35</v>
      </c>
      <c r="K357" s="3">
        <v>45243</v>
      </c>
      <c r="L357">
        <v>149.26</v>
      </c>
      <c r="M357" s="3">
        <v>45243</v>
      </c>
      <c r="N357">
        <v>3.32</v>
      </c>
      <c r="O357" s="3">
        <v>45243</v>
      </c>
      <c r="P357">
        <v>20.85</v>
      </c>
      <c r="Q357" s="3">
        <v>45243</v>
      </c>
      <c r="R357">
        <v>50.82</v>
      </c>
    </row>
    <row r="358" spans="7:18" x14ac:dyDescent="0.2">
      <c r="G358" s="3">
        <v>45240</v>
      </c>
      <c r="H358">
        <v>19654.47</v>
      </c>
      <c r="I358" s="3">
        <v>45240</v>
      </c>
      <c r="J358">
        <v>35.119999999999997</v>
      </c>
      <c r="K358" s="3">
        <v>45240</v>
      </c>
      <c r="L358">
        <v>149.82</v>
      </c>
      <c r="M358" s="3">
        <v>45240</v>
      </c>
      <c r="N358">
        <v>3.37</v>
      </c>
      <c r="O358" s="3">
        <v>45240</v>
      </c>
      <c r="P358">
        <v>21.4</v>
      </c>
      <c r="Q358" s="3">
        <v>45240</v>
      </c>
      <c r="R358">
        <v>50.53</v>
      </c>
    </row>
    <row r="359" spans="7:18" x14ac:dyDescent="0.2">
      <c r="G359" s="3">
        <v>45239</v>
      </c>
      <c r="H359">
        <v>19587.41</v>
      </c>
      <c r="I359" s="3">
        <v>45239</v>
      </c>
      <c r="J359">
        <v>33.76</v>
      </c>
      <c r="K359" s="3">
        <v>45239</v>
      </c>
      <c r="L359">
        <v>149.19</v>
      </c>
      <c r="M359" s="3">
        <v>45239</v>
      </c>
      <c r="N359">
        <v>3.21</v>
      </c>
      <c r="O359" s="3">
        <v>45239</v>
      </c>
      <c r="P359">
        <v>20.75</v>
      </c>
      <c r="Q359" s="3">
        <v>45239</v>
      </c>
      <c r="R359">
        <v>49.76</v>
      </c>
    </row>
    <row r="360" spans="7:18" x14ac:dyDescent="0.2">
      <c r="G360" s="3">
        <v>45238</v>
      </c>
      <c r="H360">
        <v>19530.21</v>
      </c>
      <c r="I360" s="3">
        <v>45238</v>
      </c>
      <c r="J360">
        <v>34.42</v>
      </c>
      <c r="K360" s="3">
        <v>45238</v>
      </c>
      <c r="L360">
        <v>149.74</v>
      </c>
      <c r="M360" s="3">
        <v>45238</v>
      </c>
      <c r="N360">
        <v>3.24</v>
      </c>
      <c r="O360" s="3">
        <v>45238</v>
      </c>
      <c r="P360">
        <v>20.59</v>
      </c>
      <c r="Q360" s="3">
        <v>45238</v>
      </c>
      <c r="R360">
        <v>49.95</v>
      </c>
    </row>
    <row r="361" spans="7:18" x14ac:dyDescent="0.2">
      <c r="G361" s="3">
        <v>45237</v>
      </c>
      <c r="H361">
        <v>19575.59</v>
      </c>
      <c r="I361" s="3">
        <v>45237</v>
      </c>
      <c r="J361">
        <v>34.130000000000003</v>
      </c>
      <c r="K361" s="3">
        <v>45237</v>
      </c>
      <c r="L361">
        <v>149.85</v>
      </c>
      <c r="M361" s="3">
        <v>45237</v>
      </c>
      <c r="N361">
        <v>3.11</v>
      </c>
      <c r="O361" s="3">
        <v>45237</v>
      </c>
      <c r="P361">
        <v>20.100000000000001</v>
      </c>
      <c r="Q361" s="3">
        <v>45237</v>
      </c>
      <c r="R361">
        <v>49.76</v>
      </c>
    </row>
    <row r="362" spans="7:18" x14ac:dyDescent="0.2">
      <c r="G362" s="3">
        <v>45236</v>
      </c>
      <c r="H362">
        <v>19743.939999999999</v>
      </c>
      <c r="I362" s="3">
        <v>45236</v>
      </c>
      <c r="J362">
        <v>34.020000000000003</v>
      </c>
      <c r="K362" s="3">
        <v>45236</v>
      </c>
      <c r="L362">
        <v>148.49</v>
      </c>
      <c r="M362" s="3">
        <v>45236</v>
      </c>
      <c r="N362">
        <v>3.15</v>
      </c>
      <c r="O362" s="3">
        <v>45236</v>
      </c>
      <c r="P362">
        <v>19.899999999999999</v>
      </c>
      <c r="Q362" s="3">
        <v>45236</v>
      </c>
      <c r="R362">
        <v>48.77</v>
      </c>
    </row>
    <row r="363" spans="7:18" x14ac:dyDescent="0.2">
      <c r="G363" s="3">
        <v>45233</v>
      </c>
      <c r="H363">
        <v>19824.849999999999</v>
      </c>
      <c r="I363" s="3">
        <v>45233</v>
      </c>
      <c r="J363">
        <v>35.08</v>
      </c>
      <c r="K363" s="3">
        <v>45233</v>
      </c>
      <c r="L363">
        <v>146.37</v>
      </c>
      <c r="M363" s="3">
        <v>45233</v>
      </c>
      <c r="N363">
        <v>3.02</v>
      </c>
      <c r="O363" s="3">
        <v>45233</v>
      </c>
      <c r="P363">
        <v>20</v>
      </c>
      <c r="Q363" s="3">
        <v>45233</v>
      </c>
      <c r="R363">
        <v>49.63</v>
      </c>
    </row>
    <row r="364" spans="7:18" x14ac:dyDescent="0.2">
      <c r="G364" s="3">
        <v>45232</v>
      </c>
      <c r="H364">
        <v>19626.34</v>
      </c>
      <c r="I364" s="3">
        <v>45232</v>
      </c>
      <c r="J364">
        <v>34.07</v>
      </c>
      <c r="K364" s="3">
        <v>45232</v>
      </c>
      <c r="L364">
        <v>143.69</v>
      </c>
      <c r="M364" s="3">
        <v>45232</v>
      </c>
      <c r="N364">
        <v>3</v>
      </c>
      <c r="O364" s="3">
        <v>45232</v>
      </c>
      <c r="P364">
        <v>18.3</v>
      </c>
      <c r="Q364" s="3">
        <v>45232</v>
      </c>
      <c r="R364">
        <v>47.37</v>
      </c>
    </row>
    <row r="365" spans="7:18" x14ac:dyDescent="0.2">
      <c r="G365" s="3">
        <v>45231</v>
      </c>
      <c r="H365">
        <v>19079</v>
      </c>
      <c r="I365" s="3">
        <v>45231</v>
      </c>
      <c r="J365">
        <v>33.46</v>
      </c>
      <c r="K365" s="3">
        <v>45231</v>
      </c>
      <c r="L365">
        <v>134.53</v>
      </c>
      <c r="M365" s="3">
        <v>45231</v>
      </c>
      <c r="N365">
        <v>2.74</v>
      </c>
      <c r="O365" s="3">
        <v>45231</v>
      </c>
      <c r="P365">
        <v>17.440000000000001</v>
      </c>
      <c r="Q365" s="3">
        <v>45231</v>
      </c>
      <c r="R365">
        <v>46.44</v>
      </c>
    </row>
    <row r="366" spans="7:18" x14ac:dyDescent="0.2">
      <c r="G366" s="3">
        <v>45230</v>
      </c>
      <c r="H366">
        <v>18873.47</v>
      </c>
      <c r="I366" s="3">
        <v>45230</v>
      </c>
      <c r="J366">
        <v>32.369999999999997</v>
      </c>
      <c r="K366" s="3">
        <v>45230</v>
      </c>
      <c r="L366">
        <v>135.41999999999999</v>
      </c>
      <c r="M366" s="3">
        <v>45230</v>
      </c>
      <c r="N366">
        <v>2.76</v>
      </c>
      <c r="O366" s="3">
        <v>45230</v>
      </c>
      <c r="P366">
        <v>17.440000000000001</v>
      </c>
      <c r="Q366" s="3">
        <v>45230</v>
      </c>
      <c r="R366">
        <v>46.3</v>
      </c>
    </row>
    <row r="367" spans="7:18" x14ac:dyDescent="0.2">
      <c r="G367" s="3">
        <v>45229</v>
      </c>
      <c r="H367">
        <v>18856.759999999998</v>
      </c>
      <c r="I367" s="3">
        <v>45229</v>
      </c>
      <c r="J367">
        <v>30.73</v>
      </c>
      <c r="K367" s="3">
        <v>45229</v>
      </c>
      <c r="L367">
        <v>133.94999999999999</v>
      </c>
      <c r="M367" s="3">
        <v>45229</v>
      </c>
      <c r="N367">
        <v>2.74</v>
      </c>
      <c r="O367" s="3">
        <v>45229</v>
      </c>
      <c r="P367">
        <v>17.100000000000001</v>
      </c>
      <c r="Q367" s="3">
        <v>45229</v>
      </c>
      <c r="R367">
        <v>46</v>
      </c>
    </row>
    <row r="368" spans="7:18" x14ac:dyDescent="0.2">
      <c r="G368" s="3">
        <v>45226</v>
      </c>
      <c r="H368">
        <v>18737.39</v>
      </c>
      <c r="I368" s="3">
        <v>45226</v>
      </c>
      <c r="J368">
        <v>31.04</v>
      </c>
      <c r="K368" s="3">
        <v>45226</v>
      </c>
      <c r="L368">
        <v>131.12</v>
      </c>
      <c r="M368" s="3">
        <v>45226</v>
      </c>
      <c r="N368">
        <v>2.74</v>
      </c>
      <c r="O368" s="3">
        <v>45226</v>
      </c>
      <c r="P368">
        <v>17.100000000000001</v>
      </c>
      <c r="Q368" s="3">
        <v>45226</v>
      </c>
      <c r="R368">
        <v>45.03</v>
      </c>
    </row>
    <row r="369" spans="7:18" x14ac:dyDescent="0.2">
      <c r="G369" s="3">
        <v>45225</v>
      </c>
      <c r="H369">
        <v>18875.310000000001</v>
      </c>
      <c r="I369" s="3">
        <v>45225</v>
      </c>
      <c r="J369">
        <v>31.36</v>
      </c>
      <c r="K369" s="3">
        <v>45225</v>
      </c>
      <c r="L369">
        <v>132.72</v>
      </c>
      <c r="M369" s="3">
        <v>45225</v>
      </c>
      <c r="N369">
        <v>2.62</v>
      </c>
      <c r="O369" s="3">
        <v>45225</v>
      </c>
      <c r="P369">
        <v>17.27</v>
      </c>
      <c r="Q369" s="3">
        <v>45225</v>
      </c>
      <c r="R369">
        <v>44.63</v>
      </c>
    </row>
    <row r="370" spans="7:18" x14ac:dyDescent="0.2">
      <c r="G370" s="3">
        <v>45224</v>
      </c>
      <c r="H370">
        <v>18947.849999999999</v>
      </c>
      <c r="I370" s="3">
        <v>45224</v>
      </c>
      <c r="J370">
        <v>34.950000000000003</v>
      </c>
      <c r="K370" s="3">
        <v>45224</v>
      </c>
      <c r="L370">
        <v>134.52000000000001</v>
      </c>
      <c r="M370" s="3">
        <v>45224</v>
      </c>
      <c r="N370">
        <v>2.69</v>
      </c>
      <c r="O370" s="3">
        <v>45224</v>
      </c>
      <c r="P370">
        <v>17.95</v>
      </c>
      <c r="Q370" s="3">
        <v>45224</v>
      </c>
      <c r="R370">
        <v>45.67</v>
      </c>
    </row>
    <row r="371" spans="7:18" x14ac:dyDescent="0.2">
      <c r="G371" s="3">
        <v>45223</v>
      </c>
      <c r="H371">
        <v>18986.490000000002</v>
      </c>
      <c r="I371" s="3">
        <v>45223</v>
      </c>
      <c r="J371">
        <v>35.700000000000003</v>
      </c>
      <c r="K371" s="3">
        <v>45223</v>
      </c>
      <c r="L371">
        <v>136.04</v>
      </c>
      <c r="M371" s="3">
        <v>45223</v>
      </c>
      <c r="N371">
        <v>2.79</v>
      </c>
      <c r="O371" s="3">
        <v>45223</v>
      </c>
      <c r="P371">
        <v>17.29</v>
      </c>
      <c r="Q371" s="3">
        <v>45223</v>
      </c>
      <c r="R371">
        <v>45.84</v>
      </c>
    </row>
    <row r="372" spans="7:18" x14ac:dyDescent="0.2">
      <c r="G372" s="3">
        <v>45222</v>
      </c>
      <c r="H372">
        <v>19046.740000000002</v>
      </c>
      <c r="I372" s="3">
        <v>45222</v>
      </c>
      <c r="J372">
        <v>35.21</v>
      </c>
      <c r="K372" s="3">
        <v>45222</v>
      </c>
      <c r="L372">
        <v>133.38</v>
      </c>
      <c r="M372" s="3">
        <v>45222</v>
      </c>
      <c r="N372">
        <v>2.72</v>
      </c>
      <c r="O372" s="3">
        <v>45222</v>
      </c>
      <c r="P372">
        <v>17.04</v>
      </c>
      <c r="Q372" s="3">
        <v>45222</v>
      </c>
      <c r="R372">
        <v>45.42</v>
      </c>
    </row>
    <row r="373" spans="7:18" x14ac:dyDescent="0.2">
      <c r="G373" s="3">
        <v>45219</v>
      </c>
      <c r="H373">
        <v>19115.64</v>
      </c>
      <c r="I373" s="3">
        <v>45219</v>
      </c>
      <c r="J373">
        <v>35.39</v>
      </c>
      <c r="K373" s="3">
        <v>45219</v>
      </c>
      <c r="L373">
        <v>134.25</v>
      </c>
      <c r="M373" s="3">
        <v>45219</v>
      </c>
      <c r="N373">
        <v>2.74</v>
      </c>
      <c r="O373" s="3">
        <v>45219</v>
      </c>
      <c r="P373">
        <v>17.71</v>
      </c>
      <c r="Q373" s="3">
        <v>45219</v>
      </c>
      <c r="R373">
        <v>45.55</v>
      </c>
    </row>
    <row r="374" spans="7:18" x14ac:dyDescent="0.2">
      <c r="G374" s="3">
        <v>45218</v>
      </c>
      <c r="H374">
        <v>19348.810000000001</v>
      </c>
      <c r="I374" s="3">
        <v>45218</v>
      </c>
      <c r="J374">
        <v>35.74</v>
      </c>
      <c r="K374" s="3">
        <v>45218</v>
      </c>
      <c r="L374">
        <v>139.76</v>
      </c>
      <c r="M374" s="3">
        <v>45218</v>
      </c>
      <c r="N374">
        <v>2.33</v>
      </c>
      <c r="O374" s="3">
        <v>45218</v>
      </c>
      <c r="P374">
        <v>18.22</v>
      </c>
      <c r="Q374" s="3">
        <v>45218</v>
      </c>
      <c r="R374">
        <v>45.86</v>
      </c>
    </row>
    <row r="375" spans="7:18" x14ac:dyDescent="0.2">
      <c r="G375" s="3">
        <v>45217</v>
      </c>
      <c r="H375">
        <v>19450.7</v>
      </c>
      <c r="I375" s="3">
        <v>45217</v>
      </c>
      <c r="J375">
        <v>35.880000000000003</v>
      </c>
      <c r="K375" s="3">
        <v>45217</v>
      </c>
      <c r="L375">
        <v>138.53</v>
      </c>
      <c r="M375" s="3">
        <v>45217</v>
      </c>
      <c r="N375">
        <v>2.33</v>
      </c>
      <c r="O375" s="3">
        <v>45217</v>
      </c>
      <c r="P375">
        <v>18.989999999999998</v>
      </c>
      <c r="Q375" s="3">
        <v>45217</v>
      </c>
      <c r="R375">
        <v>46.47</v>
      </c>
    </row>
    <row r="376" spans="7:18" x14ac:dyDescent="0.2">
      <c r="G376" s="3">
        <v>45216</v>
      </c>
      <c r="H376">
        <v>19692.8</v>
      </c>
      <c r="I376" s="3">
        <v>45216</v>
      </c>
      <c r="J376">
        <v>37.17</v>
      </c>
      <c r="K376" s="3">
        <v>45216</v>
      </c>
      <c r="L376">
        <v>137.87</v>
      </c>
      <c r="M376" s="3">
        <v>45216</v>
      </c>
      <c r="N376">
        <v>2.54</v>
      </c>
      <c r="O376" s="3">
        <v>45216</v>
      </c>
      <c r="P376">
        <v>19.399999999999999</v>
      </c>
      <c r="Q376" s="3">
        <v>45216</v>
      </c>
      <c r="R376">
        <v>47.04</v>
      </c>
    </row>
    <row r="377" spans="7:18" x14ac:dyDescent="0.2">
      <c r="G377" s="3">
        <v>45215</v>
      </c>
      <c r="H377">
        <v>19620.8</v>
      </c>
      <c r="I377" s="3">
        <v>45215</v>
      </c>
      <c r="J377">
        <v>36.520000000000003</v>
      </c>
      <c r="K377" s="3">
        <v>45215</v>
      </c>
      <c r="L377">
        <v>136.55000000000001</v>
      </c>
      <c r="M377" s="3">
        <v>45215</v>
      </c>
      <c r="N377">
        <v>2.64</v>
      </c>
      <c r="O377" s="3">
        <v>45215</v>
      </c>
      <c r="P377">
        <v>19.38</v>
      </c>
      <c r="Q377" s="3">
        <v>45215</v>
      </c>
      <c r="R377">
        <v>47.14</v>
      </c>
    </row>
    <row r="378" spans="7:18" x14ac:dyDescent="0.2">
      <c r="G378" s="3">
        <v>45212</v>
      </c>
      <c r="H378">
        <v>19462.86</v>
      </c>
      <c r="I378" s="3">
        <v>45212</v>
      </c>
      <c r="J378">
        <v>35.380000000000003</v>
      </c>
      <c r="K378" s="3">
        <v>45212</v>
      </c>
      <c r="L378">
        <v>137.97999999999999</v>
      </c>
      <c r="M378" s="3">
        <v>45212</v>
      </c>
      <c r="N378">
        <v>2.66</v>
      </c>
      <c r="O378" s="3">
        <v>45212</v>
      </c>
      <c r="P378">
        <v>19.32</v>
      </c>
      <c r="Q378" s="3">
        <v>45212</v>
      </c>
      <c r="R378">
        <v>47.09</v>
      </c>
    </row>
    <row r="379" spans="7:18" x14ac:dyDescent="0.2">
      <c r="G379" s="3">
        <v>45211</v>
      </c>
      <c r="H379">
        <v>19500.240000000002</v>
      </c>
      <c r="I379" s="3">
        <v>45211</v>
      </c>
      <c r="J379">
        <v>36.58</v>
      </c>
      <c r="K379" s="3">
        <v>45211</v>
      </c>
      <c r="L379">
        <v>142.58000000000001</v>
      </c>
      <c r="M379" s="3">
        <v>45211</v>
      </c>
      <c r="N379">
        <v>2.69</v>
      </c>
      <c r="O379" s="3">
        <v>45211</v>
      </c>
      <c r="P379">
        <v>19.850000000000001</v>
      </c>
      <c r="Q379" s="3">
        <v>45211</v>
      </c>
      <c r="R379">
        <v>47.89</v>
      </c>
    </row>
    <row r="380" spans="7:18" x14ac:dyDescent="0.2">
      <c r="G380" s="3">
        <v>45210</v>
      </c>
      <c r="H380">
        <v>19663.84</v>
      </c>
      <c r="I380" s="3">
        <v>45210</v>
      </c>
      <c r="J380">
        <v>36.03</v>
      </c>
      <c r="K380" s="3">
        <v>45210</v>
      </c>
      <c r="L380">
        <v>145.69999999999999</v>
      </c>
      <c r="M380" s="3">
        <v>45210</v>
      </c>
      <c r="N380">
        <v>2.75</v>
      </c>
      <c r="O380" s="3">
        <v>45210</v>
      </c>
      <c r="P380">
        <v>19.95</v>
      </c>
      <c r="Q380" s="3">
        <v>45210</v>
      </c>
      <c r="R380">
        <v>49</v>
      </c>
    </row>
    <row r="381" spans="7:18" x14ac:dyDescent="0.2">
      <c r="G381" s="3">
        <v>45209</v>
      </c>
      <c r="H381">
        <v>19501.2</v>
      </c>
      <c r="I381" s="3">
        <v>45209</v>
      </c>
      <c r="J381">
        <v>35.36</v>
      </c>
      <c r="K381" s="3">
        <v>45209</v>
      </c>
      <c r="L381">
        <v>146.66</v>
      </c>
      <c r="M381" s="3">
        <v>45209</v>
      </c>
      <c r="N381">
        <v>2.83</v>
      </c>
      <c r="O381" s="3">
        <v>45209</v>
      </c>
      <c r="P381">
        <v>20.5</v>
      </c>
      <c r="Q381" s="3">
        <v>45209</v>
      </c>
      <c r="R381">
        <v>48.31</v>
      </c>
    </row>
    <row r="382" spans="7:18" x14ac:dyDescent="0.2">
      <c r="G382" s="3">
        <v>45205</v>
      </c>
      <c r="H382">
        <v>19246.07</v>
      </c>
      <c r="I382" s="3">
        <v>45205</v>
      </c>
      <c r="J382">
        <v>36.07</v>
      </c>
      <c r="K382" s="3">
        <v>45205</v>
      </c>
      <c r="L382">
        <v>148.69999999999999</v>
      </c>
      <c r="M382" s="3">
        <v>45205</v>
      </c>
      <c r="N382">
        <v>2.75</v>
      </c>
      <c r="O382" s="3">
        <v>45205</v>
      </c>
      <c r="P382">
        <v>19.57</v>
      </c>
      <c r="Q382" s="3">
        <v>45205</v>
      </c>
      <c r="R382">
        <v>48.26</v>
      </c>
    </row>
    <row r="383" spans="7:18" x14ac:dyDescent="0.2">
      <c r="G383" s="3">
        <v>45204</v>
      </c>
      <c r="H383">
        <v>19137.810000000001</v>
      </c>
      <c r="I383" s="3">
        <v>45204</v>
      </c>
      <c r="J383">
        <v>35.36</v>
      </c>
      <c r="K383" s="3">
        <v>45204</v>
      </c>
      <c r="L383">
        <v>151.19999999999999</v>
      </c>
      <c r="M383" s="3">
        <v>45204</v>
      </c>
      <c r="N383">
        <v>2.79</v>
      </c>
      <c r="O383" s="3">
        <v>45204</v>
      </c>
      <c r="P383">
        <v>19.5</v>
      </c>
      <c r="Q383" s="3">
        <v>45204</v>
      </c>
      <c r="R383">
        <v>48.04</v>
      </c>
    </row>
    <row r="384" spans="7:18" x14ac:dyDescent="0.2">
      <c r="G384" s="3">
        <v>45203</v>
      </c>
      <c r="H384">
        <v>19034.810000000001</v>
      </c>
      <c r="I384" s="3">
        <v>45203</v>
      </c>
      <c r="J384">
        <v>33.54</v>
      </c>
      <c r="K384" s="3">
        <v>45203</v>
      </c>
      <c r="L384">
        <v>149.84</v>
      </c>
      <c r="M384" s="3">
        <v>45203</v>
      </c>
      <c r="N384">
        <v>2.82</v>
      </c>
      <c r="O384" s="3">
        <v>45203</v>
      </c>
      <c r="P384">
        <v>19.63</v>
      </c>
      <c r="Q384" s="3">
        <v>45203</v>
      </c>
      <c r="R384">
        <v>47.51</v>
      </c>
    </row>
    <row r="385" spans="7:18" x14ac:dyDescent="0.2">
      <c r="G385" s="3">
        <v>45202</v>
      </c>
      <c r="H385">
        <v>19020.919999999998</v>
      </c>
      <c r="I385" s="3">
        <v>45202</v>
      </c>
      <c r="J385">
        <v>32.51</v>
      </c>
      <c r="K385" s="3">
        <v>45202</v>
      </c>
      <c r="L385">
        <v>149.13999999999999</v>
      </c>
      <c r="M385" s="3">
        <v>45202</v>
      </c>
      <c r="N385">
        <v>2.79</v>
      </c>
      <c r="O385" s="3">
        <v>45202</v>
      </c>
      <c r="P385">
        <v>19.2</v>
      </c>
      <c r="Q385" s="3">
        <v>45202</v>
      </c>
      <c r="R385">
        <v>46.8</v>
      </c>
    </row>
    <row r="386" spans="7:18" x14ac:dyDescent="0.2">
      <c r="G386" s="3">
        <v>45201</v>
      </c>
      <c r="H386">
        <v>19177.18</v>
      </c>
      <c r="I386" s="3">
        <v>45201</v>
      </c>
      <c r="J386">
        <v>33.299999999999997</v>
      </c>
      <c r="K386" s="3">
        <v>45201</v>
      </c>
      <c r="L386">
        <v>150</v>
      </c>
      <c r="M386" s="3">
        <v>45201</v>
      </c>
      <c r="N386">
        <v>2.77</v>
      </c>
      <c r="O386" s="3">
        <v>45201</v>
      </c>
      <c r="P386">
        <v>19.850000000000001</v>
      </c>
      <c r="Q386" s="3">
        <v>45201</v>
      </c>
      <c r="R386">
        <v>47.82</v>
      </c>
    </row>
    <row r="387" spans="7:18" x14ac:dyDescent="0.2">
      <c r="G387" s="3">
        <v>45198</v>
      </c>
      <c r="H387">
        <v>19541.27</v>
      </c>
      <c r="I387" s="3">
        <v>45198</v>
      </c>
      <c r="J387">
        <v>33.24</v>
      </c>
      <c r="K387" s="3">
        <v>45198</v>
      </c>
      <c r="L387">
        <v>153.18</v>
      </c>
      <c r="M387" s="3">
        <v>45198</v>
      </c>
      <c r="N387">
        <v>2.78</v>
      </c>
      <c r="O387" s="3">
        <v>45198</v>
      </c>
      <c r="P387">
        <v>20.12</v>
      </c>
      <c r="Q387" s="3">
        <v>45198</v>
      </c>
      <c r="R387">
        <v>47.67</v>
      </c>
    </row>
    <row r="388" spans="7:18" x14ac:dyDescent="0.2">
      <c r="G388" s="3">
        <v>45197</v>
      </c>
      <c r="H388">
        <v>19590.740000000002</v>
      </c>
      <c r="I388" s="3">
        <v>45197</v>
      </c>
      <c r="J388">
        <v>32.909999999999997</v>
      </c>
      <c r="K388" s="3">
        <v>45197</v>
      </c>
      <c r="L388">
        <v>148.54</v>
      </c>
      <c r="M388" s="3">
        <v>45197</v>
      </c>
      <c r="N388">
        <v>2.8</v>
      </c>
      <c r="O388" s="3">
        <v>45197</v>
      </c>
      <c r="P388">
        <v>20.09</v>
      </c>
      <c r="Q388" s="3">
        <v>45197</v>
      </c>
      <c r="R388">
        <v>47.09</v>
      </c>
    </row>
    <row r="389" spans="7:18" x14ac:dyDescent="0.2">
      <c r="G389" s="3">
        <v>45196</v>
      </c>
      <c r="H389">
        <v>19435.98</v>
      </c>
      <c r="I389" s="3">
        <v>45196</v>
      </c>
      <c r="J389">
        <v>31.43</v>
      </c>
      <c r="K389" s="3">
        <v>45196</v>
      </c>
      <c r="L389">
        <v>148.12</v>
      </c>
      <c r="M389" s="3">
        <v>45196</v>
      </c>
      <c r="N389">
        <v>2.79</v>
      </c>
      <c r="O389" s="3">
        <v>45196</v>
      </c>
      <c r="P389">
        <v>19.46</v>
      </c>
      <c r="Q389" s="3">
        <v>45196</v>
      </c>
      <c r="R389">
        <v>46.8</v>
      </c>
    </row>
    <row r="390" spans="7:18" x14ac:dyDescent="0.2">
      <c r="G390" s="3">
        <v>45195</v>
      </c>
      <c r="H390">
        <v>19556.150000000001</v>
      </c>
      <c r="I390" s="3">
        <v>45195</v>
      </c>
      <c r="J390">
        <v>30.5</v>
      </c>
      <c r="K390" s="3">
        <v>45195</v>
      </c>
      <c r="L390">
        <v>147.85</v>
      </c>
      <c r="M390" s="3">
        <v>45195</v>
      </c>
      <c r="N390">
        <v>2.75</v>
      </c>
      <c r="O390" s="3">
        <v>45195</v>
      </c>
      <c r="P390">
        <v>20.04</v>
      </c>
      <c r="Q390" s="3">
        <v>45195</v>
      </c>
      <c r="R390">
        <v>46.84</v>
      </c>
    </row>
    <row r="391" spans="7:18" x14ac:dyDescent="0.2">
      <c r="G391" s="3">
        <v>45194</v>
      </c>
      <c r="H391">
        <v>19800.61</v>
      </c>
      <c r="I391" s="3">
        <v>45194</v>
      </c>
      <c r="J391">
        <v>31</v>
      </c>
      <c r="K391" s="3">
        <v>45194</v>
      </c>
      <c r="L391">
        <v>152.16</v>
      </c>
      <c r="M391" s="3">
        <v>45194</v>
      </c>
      <c r="N391">
        <v>2.81</v>
      </c>
      <c r="O391" s="3">
        <v>45194</v>
      </c>
      <c r="P391">
        <v>20.56</v>
      </c>
      <c r="Q391" s="3">
        <v>45194</v>
      </c>
      <c r="R391">
        <v>47.88</v>
      </c>
    </row>
    <row r="392" spans="7:18" x14ac:dyDescent="0.2">
      <c r="G392" s="3">
        <v>45191</v>
      </c>
      <c r="H392">
        <v>19779.97</v>
      </c>
      <c r="I392" s="3">
        <v>45191</v>
      </c>
      <c r="J392">
        <v>30.38</v>
      </c>
      <c r="K392" s="3">
        <v>45191</v>
      </c>
      <c r="L392">
        <v>153.69999999999999</v>
      </c>
      <c r="M392" s="3">
        <v>45191</v>
      </c>
      <c r="N392">
        <v>2.79</v>
      </c>
      <c r="O392" s="3">
        <v>45191</v>
      </c>
      <c r="P392">
        <v>20.38</v>
      </c>
      <c r="Q392" s="3">
        <v>45191</v>
      </c>
      <c r="R392">
        <v>48.02</v>
      </c>
    </row>
    <row r="393" spans="7:18" x14ac:dyDescent="0.2">
      <c r="G393" s="3">
        <v>45190</v>
      </c>
      <c r="H393">
        <v>19791.62</v>
      </c>
      <c r="I393" s="3">
        <v>45190</v>
      </c>
      <c r="J393">
        <v>30.09</v>
      </c>
      <c r="K393" s="3">
        <v>45190</v>
      </c>
      <c r="L393">
        <v>154.21</v>
      </c>
      <c r="M393" s="3">
        <v>45190</v>
      </c>
      <c r="N393">
        <v>2.78</v>
      </c>
      <c r="O393" s="3">
        <v>45190</v>
      </c>
      <c r="P393">
        <v>20.75</v>
      </c>
      <c r="Q393" s="3">
        <v>45190</v>
      </c>
      <c r="R393">
        <v>47.74</v>
      </c>
    </row>
    <row r="394" spans="7:18" x14ac:dyDescent="0.2">
      <c r="G394" s="3">
        <v>45189</v>
      </c>
      <c r="H394">
        <v>20214.689999999999</v>
      </c>
      <c r="I394" s="3">
        <v>45189</v>
      </c>
      <c r="J394">
        <v>30.28</v>
      </c>
      <c r="K394" s="3">
        <v>45189</v>
      </c>
      <c r="L394">
        <v>159.43</v>
      </c>
      <c r="M394" s="3">
        <v>45189</v>
      </c>
      <c r="N394">
        <v>2.87</v>
      </c>
      <c r="O394" s="3">
        <v>45189</v>
      </c>
      <c r="P394">
        <v>20.7</v>
      </c>
      <c r="Q394" s="3">
        <v>45189</v>
      </c>
      <c r="R394">
        <v>49.69</v>
      </c>
    </row>
    <row r="395" spans="7:18" x14ac:dyDescent="0.2">
      <c r="G395" s="3">
        <v>45188</v>
      </c>
      <c r="H395">
        <v>20218.89</v>
      </c>
      <c r="I395" s="3">
        <v>45188</v>
      </c>
      <c r="J395">
        <v>30.5</v>
      </c>
      <c r="K395" s="3">
        <v>45188</v>
      </c>
      <c r="L395">
        <v>160.74</v>
      </c>
      <c r="M395" s="3">
        <v>45188</v>
      </c>
      <c r="N395">
        <v>2.99</v>
      </c>
      <c r="O395" s="3">
        <v>45188</v>
      </c>
      <c r="P395">
        <v>21.04</v>
      </c>
      <c r="Q395" s="3">
        <v>45188</v>
      </c>
      <c r="R395">
        <v>50.09</v>
      </c>
    </row>
    <row r="396" spans="7:18" x14ac:dyDescent="0.2">
      <c r="G396" s="3">
        <v>45187</v>
      </c>
      <c r="H396">
        <v>20492.830000000002</v>
      </c>
      <c r="I396" s="3">
        <v>45187</v>
      </c>
      <c r="J396">
        <v>30.72</v>
      </c>
      <c r="K396" s="3">
        <v>45187</v>
      </c>
      <c r="L396">
        <v>165.4</v>
      </c>
      <c r="M396" s="3">
        <v>45187</v>
      </c>
      <c r="N396">
        <v>2.96</v>
      </c>
      <c r="O396" s="3">
        <v>45187</v>
      </c>
      <c r="P396">
        <v>21.6</v>
      </c>
      <c r="Q396" s="3">
        <v>45187</v>
      </c>
      <c r="R396">
        <v>52.4</v>
      </c>
    </row>
    <row r="397" spans="7:18" x14ac:dyDescent="0.2">
      <c r="G397" s="3">
        <v>45184</v>
      </c>
      <c r="H397">
        <v>20622.34</v>
      </c>
      <c r="I397" s="3">
        <v>45184</v>
      </c>
      <c r="J397">
        <v>30.81</v>
      </c>
      <c r="K397" s="3">
        <v>45184</v>
      </c>
      <c r="L397">
        <v>165.42</v>
      </c>
      <c r="M397" s="3">
        <v>45184</v>
      </c>
      <c r="N397">
        <v>3</v>
      </c>
      <c r="O397" s="3">
        <v>45184</v>
      </c>
      <c r="P397">
        <v>21.8</v>
      </c>
      <c r="Q397" s="3">
        <v>45184</v>
      </c>
      <c r="R397">
        <v>52.73</v>
      </c>
    </row>
    <row r="398" spans="7:18" x14ac:dyDescent="0.2">
      <c r="G398" s="3">
        <v>45183</v>
      </c>
      <c r="H398">
        <v>20567.84</v>
      </c>
      <c r="I398" s="3">
        <v>45183</v>
      </c>
      <c r="J398">
        <v>31.75</v>
      </c>
      <c r="K398" s="3">
        <v>45183</v>
      </c>
      <c r="L398">
        <v>165.65</v>
      </c>
      <c r="M398" s="3">
        <v>45183</v>
      </c>
      <c r="N398">
        <v>3.01</v>
      </c>
      <c r="O398" s="3">
        <v>45183</v>
      </c>
      <c r="P398">
        <v>21.85</v>
      </c>
      <c r="Q398" s="3">
        <v>45183</v>
      </c>
      <c r="R398">
        <v>53.14</v>
      </c>
    </row>
    <row r="399" spans="7:18" x14ac:dyDescent="0.2">
      <c r="G399" s="3">
        <v>45182</v>
      </c>
      <c r="H399">
        <v>20278.939999999999</v>
      </c>
      <c r="I399" s="3">
        <v>45182</v>
      </c>
      <c r="J399">
        <v>31.69</v>
      </c>
      <c r="K399" s="3">
        <v>45182</v>
      </c>
      <c r="L399">
        <v>163.59</v>
      </c>
      <c r="M399" s="3">
        <v>45182</v>
      </c>
      <c r="N399">
        <v>2.92</v>
      </c>
      <c r="O399" s="3">
        <v>45182</v>
      </c>
      <c r="P399">
        <v>21.85</v>
      </c>
      <c r="Q399" s="3">
        <v>45182</v>
      </c>
      <c r="R399">
        <v>52.27</v>
      </c>
    </row>
    <row r="400" spans="7:18" x14ac:dyDescent="0.2">
      <c r="G400" s="3">
        <v>45181</v>
      </c>
      <c r="H400">
        <v>20223.080000000002</v>
      </c>
      <c r="I400" s="3">
        <v>45181</v>
      </c>
      <c r="J400">
        <v>32.76</v>
      </c>
      <c r="K400" s="3">
        <v>45181</v>
      </c>
      <c r="L400">
        <v>163.66999999999999</v>
      </c>
      <c r="M400" s="3">
        <v>45181</v>
      </c>
      <c r="N400">
        <v>2.93</v>
      </c>
      <c r="O400" s="3">
        <v>45181</v>
      </c>
      <c r="P400">
        <v>21.96</v>
      </c>
      <c r="Q400" s="3">
        <v>45181</v>
      </c>
      <c r="R400">
        <v>53.17</v>
      </c>
    </row>
    <row r="401" spans="7:18" x14ac:dyDescent="0.2">
      <c r="G401" s="3">
        <v>45180</v>
      </c>
      <c r="H401">
        <v>20182.759999999998</v>
      </c>
      <c r="I401" s="3">
        <v>45180</v>
      </c>
      <c r="J401">
        <v>32.71</v>
      </c>
      <c r="K401" s="3">
        <v>45180</v>
      </c>
      <c r="L401">
        <v>164.3</v>
      </c>
      <c r="M401" s="3">
        <v>45180</v>
      </c>
      <c r="N401">
        <v>2.97</v>
      </c>
      <c r="O401" s="3">
        <v>45180</v>
      </c>
      <c r="P401">
        <v>21.7</v>
      </c>
      <c r="Q401" s="3">
        <v>45180</v>
      </c>
      <c r="R401">
        <v>53.55</v>
      </c>
    </row>
    <row r="402" spans="7:18" x14ac:dyDescent="0.2">
      <c r="G402" s="3">
        <v>45177</v>
      </c>
      <c r="H402">
        <v>20074.650000000001</v>
      </c>
      <c r="I402" s="3">
        <v>45177</v>
      </c>
      <c r="J402">
        <v>31.88</v>
      </c>
      <c r="K402" s="3">
        <v>45177</v>
      </c>
      <c r="L402">
        <v>161.52000000000001</v>
      </c>
      <c r="M402" s="3">
        <v>45177</v>
      </c>
      <c r="N402">
        <v>2.87</v>
      </c>
      <c r="O402" s="3">
        <v>45177</v>
      </c>
      <c r="P402">
        <v>21.2</v>
      </c>
      <c r="Q402" s="3">
        <v>45177</v>
      </c>
      <c r="R402">
        <v>53.23</v>
      </c>
    </row>
    <row r="403" spans="7:18" x14ac:dyDescent="0.2">
      <c r="G403" s="3">
        <v>45176</v>
      </c>
      <c r="H403">
        <v>20132.080000000002</v>
      </c>
      <c r="I403" s="3">
        <v>45176</v>
      </c>
      <c r="J403">
        <v>31.81</v>
      </c>
      <c r="K403" s="3">
        <v>45176</v>
      </c>
      <c r="L403">
        <v>161.35</v>
      </c>
      <c r="M403" s="3">
        <v>45176</v>
      </c>
      <c r="N403">
        <v>2.84</v>
      </c>
      <c r="O403" s="3">
        <v>45176</v>
      </c>
      <c r="P403">
        <v>21.3</v>
      </c>
      <c r="Q403" s="3">
        <v>45176</v>
      </c>
      <c r="R403">
        <v>53.61</v>
      </c>
    </row>
    <row r="404" spans="7:18" x14ac:dyDescent="0.2">
      <c r="G404" s="3">
        <v>45175</v>
      </c>
      <c r="H404">
        <v>20226.96</v>
      </c>
      <c r="I404" s="3">
        <v>45175</v>
      </c>
      <c r="J404">
        <v>31.91</v>
      </c>
      <c r="K404" s="3">
        <v>45175</v>
      </c>
      <c r="L404">
        <v>160.78</v>
      </c>
      <c r="M404" s="3">
        <v>45175</v>
      </c>
      <c r="N404">
        <v>2.83</v>
      </c>
      <c r="O404" s="3">
        <v>45175</v>
      </c>
      <c r="P404">
        <v>21.45</v>
      </c>
      <c r="Q404" s="3">
        <v>45175</v>
      </c>
      <c r="R404">
        <v>54.45</v>
      </c>
    </row>
    <row r="405" spans="7:18" x14ac:dyDescent="0.2">
      <c r="G405" s="3">
        <v>45174</v>
      </c>
      <c r="H405">
        <v>20413.759999999998</v>
      </c>
      <c r="I405" s="3">
        <v>45174</v>
      </c>
      <c r="J405">
        <v>32.1</v>
      </c>
      <c r="K405" s="3">
        <v>45174</v>
      </c>
      <c r="L405">
        <v>164.14</v>
      </c>
      <c r="M405" s="3">
        <v>45174</v>
      </c>
      <c r="N405">
        <v>2.84</v>
      </c>
      <c r="O405" s="3">
        <v>45174</v>
      </c>
      <c r="P405">
        <v>22.25</v>
      </c>
      <c r="Q405" s="3">
        <v>45174</v>
      </c>
      <c r="R405">
        <v>54.63</v>
      </c>
    </row>
    <row r="406" spans="7:18" x14ac:dyDescent="0.2">
      <c r="G406" s="3">
        <v>45170</v>
      </c>
      <c r="H406">
        <v>20545.36</v>
      </c>
      <c r="I406" s="3">
        <v>45170</v>
      </c>
      <c r="J406">
        <v>31.96</v>
      </c>
      <c r="K406" s="3">
        <v>45170</v>
      </c>
      <c r="L406">
        <v>165.67</v>
      </c>
      <c r="M406" s="3">
        <v>45170</v>
      </c>
      <c r="N406">
        <v>2.84</v>
      </c>
      <c r="O406" s="3">
        <v>45170</v>
      </c>
      <c r="P406">
        <v>22.9</v>
      </c>
      <c r="Q406" s="3">
        <v>45170</v>
      </c>
      <c r="R406">
        <v>55.04</v>
      </c>
    </row>
    <row r="407" spans="7:18" x14ac:dyDescent="0.2">
      <c r="G407" s="3">
        <v>45169</v>
      </c>
      <c r="H407">
        <v>20292.62</v>
      </c>
      <c r="I407" s="3">
        <v>45169</v>
      </c>
      <c r="J407">
        <v>31.5</v>
      </c>
      <c r="K407" s="3">
        <v>45169</v>
      </c>
      <c r="L407">
        <v>166.57</v>
      </c>
      <c r="M407" s="3">
        <v>45169</v>
      </c>
      <c r="N407">
        <v>2.86</v>
      </c>
      <c r="O407" s="3">
        <v>45169</v>
      </c>
      <c r="P407">
        <v>23.02</v>
      </c>
      <c r="Q407" s="3">
        <v>45169</v>
      </c>
      <c r="R407">
        <v>54.45</v>
      </c>
    </row>
    <row r="408" spans="7:18" x14ac:dyDescent="0.2">
      <c r="G408" s="3">
        <v>45168</v>
      </c>
      <c r="H408">
        <v>20330.32</v>
      </c>
      <c r="I408" s="3">
        <v>45168</v>
      </c>
      <c r="J408">
        <v>30.49</v>
      </c>
      <c r="K408" s="3">
        <v>45168</v>
      </c>
      <c r="L408">
        <v>166.48</v>
      </c>
      <c r="M408" s="3">
        <v>45168</v>
      </c>
      <c r="N408">
        <v>2.75</v>
      </c>
      <c r="O408" s="3">
        <v>45168</v>
      </c>
      <c r="P408">
        <v>22.2</v>
      </c>
      <c r="Q408" s="3">
        <v>45168</v>
      </c>
      <c r="R408">
        <v>53.89</v>
      </c>
    </row>
    <row r="409" spans="7:18" x14ac:dyDescent="0.2">
      <c r="G409" s="3">
        <v>45167</v>
      </c>
      <c r="H409">
        <v>20290.41</v>
      </c>
      <c r="I409" s="3">
        <v>45167</v>
      </c>
      <c r="J409">
        <v>31.09</v>
      </c>
      <c r="K409" s="3">
        <v>45167</v>
      </c>
      <c r="L409">
        <v>167.03</v>
      </c>
      <c r="M409" s="3">
        <v>45167</v>
      </c>
      <c r="N409">
        <v>2.73</v>
      </c>
      <c r="O409" s="3">
        <v>45167</v>
      </c>
      <c r="P409">
        <v>22.4</v>
      </c>
      <c r="Q409" s="3">
        <v>45167</v>
      </c>
      <c r="R409">
        <v>53.69</v>
      </c>
    </row>
    <row r="410" spans="7:18" x14ac:dyDescent="0.2">
      <c r="G410" s="3">
        <v>45166</v>
      </c>
      <c r="H410">
        <v>20025.14</v>
      </c>
      <c r="I410" s="3">
        <v>45166</v>
      </c>
      <c r="J410">
        <v>30.9</v>
      </c>
      <c r="K410" s="3">
        <v>45166</v>
      </c>
      <c r="L410">
        <v>165.79</v>
      </c>
      <c r="M410" s="3">
        <v>45166</v>
      </c>
      <c r="N410">
        <v>2.61</v>
      </c>
      <c r="O410" s="3">
        <v>45166</v>
      </c>
      <c r="P410">
        <v>21.81</v>
      </c>
      <c r="Q410" s="3">
        <v>45166</v>
      </c>
      <c r="R410">
        <v>53.02</v>
      </c>
    </row>
    <row r="411" spans="7:18" x14ac:dyDescent="0.2">
      <c r="G411" s="3">
        <v>45163</v>
      </c>
      <c r="H411">
        <v>19835.75</v>
      </c>
      <c r="I411" s="3">
        <v>45163</v>
      </c>
      <c r="J411">
        <v>29.67</v>
      </c>
      <c r="K411" s="3">
        <v>45163</v>
      </c>
      <c r="L411">
        <v>165.54</v>
      </c>
      <c r="M411" s="3">
        <v>45163</v>
      </c>
      <c r="N411">
        <v>2.66</v>
      </c>
      <c r="O411" s="3">
        <v>45163</v>
      </c>
      <c r="P411">
        <v>22.44</v>
      </c>
      <c r="Q411" s="3">
        <v>45163</v>
      </c>
      <c r="R411">
        <v>53.13</v>
      </c>
    </row>
    <row r="412" spans="7:18" x14ac:dyDescent="0.2">
      <c r="G412" s="3">
        <v>45162</v>
      </c>
      <c r="H412">
        <v>19775.830000000002</v>
      </c>
      <c r="I412" s="3">
        <v>45162</v>
      </c>
      <c r="J412">
        <v>30.03</v>
      </c>
      <c r="K412" s="3">
        <v>45162</v>
      </c>
      <c r="L412">
        <v>166.13</v>
      </c>
      <c r="M412" s="3">
        <v>45162</v>
      </c>
      <c r="N412">
        <v>2.5099999999999998</v>
      </c>
      <c r="O412" s="3">
        <v>45162</v>
      </c>
      <c r="P412">
        <v>21.39</v>
      </c>
      <c r="Q412" s="3">
        <v>45162</v>
      </c>
      <c r="R412">
        <v>52.15</v>
      </c>
    </row>
    <row r="413" spans="7:18" x14ac:dyDescent="0.2">
      <c r="G413" s="3">
        <v>45161</v>
      </c>
      <c r="H413">
        <v>19879.79</v>
      </c>
      <c r="I413" s="3">
        <v>45161</v>
      </c>
      <c r="J413">
        <v>29.93</v>
      </c>
      <c r="K413" s="3">
        <v>45161</v>
      </c>
      <c r="L413">
        <v>170.5</v>
      </c>
      <c r="M413" s="3">
        <v>45161</v>
      </c>
      <c r="N413">
        <v>2.54</v>
      </c>
      <c r="O413" s="3">
        <v>45161</v>
      </c>
      <c r="P413">
        <v>20.8</v>
      </c>
      <c r="Q413" s="3">
        <v>45161</v>
      </c>
      <c r="R413">
        <v>52.43</v>
      </c>
    </row>
    <row r="414" spans="7:18" x14ac:dyDescent="0.2">
      <c r="G414" s="3">
        <v>45160</v>
      </c>
      <c r="H414">
        <v>19691.21</v>
      </c>
      <c r="I414" s="3">
        <v>45160</v>
      </c>
      <c r="J414">
        <v>29.11</v>
      </c>
      <c r="K414" s="3">
        <v>45160</v>
      </c>
      <c r="L414">
        <v>167.67</v>
      </c>
      <c r="M414" s="3">
        <v>45160</v>
      </c>
      <c r="N414">
        <v>2.52</v>
      </c>
      <c r="O414" s="3">
        <v>45160</v>
      </c>
      <c r="P414">
        <v>20.89</v>
      </c>
      <c r="Q414" s="3">
        <v>45160</v>
      </c>
      <c r="R414">
        <v>51.27</v>
      </c>
    </row>
    <row r="415" spans="7:18" x14ac:dyDescent="0.2">
      <c r="G415" s="3">
        <v>45159</v>
      </c>
      <c r="H415">
        <v>19784.87</v>
      </c>
      <c r="I415" s="3">
        <v>45159</v>
      </c>
      <c r="J415">
        <v>28.05</v>
      </c>
      <c r="K415" s="3">
        <v>45159</v>
      </c>
      <c r="L415">
        <v>167</v>
      </c>
      <c r="M415" s="3">
        <v>45159</v>
      </c>
      <c r="N415">
        <v>2.48</v>
      </c>
      <c r="O415" s="3">
        <v>45159</v>
      </c>
      <c r="P415">
        <v>20.93</v>
      </c>
      <c r="Q415" s="3">
        <v>45159</v>
      </c>
      <c r="R415">
        <v>50.59</v>
      </c>
    </row>
    <row r="416" spans="7:18" x14ac:dyDescent="0.2">
      <c r="G416" s="3">
        <v>45156</v>
      </c>
      <c r="H416">
        <v>19818.39</v>
      </c>
      <c r="I416" s="3">
        <v>45156</v>
      </c>
      <c r="J416">
        <v>27.82</v>
      </c>
      <c r="K416" s="3">
        <v>45156</v>
      </c>
      <c r="L416">
        <v>163.63</v>
      </c>
      <c r="M416" s="3">
        <v>45156</v>
      </c>
      <c r="N416">
        <v>2.5299999999999998</v>
      </c>
      <c r="O416" s="3">
        <v>45156</v>
      </c>
      <c r="P416">
        <v>20.61</v>
      </c>
      <c r="Q416" s="3">
        <v>45156</v>
      </c>
      <c r="R416">
        <v>50.02</v>
      </c>
    </row>
    <row r="417" spans="7:18" x14ac:dyDescent="0.2">
      <c r="G417" s="3">
        <v>45155</v>
      </c>
      <c r="H417">
        <v>19812.23</v>
      </c>
      <c r="I417" s="3">
        <v>45155</v>
      </c>
      <c r="J417">
        <v>28.24</v>
      </c>
      <c r="K417" s="3">
        <v>45155</v>
      </c>
      <c r="L417">
        <v>163.51</v>
      </c>
      <c r="M417" s="3">
        <v>45155</v>
      </c>
      <c r="N417">
        <v>2.46</v>
      </c>
      <c r="O417" s="3">
        <v>45155</v>
      </c>
      <c r="P417">
        <v>21</v>
      </c>
      <c r="Q417" s="3">
        <v>45155</v>
      </c>
      <c r="R417">
        <v>49.79</v>
      </c>
    </row>
    <row r="418" spans="7:18" x14ac:dyDescent="0.2">
      <c r="G418" s="3">
        <v>45154</v>
      </c>
      <c r="H418">
        <v>19899.07</v>
      </c>
      <c r="I418" s="3">
        <v>45154</v>
      </c>
      <c r="J418">
        <v>28.57</v>
      </c>
      <c r="K418" s="3">
        <v>45154</v>
      </c>
      <c r="L418">
        <v>165.29</v>
      </c>
      <c r="M418" s="3">
        <v>45154</v>
      </c>
      <c r="N418">
        <v>2.54</v>
      </c>
      <c r="O418" s="3">
        <v>45154</v>
      </c>
      <c r="P418">
        <v>21.1</v>
      </c>
      <c r="Q418" s="3">
        <v>45154</v>
      </c>
      <c r="R418">
        <v>50.32</v>
      </c>
    </row>
    <row r="419" spans="7:18" x14ac:dyDescent="0.2">
      <c r="G419" s="3">
        <v>45153</v>
      </c>
      <c r="H419">
        <v>19899.79</v>
      </c>
      <c r="I419" s="3">
        <v>45153</v>
      </c>
      <c r="J419">
        <v>28.32</v>
      </c>
      <c r="K419" s="3">
        <v>45153</v>
      </c>
      <c r="L419">
        <v>165</v>
      </c>
      <c r="M419" s="3">
        <v>45153</v>
      </c>
      <c r="N419">
        <v>2.5499999999999998</v>
      </c>
      <c r="O419" s="3">
        <v>45153</v>
      </c>
      <c r="P419">
        <v>20.67</v>
      </c>
      <c r="Q419" s="3">
        <v>45153</v>
      </c>
      <c r="R419">
        <v>50.43</v>
      </c>
    </row>
    <row r="420" spans="7:18" x14ac:dyDescent="0.2">
      <c r="G420" s="3">
        <v>45152</v>
      </c>
      <c r="H420">
        <v>20290.54</v>
      </c>
      <c r="I420" s="3">
        <v>45152</v>
      </c>
      <c r="J420">
        <v>28.82</v>
      </c>
      <c r="K420" s="3">
        <v>45152</v>
      </c>
      <c r="L420">
        <v>164.21</v>
      </c>
      <c r="M420" s="3">
        <v>45152</v>
      </c>
      <c r="N420">
        <v>2.61</v>
      </c>
      <c r="O420" s="3">
        <v>45152</v>
      </c>
      <c r="P420">
        <v>20.83</v>
      </c>
      <c r="Q420" s="3">
        <v>45152</v>
      </c>
      <c r="R420">
        <v>51.39</v>
      </c>
    </row>
    <row r="421" spans="7:18" x14ac:dyDescent="0.2">
      <c r="G421" s="3">
        <v>45149</v>
      </c>
      <c r="H421">
        <v>20407.57</v>
      </c>
      <c r="I421" s="3">
        <v>45149</v>
      </c>
      <c r="J421">
        <v>28.08</v>
      </c>
      <c r="K421" s="3">
        <v>45149</v>
      </c>
      <c r="L421">
        <v>160</v>
      </c>
      <c r="M421" s="3">
        <v>45149</v>
      </c>
      <c r="N421">
        <v>2.71</v>
      </c>
      <c r="O421" s="3">
        <v>45149</v>
      </c>
      <c r="P421">
        <v>20.85</v>
      </c>
      <c r="Q421" s="3">
        <v>45149</v>
      </c>
      <c r="R421">
        <v>51.13</v>
      </c>
    </row>
    <row r="422" spans="7:18" x14ac:dyDescent="0.2">
      <c r="G422" s="3">
        <v>45148</v>
      </c>
      <c r="H422">
        <v>20342.88</v>
      </c>
      <c r="I422" s="3">
        <v>45148</v>
      </c>
      <c r="J422">
        <v>28.03</v>
      </c>
      <c r="K422" s="3">
        <v>45148</v>
      </c>
      <c r="L422">
        <v>159</v>
      </c>
      <c r="M422" s="3">
        <v>45148</v>
      </c>
      <c r="N422">
        <v>2.59</v>
      </c>
      <c r="O422" s="3">
        <v>45148</v>
      </c>
      <c r="P422">
        <v>20.9</v>
      </c>
      <c r="Q422" s="3">
        <v>45148</v>
      </c>
      <c r="R422">
        <v>50.41</v>
      </c>
    </row>
    <row r="423" spans="7:18" x14ac:dyDescent="0.2">
      <c r="G423" s="3">
        <v>45147</v>
      </c>
      <c r="H423">
        <v>20275.27</v>
      </c>
      <c r="I423" s="3">
        <v>45147</v>
      </c>
      <c r="J423">
        <v>27.86</v>
      </c>
      <c r="K423" s="3">
        <v>45147</v>
      </c>
      <c r="L423">
        <v>158.44</v>
      </c>
      <c r="M423" s="3">
        <v>45147</v>
      </c>
      <c r="N423">
        <v>2.9</v>
      </c>
      <c r="O423" s="3">
        <v>45147</v>
      </c>
      <c r="P423">
        <v>20.88</v>
      </c>
      <c r="Q423" s="3">
        <v>45147</v>
      </c>
      <c r="R423">
        <v>50.18</v>
      </c>
    </row>
    <row r="424" spans="7:18" x14ac:dyDescent="0.2">
      <c r="G424" s="3">
        <v>45146</v>
      </c>
      <c r="H424">
        <v>20205.98</v>
      </c>
      <c r="I424" s="3">
        <v>45146</v>
      </c>
      <c r="J424">
        <v>28.33</v>
      </c>
      <c r="K424" s="3">
        <v>45146</v>
      </c>
      <c r="L424">
        <v>160.34</v>
      </c>
      <c r="M424" s="3">
        <v>45146</v>
      </c>
      <c r="N424">
        <v>3.18</v>
      </c>
      <c r="O424" s="3">
        <v>45146</v>
      </c>
      <c r="P424">
        <v>20.8</v>
      </c>
      <c r="Q424" s="3">
        <v>45146</v>
      </c>
      <c r="R424">
        <v>49.41</v>
      </c>
    </row>
    <row r="425" spans="7:18" x14ac:dyDescent="0.2">
      <c r="G425" s="3">
        <v>45142</v>
      </c>
      <c r="H425">
        <v>20236.04</v>
      </c>
      <c r="I425" s="3">
        <v>45142</v>
      </c>
      <c r="J425">
        <v>28.57</v>
      </c>
      <c r="K425" s="3">
        <v>45142</v>
      </c>
      <c r="L425">
        <v>169.73</v>
      </c>
      <c r="M425" s="3">
        <v>45142</v>
      </c>
      <c r="N425">
        <v>3.28</v>
      </c>
      <c r="O425" s="3">
        <v>45142</v>
      </c>
      <c r="P425">
        <v>20.77</v>
      </c>
      <c r="Q425" s="3">
        <v>45142</v>
      </c>
      <c r="R425">
        <v>49.28</v>
      </c>
    </row>
    <row r="426" spans="7:18" x14ac:dyDescent="0.2">
      <c r="G426" s="3">
        <v>45141</v>
      </c>
      <c r="H426">
        <v>20120.740000000002</v>
      </c>
      <c r="I426" s="3">
        <v>45141</v>
      </c>
      <c r="J426">
        <v>28.11</v>
      </c>
      <c r="K426" s="3">
        <v>45141</v>
      </c>
      <c r="L426">
        <v>169.44</v>
      </c>
      <c r="M426" s="3">
        <v>45141</v>
      </c>
      <c r="N426">
        <v>3.15</v>
      </c>
      <c r="O426" s="3">
        <v>45141</v>
      </c>
      <c r="P426">
        <v>20.6</v>
      </c>
      <c r="Q426" s="3">
        <v>45141</v>
      </c>
      <c r="R426">
        <v>54.08</v>
      </c>
    </row>
    <row r="427" spans="7:18" x14ac:dyDescent="0.2">
      <c r="G427" s="3">
        <v>45140</v>
      </c>
      <c r="H427">
        <v>20218.21</v>
      </c>
      <c r="I427" s="3">
        <v>45140</v>
      </c>
      <c r="J427">
        <v>27.82</v>
      </c>
      <c r="K427" s="3">
        <v>45140</v>
      </c>
      <c r="L427">
        <v>170.62</v>
      </c>
      <c r="M427" s="3">
        <v>45140</v>
      </c>
      <c r="N427">
        <v>3.06</v>
      </c>
      <c r="O427" s="3">
        <v>45140</v>
      </c>
      <c r="P427">
        <v>20.11</v>
      </c>
      <c r="Q427" s="3">
        <v>45140</v>
      </c>
      <c r="R427">
        <v>54.53</v>
      </c>
    </row>
    <row r="428" spans="7:18" x14ac:dyDescent="0.2">
      <c r="G428" s="3">
        <v>45139</v>
      </c>
      <c r="H428">
        <v>20532.93</v>
      </c>
      <c r="I428" s="3">
        <v>45139</v>
      </c>
      <c r="J428">
        <v>28.38</v>
      </c>
      <c r="K428" s="3">
        <v>45139</v>
      </c>
      <c r="L428">
        <v>177.01</v>
      </c>
      <c r="M428" s="3">
        <v>45139</v>
      </c>
      <c r="N428">
        <v>3.17</v>
      </c>
      <c r="O428" s="3">
        <v>45139</v>
      </c>
      <c r="P428">
        <v>20.53</v>
      </c>
      <c r="Q428" s="3">
        <v>45139</v>
      </c>
      <c r="R428">
        <v>56.36</v>
      </c>
    </row>
    <row r="429" spans="7:18" x14ac:dyDescent="0.2">
      <c r="G429" s="3">
        <v>45138</v>
      </c>
      <c r="H429">
        <v>20626.64</v>
      </c>
      <c r="I429" s="3">
        <v>45138</v>
      </c>
      <c r="J429">
        <v>28.98</v>
      </c>
      <c r="K429" s="3">
        <v>45138</v>
      </c>
      <c r="L429">
        <v>179.05</v>
      </c>
      <c r="M429" s="3">
        <v>45138</v>
      </c>
      <c r="N429">
        <v>3.18</v>
      </c>
      <c r="O429" s="3">
        <v>45138</v>
      </c>
      <c r="P429">
        <v>20.93</v>
      </c>
      <c r="Q429" s="3">
        <v>45138</v>
      </c>
      <c r="R429">
        <v>56.64</v>
      </c>
    </row>
    <row r="430" spans="7:18" x14ac:dyDescent="0.2">
      <c r="G430" s="3">
        <v>45135</v>
      </c>
      <c r="H430">
        <v>20519.37</v>
      </c>
      <c r="I430" s="3">
        <v>45135</v>
      </c>
      <c r="J430">
        <v>27.37</v>
      </c>
      <c r="K430" s="3">
        <v>45135</v>
      </c>
      <c r="L430">
        <v>175.89</v>
      </c>
      <c r="M430" s="3">
        <v>45135</v>
      </c>
      <c r="N430">
        <v>3.18</v>
      </c>
      <c r="O430" s="3">
        <v>45135</v>
      </c>
      <c r="P430">
        <v>20.7</v>
      </c>
      <c r="Q430" s="3">
        <v>45135</v>
      </c>
      <c r="R430">
        <v>55.98</v>
      </c>
    </row>
    <row r="431" spans="7:18" x14ac:dyDescent="0.2">
      <c r="G431" s="3">
        <v>45134</v>
      </c>
      <c r="H431">
        <v>20385.47</v>
      </c>
      <c r="I431" s="3">
        <v>45134</v>
      </c>
      <c r="J431">
        <v>23.77</v>
      </c>
      <c r="K431" s="3">
        <v>45134</v>
      </c>
      <c r="L431">
        <v>175.03</v>
      </c>
      <c r="M431" s="3">
        <v>45134</v>
      </c>
      <c r="N431">
        <v>3.08</v>
      </c>
      <c r="O431" s="3">
        <v>45134</v>
      </c>
      <c r="P431">
        <v>21.3</v>
      </c>
      <c r="Q431" s="3">
        <v>45134</v>
      </c>
      <c r="R431">
        <v>54.98</v>
      </c>
    </row>
    <row r="432" spans="7:18" x14ac:dyDescent="0.2">
      <c r="G432" s="3">
        <v>45133</v>
      </c>
      <c r="H432">
        <v>20561.64</v>
      </c>
      <c r="I432" s="3">
        <v>45133</v>
      </c>
      <c r="J432">
        <v>21.75</v>
      </c>
      <c r="K432" s="3">
        <v>45133</v>
      </c>
      <c r="L432">
        <v>180.16</v>
      </c>
      <c r="M432" s="3">
        <v>45133</v>
      </c>
      <c r="N432">
        <v>3.05</v>
      </c>
      <c r="O432" s="3">
        <v>45133</v>
      </c>
      <c r="P432">
        <v>21.47</v>
      </c>
      <c r="Q432" s="3">
        <v>45133</v>
      </c>
      <c r="R432">
        <v>55.54</v>
      </c>
    </row>
    <row r="433" spans="7:18" x14ac:dyDescent="0.2">
      <c r="G433" s="3">
        <v>45132</v>
      </c>
      <c r="H433">
        <v>20551.53</v>
      </c>
      <c r="I433" s="3">
        <v>45132</v>
      </c>
      <c r="J433">
        <v>21.78</v>
      </c>
      <c r="K433" s="3">
        <v>45132</v>
      </c>
      <c r="L433">
        <v>183.5</v>
      </c>
      <c r="M433" s="3">
        <v>45132</v>
      </c>
      <c r="N433">
        <v>3.16</v>
      </c>
      <c r="O433" s="3">
        <v>45132</v>
      </c>
      <c r="P433">
        <v>21.01</v>
      </c>
      <c r="Q433" s="3">
        <v>45132</v>
      </c>
      <c r="R433">
        <v>56.81</v>
      </c>
    </row>
    <row r="434" spans="7:18" x14ac:dyDescent="0.2">
      <c r="G434" s="3">
        <v>45131</v>
      </c>
      <c r="H434">
        <v>20582.12</v>
      </c>
      <c r="I434" s="3">
        <v>45131</v>
      </c>
      <c r="J434">
        <v>21.39</v>
      </c>
      <c r="K434" s="3">
        <v>45131</v>
      </c>
      <c r="L434">
        <v>184.46</v>
      </c>
      <c r="M434" s="3">
        <v>45131</v>
      </c>
      <c r="N434">
        <v>3.17</v>
      </c>
      <c r="O434" s="3">
        <v>45131</v>
      </c>
      <c r="P434">
        <v>20.51</v>
      </c>
      <c r="Q434" s="3">
        <v>45131</v>
      </c>
      <c r="R434">
        <v>55.62</v>
      </c>
    </row>
    <row r="435" spans="7:18" x14ac:dyDescent="0.2">
      <c r="G435" s="3">
        <v>45128</v>
      </c>
      <c r="H435">
        <v>20547.509999999998</v>
      </c>
      <c r="I435" s="3">
        <v>45128</v>
      </c>
      <c r="J435">
        <v>21.25</v>
      </c>
      <c r="K435" s="3">
        <v>45128</v>
      </c>
      <c r="L435">
        <v>186.6</v>
      </c>
      <c r="M435" s="3">
        <v>45128</v>
      </c>
      <c r="N435">
        <v>3.23</v>
      </c>
      <c r="O435" s="3">
        <v>45128</v>
      </c>
      <c r="P435">
        <v>19.95</v>
      </c>
      <c r="Q435" s="3">
        <v>45128</v>
      </c>
      <c r="R435">
        <v>55.25</v>
      </c>
    </row>
    <row r="436" spans="7:18" x14ac:dyDescent="0.2">
      <c r="G436" s="3">
        <v>45127</v>
      </c>
      <c r="H436">
        <v>20436.87</v>
      </c>
      <c r="I436" s="3">
        <v>45127</v>
      </c>
      <c r="J436">
        <v>21.13</v>
      </c>
      <c r="K436" s="3">
        <v>45127</v>
      </c>
      <c r="L436">
        <v>187.07</v>
      </c>
      <c r="M436" s="3">
        <v>45127</v>
      </c>
      <c r="N436">
        <v>3.29</v>
      </c>
      <c r="O436" s="3">
        <v>45127</v>
      </c>
      <c r="P436">
        <v>19.8</v>
      </c>
      <c r="Q436" s="3">
        <v>45127</v>
      </c>
      <c r="R436">
        <v>54.65</v>
      </c>
    </row>
    <row r="437" spans="7:18" x14ac:dyDescent="0.2">
      <c r="G437" s="3">
        <v>45126</v>
      </c>
      <c r="H437">
        <v>20491.169999999998</v>
      </c>
      <c r="I437" s="3">
        <v>45126</v>
      </c>
      <c r="J437">
        <v>21.68</v>
      </c>
      <c r="K437" s="3">
        <v>45126</v>
      </c>
      <c r="L437">
        <v>187.82</v>
      </c>
      <c r="M437" s="3">
        <v>45126</v>
      </c>
      <c r="N437">
        <v>3.44</v>
      </c>
      <c r="O437" s="3">
        <v>45126</v>
      </c>
      <c r="P437">
        <v>20.9</v>
      </c>
      <c r="Q437" s="3">
        <v>45126</v>
      </c>
      <c r="R437">
        <v>55.47</v>
      </c>
    </row>
    <row r="438" spans="7:18" x14ac:dyDescent="0.2">
      <c r="G438" s="3">
        <v>45125</v>
      </c>
      <c r="H438">
        <v>20376.57</v>
      </c>
      <c r="I438" s="3">
        <v>45125</v>
      </c>
      <c r="J438">
        <v>21.5</v>
      </c>
      <c r="K438" s="3">
        <v>45125</v>
      </c>
      <c r="L438">
        <v>189.36</v>
      </c>
      <c r="M438" s="3">
        <v>45125</v>
      </c>
      <c r="N438">
        <v>3.43</v>
      </c>
      <c r="O438" s="3">
        <v>45125</v>
      </c>
      <c r="P438">
        <v>21.41</v>
      </c>
      <c r="Q438" s="3">
        <v>45125</v>
      </c>
      <c r="R438">
        <v>55.02</v>
      </c>
    </row>
    <row r="439" spans="7:18" x14ac:dyDescent="0.2">
      <c r="G439" s="3">
        <v>45124</v>
      </c>
      <c r="H439">
        <v>20226.79</v>
      </c>
      <c r="I439" s="3">
        <v>45124</v>
      </c>
      <c r="J439">
        <v>21.42</v>
      </c>
      <c r="K439" s="3">
        <v>45124</v>
      </c>
      <c r="L439">
        <v>187.91</v>
      </c>
      <c r="M439" s="3">
        <v>45124</v>
      </c>
      <c r="N439">
        <v>3.36</v>
      </c>
      <c r="O439" s="3">
        <v>45124</v>
      </c>
      <c r="P439">
        <v>20.73</v>
      </c>
      <c r="Q439" s="3">
        <v>45124</v>
      </c>
      <c r="R439">
        <v>55.24</v>
      </c>
    </row>
    <row r="440" spans="7:18" x14ac:dyDescent="0.2">
      <c r="G440" s="3">
        <v>45121</v>
      </c>
      <c r="H440">
        <v>20262.07</v>
      </c>
      <c r="I440" s="3">
        <v>45121</v>
      </c>
      <c r="J440">
        <v>20.94</v>
      </c>
      <c r="K440" s="3">
        <v>45121</v>
      </c>
      <c r="L440">
        <v>185.93</v>
      </c>
      <c r="M440" s="3">
        <v>45121</v>
      </c>
      <c r="N440">
        <v>3.39</v>
      </c>
      <c r="O440" s="3">
        <v>45121</v>
      </c>
      <c r="P440">
        <v>20</v>
      </c>
      <c r="Q440" s="3">
        <v>45121</v>
      </c>
      <c r="R440">
        <v>54.94</v>
      </c>
    </row>
    <row r="441" spans="7:18" x14ac:dyDescent="0.2">
      <c r="G441" s="3">
        <v>45120</v>
      </c>
      <c r="H441">
        <v>20277.64</v>
      </c>
      <c r="I441" s="3">
        <v>45120</v>
      </c>
      <c r="J441">
        <v>21.57</v>
      </c>
      <c r="K441" s="3">
        <v>45120</v>
      </c>
      <c r="L441">
        <v>184.73</v>
      </c>
      <c r="M441" s="3">
        <v>45120</v>
      </c>
      <c r="N441">
        <v>3.42</v>
      </c>
      <c r="O441" s="3">
        <v>45120</v>
      </c>
      <c r="P441">
        <v>19.55</v>
      </c>
      <c r="Q441" s="3">
        <v>45120</v>
      </c>
      <c r="R441">
        <v>55.14</v>
      </c>
    </row>
    <row r="442" spans="7:18" x14ac:dyDescent="0.2">
      <c r="G442" s="3">
        <v>45119</v>
      </c>
      <c r="H442">
        <v>20070.77</v>
      </c>
      <c r="I442" s="3">
        <v>45119</v>
      </c>
      <c r="J442">
        <v>21.07</v>
      </c>
      <c r="K442" s="3">
        <v>45119</v>
      </c>
      <c r="L442">
        <v>183.54</v>
      </c>
      <c r="M442" s="3">
        <v>45119</v>
      </c>
      <c r="N442">
        <v>3.33</v>
      </c>
      <c r="O442" s="3">
        <v>45119</v>
      </c>
      <c r="P442">
        <v>19.25</v>
      </c>
      <c r="Q442" s="3">
        <v>45119</v>
      </c>
      <c r="R442">
        <v>53.98</v>
      </c>
    </row>
    <row r="443" spans="7:18" x14ac:dyDescent="0.2">
      <c r="G443" s="3">
        <v>45118</v>
      </c>
      <c r="H443">
        <v>19878.560000000001</v>
      </c>
      <c r="I443" s="3">
        <v>45118</v>
      </c>
      <c r="J443">
        <v>20.98</v>
      </c>
      <c r="K443" s="3">
        <v>45118</v>
      </c>
      <c r="L443">
        <v>185.42</v>
      </c>
      <c r="M443" s="3">
        <v>45118</v>
      </c>
      <c r="N443">
        <v>3.42</v>
      </c>
      <c r="O443" s="3">
        <v>45118</v>
      </c>
      <c r="P443">
        <v>19.07</v>
      </c>
      <c r="Q443" s="3">
        <v>45118</v>
      </c>
      <c r="R443">
        <v>53.3</v>
      </c>
    </row>
    <row r="444" spans="7:18" x14ac:dyDescent="0.2">
      <c r="G444" s="3">
        <v>45117</v>
      </c>
      <c r="H444">
        <v>19822.45</v>
      </c>
      <c r="I444" s="3">
        <v>45117</v>
      </c>
      <c r="J444">
        <v>20.41</v>
      </c>
      <c r="K444" s="3">
        <v>45117</v>
      </c>
      <c r="L444">
        <v>185.1</v>
      </c>
      <c r="M444" s="3">
        <v>45117</v>
      </c>
      <c r="N444">
        <v>3.27</v>
      </c>
      <c r="O444" s="3">
        <v>45117</v>
      </c>
      <c r="P444">
        <v>19.02</v>
      </c>
      <c r="Q444" s="3">
        <v>45117</v>
      </c>
      <c r="R444">
        <v>52.99</v>
      </c>
    </row>
    <row r="445" spans="7:18" x14ac:dyDescent="0.2">
      <c r="G445" s="3">
        <v>45114</v>
      </c>
      <c r="H445">
        <v>19831.04</v>
      </c>
      <c r="I445" s="3">
        <v>45114</v>
      </c>
      <c r="J445">
        <v>19.88</v>
      </c>
      <c r="K445" s="3">
        <v>45114</v>
      </c>
      <c r="L445">
        <v>183</v>
      </c>
      <c r="M445" s="3">
        <v>45114</v>
      </c>
      <c r="N445">
        <v>3.21</v>
      </c>
      <c r="O445" s="3">
        <v>45114</v>
      </c>
      <c r="P445">
        <v>19.04</v>
      </c>
      <c r="Q445" s="3">
        <v>45114</v>
      </c>
      <c r="R445">
        <v>52.57</v>
      </c>
    </row>
    <row r="446" spans="7:18" x14ac:dyDescent="0.2">
      <c r="G446" s="3">
        <v>45113</v>
      </c>
      <c r="H446">
        <v>19810.689999999999</v>
      </c>
      <c r="I446" s="3">
        <v>45113</v>
      </c>
      <c r="J446">
        <v>19.45</v>
      </c>
      <c r="K446" s="3">
        <v>45113</v>
      </c>
      <c r="L446">
        <v>185.25</v>
      </c>
      <c r="M446" s="3">
        <v>45113</v>
      </c>
      <c r="N446">
        <v>3.15</v>
      </c>
      <c r="O446" s="3">
        <v>45113</v>
      </c>
      <c r="P446">
        <v>18.350000000000001</v>
      </c>
      <c r="Q446" s="3">
        <v>45113</v>
      </c>
      <c r="R446">
        <v>53.32</v>
      </c>
    </row>
    <row r="447" spans="7:18" x14ac:dyDescent="0.2">
      <c r="G447" s="3">
        <v>45112</v>
      </c>
      <c r="H447">
        <v>20103.89</v>
      </c>
      <c r="I447" s="3">
        <v>45112</v>
      </c>
      <c r="J447">
        <v>19.690000000000001</v>
      </c>
      <c r="K447" s="3">
        <v>45112</v>
      </c>
      <c r="L447">
        <v>187.79</v>
      </c>
      <c r="M447" s="3">
        <v>45112</v>
      </c>
      <c r="N447">
        <v>3.31</v>
      </c>
      <c r="O447" s="3">
        <v>45112</v>
      </c>
      <c r="P447">
        <v>18.3</v>
      </c>
      <c r="Q447" s="3">
        <v>45112</v>
      </c>
      <c r="R447">
        <v>54.13</v>
      </c>
    </row>
    <row r="448" spans="7:18" x14ac:dyDescent="0.2">
      <c r="G448" s="3">
        <v>45111</v>
      </c>
      <c r="H448">
        <v>20204.87</v>
      </c>
      <c r="I448" s="3">
        <v>45111</v>
      </c>
      <c r="J448">
        <v>19.510000000000002</v>
      </c>
      <c r="K448" s="3">
        <v>45111</v>
      </c>
      <c r="L448">
        <v>187.64</v>
      </c>
      <c r="M448" s="3">
        <v>45111</v>
      </c>
      <c r="N448">
        <v>3.29</v>
      </c>
      <c r="O448" s="3">
        <v>45111</v>
      </c>
      <c r="P448">
        <v>18.23</v>
      </c>
      <c r="Q448" s="3">
        <v>45111</v>
      </c>
      <c r="R448">
        <v>54.57</v>
      </c>
    </row>
    <row r="449" spans="7:18" x14ac:dyDescent="0.2">
      <c r="G449" s="3">
        <v>45107</v>
      </c>
      <c r="H449">
        <v>20155.29</v>
      </c>
      <c r="I449" s="3">
        <v>45107</v>
      </c>
      <c r="J449">
        <v>19.23</v>
      </c>
      <c r="K449" s="3">
        <v>45107</v>
      </c>
      <c r="L449">
        <v>189.3</v>
      </c>
      <c r="M449" s="3">
        <v>45107</v>
      </c>
      <c r="N449">
        <v>3.2</v>
      </c>
      <c r="O449" s="3">
        <v>45107</v>
      </c>
      <c r="P449">
        <v>18.170000000000002</v>
      </c>
      <c r="Q449" s="3">
        <v>45107</v>
      </c>
      <c r="R449">
        <v>55.1</v>
      </c>
    </row>
    <row r="450" spans="7:18" x14ac:dyDescent="0.2">
      <c r="G450" s="3">
        <v>45106</v>
      </c>
      <c r="H450">
        <v>19913.169999999998</v>
      </c>
      <c r="I450" s="3">
        <v>45106</v>
      </c>
      <c r="J450">
        <v>19.07</v>
      </c>
      <c r="K450" s="3">
        <v>45106</v>
      </c>
      <c r="L450">
        <v>183.34</v>
      </c>
      <c r="M450" s="3">
        <v>45106</v>
      </c>
      <c r="N450">
        <v>3.12</v>
      </c>
      <c r="O450" s="3">
        <v>45106</v>
      </c>
      <c r="P450">
        <v>18.149999999999999</v>
      </c>
      <c r="Q450" s="3">
        <v>45106</v>
      </c>
      <c r="R450">
        <v>54.01</v>
      </c>
    </row>
    <row r="451" spans="7:18" x14ac:dyDescent="0.2">
      <c r="G451" s="3">
        <v>45105</v>
      </c>
      <c r="H451">
        <v>19818.849999999999</v>
      </c>
      <c r="I451" s="3">
        <v>45105</v>
      </c>
      <c r="J451">
        <v>18.899999999999999</v>
      </c>
      <c r="K451" s="3">
        <v>45105</v>
      </c>
      <c r="L451">
        <v>179.56</v>
      </c>
      <c r="M451" s="3">
        <v>45105</v>
      </c>
      <c r="N451">
        <v>3.04</v>
      </c>
      <c r="O451" s="3">
        <v>45105</v>
      </c>
      <c r="P451">
        <v>17.8</v>
      </c>
      <c r="Q451" s="3">
        <v>45105</v>
      </c>
      <c r="R451">
        <v>54.04</v>
      </c>
    </row>
    <row r="452" spans="7:18" x14ac:dyDescent="0.2">
      <c r="G452" s="3">
        <v>45104</v>
      </c>
      <c r="H452">
        <v>19733.09</v>
      </c>
      <c r="I452" s="3">
        <v>45104</v>
      </c>
      <c r="J452">
        <v>18.78</v>
      </c>
      <c r="K452" s="3">
        <v>45104</v>
      </c>
      <c r="L452">
        <v>177.32</v>
      </c>
      <c r="M452" s="3">
        <v>45104</v>
      </c>
      <c r="N452">
        <v>3.06</v>
      </c>
      <c r="O452" s="3">
        <v>45104</v>
      </c>
      <c r="P452">
        <v>17.61</v>
      </c>
      <c r="Q452" s="3">
        <v>45104</v>
      </c>
      <c r="R452">
        <v>53.49</v>
      </c>
    </row>
    <row r="453" spans="7:18" x14ac:dyDescent="0.2">
      <c r="G453" s="3">
        <v>45103</v>
      </c>
      <c r="H453">
        <v>19587.32</v>
      </c>
      <c r="I453" s="3">
        <v>45103</v>
      </c>
      <c r="J453">
        <v>18.62</v>
      </c>
      <c r="K453" s="3">
        <v>45103</v>
      </c>
      <c r="L453">
        <v>175.53</v>
      </c>
      <c r="M453" s="3">
        <v>45103</v>
      </c>
      <c r="N453">
        <v>3.05</v>
      </c>
      <c r="O453" s="3">
        <v>45103</v>
      </c>
      <c r="P453">
        <v>17.02</v>
      </c>
      <c r="Q453" s="3">
        <v>45103</v>
      </c>
      <c r="R453">
        <v>52.76</v>
      </c>
    </row>
    <row r="454" spans="7:18" x14ac:dyDescent="0.2">
      <c r="G454" s="3">
        <v>45100</v>
      </c>
      <c r="H454">
        <v>19418.23</v>
      </c>
      <c r="I454" s="3">
        <v>45100</v>
      </c>
      <c r="J454">
        <v>18.809999999999999</v>
      </c>
      <c r="K454" s="3">
        <v>45100</v>
      </c>
      <c r="L454">
        <v>176.74</v>
      </c>
      <c r="M454" s="3">
        <v>45100</v>
      </c>
      <c r="N454">
        <v>3.13</v>
      </c>
      <c r="O454" s="3">
        <v>45100</v>
      </c>
      <c r="P454">
        <v>17.63</v>
      </c>
      <c r="Q454" s="3">
        <v>45100</v>
      </c>
      <c r="R454">
        <v>52.87</v>
      </c>
    </row>
    <row r="455" spans="7:18" x14ac:dyDescent="0.2">
      <c r="G455" s="3">
        <v>45099</v>
      </c>
      <c r="H455">
        <v>19580.900000000001</v>
      </c>
      <c r="I455" s="3">
        <v>45099</v>
      </c>
      <c r="J455">
        <v>19.260000000000002</v>
      </c>
      <c r="K455" s="3">
        <v>45099</v>
      </c>
      <c r="L455">
        <v>173.96</v>
      </c>
      <c r="M455" s="3">
        <v>45099</v>
      </c>
      <c r="N455">
        <v>3.22</v>
      </c>
      <c r="O455" s="3">
        <v>45099</v>
      </c>
      <c r="P455">
        <v>17.47</v>
      </c>
      <c r="Q455" s="3">
        <v>45099</v>
      </c>
      <c r="R455">
        <v>53.18</v>
      </c>
    </row>
    <row r="456" spans="7:18" x14ac:dyDescent="0.2">
      <c r="G456" s="3">
        <v>45098</v>
      </c>
      <c r="H456">
        <v>19705.95</v>
      </c>
      <c r="I456" s="3">
        <v>45098</v>
      </c>
      <c r="J456">
        <v>19.39</v>
      </c>
      <c r="K456" s="3">
        <v>45098</v>
      </c>
      <c r="L456">
        <v>176.99</v>
      </c>
      <c r="M456" s="3">
        <v>45098</v>
      </c>
      <c r="N456">
        <v>3.25</v>
      </c>
      <c r="O456" s="3">
        <v>45098</v>
      </c>
      <c r="P456">
        <v>17.52</v>
      </c>
      <c r="Q456" s="3">
        <v>45098</v>
      </c>
      <c r="R456">
        <v>53.44</v>
      </c>
    </row>
    <row r="457" spans="7:18" x14ac:dyDescent="0.2">
      <c r="G457" s="3">
        <v>45097</v>
      </c>
      <c r="H457">
        <v>19754.14</v>
      </c>
      <c r="I457" s="3">
        <v>45097</v>
      </c>
      <c r="J457">
        <v>19.54</v>
      </c>
      <c r="K457" s="3">
        <v>45097</v>
      </c>
      <c r="L457">
        <v>180.41</v>
      </c>
      <c r="M457" s="3">
        <v>45097</v>
      </c>
      <c r="N457">
        <v>3.29</v>
      </c>
      <c r="O457" s="3">
        <v>45097</v>
      </c>
      <c r="P457">
        <v>18.36</v>
      </c>
      <c r="Q457" s="3">
        <v>45097</v>
      </c>
      <c r="R457">
        <v>54.25</v>
      </c>
    </row>
    <row r="458" spans="7:18" x14ac:dyDescent="0.2">
      <c r="G458" s="3">
        <v>45096</v>
      </c>
      <c r="H458">
        <v>19934.21</v>
      </c>
      <c r="I458" s="3">
        <v>45096</v>
      </c>
      <c r="J458">
        <v>19.14</v>
      </c>
      <c r="K458" s="3">
        <v>45096</v>
      </c>
      <c r="L458">
        <v>180.79</v>
      </c>
      <c r="M458" s="3">
        <v>45096</v>
      </c>
      <c r="N458">
        <v>3.29</v>
      </c>
      <c r="O458" s="3">
        <v>45096</v>
      </c>
      <c r="P458">
        <v>18.82</v>
      </c>
      <c r="Q458" s="3">
        <v>45096</v>
      </c>
      <c r="R458">
        <v>54.68</v>
      </c>
    </row>
    <row r="459" spans="7:18" x14ac:dyDescent="0.2">
      <c r="G459" s="3">
        <v>45093</v>
      </c>
      <c r="H459">
        <v>19975.37</v>
      </c>
      <c r="I459" s="3">
        <v>45093</v>
      </c>
      <c r="J459">
        <v>18.8</v>
      </c>
      <c r="K459" s="3">
        <v>45093</v>
      </c>
      <c r="L459">
        <v>180.3</v>
      </c>
      <c r="M459" s="3">
        <v>45093</v>
      </c>
      <c r="N459">
        <v>3.19</v>
      </c>
      <c r="O459" s="3">
        <v>45093</v>
      </c>
      <c r="P459">
        <v>18.399999999999999</v>
      </c>
      <c r="Q459" s="3">
        <v>45093</v>
      </c>
      <c r="R459">
        <v>54.72</v>
      </c>
    </row>
    <row r="460" spans="7:18" x14ac:dyDescent="0.2">
      <c r="G460" s="3">
        <v>45092</v>
      </c>
      <c r="H460">
        <v>20027.349999999999</v>
      </c>
      <c r="I460" s="3">
        <v>45092</v>
      </c>
      <c r="J460">
        <v>18.29</v>
      </c>
      <c r="K460" s="3">
        <v>45092</v>
      </c>
      <c r="L460">
        <v>184</v>
      </c>
      <c r="M460" s="3">
        <v>45092</v>
      </c>
      <c r="N460">
        <v>3.13</v>
      </c>
      <c r="O460" s="3">
        <v>45092</v>
      </c>
      <c r="P460">
        <v>18.399999999999999</v>
      </c>
      <c r="Q460" s="3">
        <v>45092</v>
      </c>
      <c r="R460">
        <v>55.4</v>
      </c>
    </row>
    <row r="461" spans="7:18" x14ac:dyDescent="0.2">
      <c r="G461" s="3">
        <v>45091</v>
      </c>
      <c r="H461">
        <v>20015.09</v>
      </c>
      <c r="I461" s="3">
        <v>45091</v>
      </c>
      <c r="J461">
        <v>18.14</v>
      </c>
      <c r="K461" s="3">
        <v>45091</v>
      </c>
      <c r="L461">
        <v>184.08</v>
      </c>
      <c r="M461" s="3">
        <v>45091</v>
      </c>
      <c r="N461">
        <v>3.25</v>
      </c>
      <c r="O461" s="3">
        <v>45091</v>
      </c>
      <c r="P461">
        <v>18.18</v>
      </c>
      <c r="Q461" s="3">
        <v>45091</v>
      </c>
      <c r="R461">
        <v>56</v>
      </c>
    </row>
    <row r="462" spans="7:18" x14ac:dyDescent="0.2">
      <c r="G462" s="3">
        <v>45090</v>
      </c>
      <c r="H462">
        <v>19990.400000000001</v>
      </c>
      <c r="I462" s="3">
        <v>45090</v>
      </c>
      <c r="J462">
        <v>18.07</v>
      </c>
      <c r="K462" s="3">
        <v>45090</v>
      </c>
      <c r="L462">
        <v>182.41</v>
      </c>
      <c r="M462" s="3">
        <v>45090</v>
      </c>
      <c r="N462">
        <v>3.25</v>
      </c>
      <c r="O462" s="3">
        <v>45090</v>
      </c>
      <c r="P462">
        <v>18.420000000000002</v>
      </c>
      <c r="Q462" s="3">
        <v>45090</v>
      </c>
      <c r="R462">
        <v>56.48</v>
      </c>
    </row>
    <row r="463" spans="7:18" x14ac:dyDescent="0.2">
      <c r="G463" s="3">
        <v>45089</v>
      </c>
      <c r="H463">
        <v>19921.310000000001</v>
      </c>
      <c r="I463" s="3">
        <v>45089</v>
      </c>
      <c r="J463">
        <v>18.010000000000002</v>
      </c>
      <c r="K463" s="3">
        <v>45089</v>
      </c>
      <c r="L463">
        <v>182.13</v>
      </c>
      <c r="M463" s="3">
        <v>45089</v>
      </c>
      <c r="N463">
        <v>3.41</v>
      </c>
      <c r="O463" s="3">
        <v>45089</v>
      </c>
      <c r="P463">
        <v>18.41</v>
      </c>
      <c r="Q463" s="3">
        <v>45089</v>
      </c>
      <c r="R463">
        <v>57</v>
      </c>
    </row>
    <row r="464" spans="7:18" x14ac:dyDescent="0.2">
      <c r="G464" s="3">
        <v>45086</v>
      </c>
      <c r="H464">
        <v>19892.060000000001</v>
      </c>
      <c r="I464" s="3">
        <v>45086</v>
      </c>
      <c r="J464">
        <v>17.420000000000002</v>
      </c>
      <c r="K464" s="3">
        <v>45086</v>
      </c>
      <c r="L464">
        <v>177.03</v>
      </c>
      <c r="M464" s="3">
        <v>45086</v>
      </c>
      <c r="N464">
        <v>3.46</v>
      </c>
      <c r="O464" s="3">
        <v>45086</v>
      </c>
      <c r="P464">
        <v>19.29</v>
      </c>
      <c r="Q464" s="3">
        <v>45086</v>
      </c>
      <c r="R464">
        <v>56.2</v>
      </c>
    </row>
    <row r="465" spans="7:18" x14ac:dyDescent="0.2">
      <c r="G465" s="3">
        <v>45085</v>
      </c>
      <c r="H465">
        <v>19942.7</v>
      </c>
      <c r="I465" s="3">
        <v>45085</v>
      </c>
      <c r="J465">
        <v>17.149999999999999</v>
      </c>
      <c r="K465" s="3">
        <v>45085</v>
      </c>
      <c r="L465">
        <v>176.21</v>
      </c>
      <c r="M465" s="3">
        <v>45085</v>
      </c>
      <c r="N465">
        <v>3.43</v>
      </c>
      <c r="O465" s="3">
        <v>45085</v>
      </c>
      <c r="P465">
        <v>19.78</v>
      </c>
      <c r="Q465" s="3">
        <v>45085</v>
      </c>
      <c r="R465">
        <v>55.56</v>
      </c>
    </row>
    <row r="466" spans="7:18" x14ac:dyDescent="0.2">
      <c r="G466" s="3">
        <v>45084</v>
      </c>
      <c r="H466">
        <v>19983.689999999999</v>
      </c>
      <c r="I466" s="3">
        <v>45084</v>
      </c>
      <c r="J466">
        <v>17.21</v>
      </c>
      <c r="K466" s="3">
        <v>45084</v>
      </c>
      <c r="L466">
        <v>179.28</v>
      </c>
      <c r="M466" s="3">
        <v>45084</v>
      </c>
      <c r="N466">
        <v>3.5</v>
      </c>
      <c r="O466" s="3">
        <v>45084</v>
      </c>
      <c r="P466">
        <v>19.5</v>
      </c>
      <c r="Q466" s="3">
        <v>45084</v>
      </c>
      <c r="R466">
        <v>55.81</v>
      </c>
    </row>
    <row r="467" spans="7:18" x14ac:dyDescent="0.2">
      <c r="G467" s="3">
        <v>45083</v>
      </c>
      <c r="H467">
        <v>20055.599999999999</v>
      </c>
      <c r="I467" s="3">
        <v>45083</v>
      </c>
      <c r="J467">
        <v>16.84</v>
      </c>
      <c r="K467" s="3">
        <v>45083</v>
      </c>
      <c r="L467">
        <v>190.42</v>
      </c>
      <c r="M467" s="3">
        <v>45083</v>
      </c>
      <c r="N467">
        <v>3.58</v>
      </c>
      <c r="O467" s="3">
        <v>45083</v>
      </c>
      <c r="P467">
        <v>18.89</v>
      </c>
      <c r="Q467" s="3">
        <v>45083</v>
      </c>
      <c r="R467">
        <v>57.89</v>
      </c>
    </row>
    <row r="468" spans="7:18" x14ac:dyDescent="0.2">
      <c r="G468" s="3">
        <v>45082</v>
      </c>
      <c r="H468">
        <v>19931.62</v>
      </c>
      <c r="I468" s="3">
        <v>45082</v>
      </c>
      <c r="J468">
        <v>17.5</v>
      </c>
      <c r="K468" s="3">
        <v>45082</v>
      </c>
      <c r="L468">
        <v>186.15</v>
      </c>
      <c r="M468" s="3">
        <v>45082</v>
      </c>
      <c r="N468">
        <v>3.47</v>
      </c>
      <c r="O468" s="3">
        <v>45082</v>
      </c>
      <c r="P468">
        <v>18.25</v>
      </c>
      <c r="Q468" s="3">
        <v>45082</v>
      </c>
      <c r="R468">
        <v>57.24</v>
      </c>
    </row>
    <row r="469" spans="7:18" x14ac:dyDescent="0.2">
      <c r="G469" s="3">
        <v>45079</v>
      </c>
      <c r="H469">
        <v>20024.63</v>
      </c>
      <c r="I469" s="3">
        <v>45079</v>
      </c>
      <c r="J469">
        <v>17.63</v>
      </c>
      <c r="K469" s="3">
        <v>45079</v>
      </c>
      <c r="L469">
        <v>181.26</v>
      </c>
      <c r="M469" s="3">
        <v>45079</v>
      </c>
      <c r="N469">
        <v>3.61</v>
      </c>
      <c r="O469" s="3">
        <v>45079</v>
      </c>
      <c r="P469">
        <v>18.920000000000002</v>
      </c>
      <c r="Q469" s="3">
        <v>45079</v>
      </c>
      <c r="R469">
        <v>56.5</v>
      </c>
    </row>
    <row r="470" spans="7:18" x14ac:dyDescent="0.2">
      <c r="G470" s="3">
        <v>45078</v>
      </c>
      <c r="H470">
        <v>19672.25</v>
      </c>
      <c r="I470" s="3">
        <v>45078</v>
      </c>
      <c r="J470">
        <v>17.28</v>
      </c>
      <c r="K470" s="3">
        <v>45078</v>
      </c>
      <c r="L470">
        <v>181.07</v>
      </c>
      <c r="M470" s="3">
        <v>45078</v>
      </c>
      <c r="N470">
        <v>3.72</v>
      </c>
      <c r="O470" s="3">
        <v>45078</v>
      </c>
      <c r="P470">
        <v>18.829999999999998</v>
      </c>
      <c r="Q470" s="3">
        <v>45078</v>
      </c>
      <c r="R470">
        <v>55.95</v>
      </c>
    </row>
    <row r="471" spans="7:18" x14ac:dyDescent="0.2">
      <c r="G471" s="3">
        <v>45077</v>
      </c>
      <c r="H471">
        <v>19572.240000000002</v>
      </c>
      <c r="I471" s="3">
        <v>45077</v>
      </c>
      <c r="J471">
        <v>17.309999999999999</v>
      </c>
      <c r="K471" s="3">
        <v>45077</v>
      </c>
      <c r="L471">
        <v>181.6</v>
      </c>
      <c r="M471" s="3">
        <v>45077</v>
      </c>
      <c r="N471">
        <v>3.76</v>
      </c>
      <c r="O471" s="3">
        <v>45077</v>
      </c>
      <c r="P471">
        <v>20</v>
      </c>
      <c r="Q471" s="3">
        <v>45077</v>
      </c>
      <c r="R471">
        <v>56.44</v>
      </c>
    </row>
    <row r="472" spans="7:18" x14ac:dyDescent="0.2">
      <c r="G472" s="3">
        <v>45076</v>
      </c>
      <c r="H472">
        <v>19739.7</v>
      </c>
      <c r="I472" s="3">
        <v>45076</v>
      </c>
      <c r="J472">
        <v>17.54</v>
      </c>
      <c r="K472" s="3">
        <v>45076</v>
      </c>
      <c r="L472">
        <v>183.75</v>
      </c>
      <c r="M472" s="3">
        <v>45076</v>
      </c>
      <c r="N472">
        <v>3.65</v>
      </c>
      <c r="O472" s="3">
        <v>45076</v>
      </c>
      <c r="P472">
        <v>20</v>
      </c>
      <c r="Q472" s="3">
        <v>45076</v>
      </c>
      <c r="R472">
        <v>56.3</v>
      </c>
    </row>
    <row r="473" spans="7:18" x14ac:dyDescent="0.2">
      <c r="G473" s="3">
        <v>45075</v>
      </c>
      <c r="H473">
        <v>19967.95</v>
      </c>
      <c r="I473" s="3">
        <v>45075</v>
      </c>
      <c r="J473">
        <v>17.739999999999998</v>
      </c>
      <c r="K473" s="3">
        <v>45075</v>
      </c>
      <c r="L473">
        <v>186.6</v>
      </c>
      <c r="M473" s="3">
        <v>45075</v>
      </c>
      <c r="N473">
        <v>3.57</v>
      </c>
      <c r="O473" s="3">
        <v>45075</v>
      </c>
      <c r="P473">
        <v>20.71</v>
      </c>
      <c r="Q473" s="3">
        <v>45075</v>
      </c>
      <c r="R473">
        <v>56.99</v>
      </c>
    </row>
    <row r="474" spans="7:18" x14ac:dyDescent="0.2">
      <c r="G474" s="3">
        <v>45072</v>
      </c>
      <c r="H474">
        <v>19920.310000000001</v>
      </c>
      <c r="I474" s="3">
        <v>45072</v>
      </c>
      <c r="J474">
        <v>17.5</v>
      </c>
      <c r="K474" s="3">
        <v>45072</v>
      </c>
      <c r="L474">
        <v>188.82</v>
      </c>
      <c r="M474" s="3">
        <v>45072</v>
      </c>
      <c r="N474">
        <v>3.38</v>
      </c>
      <c r="O474" s="3">
        <v>45072</v>
      </c>
      <c r="P474">
        <v>21.05</v>
      </c>
      <c r="Q474" s="3">
        <v>45072</v>
      </c>
      <c r="R474">
        <v>56.77</v>
      </c>
    </row>
    <row r="475" spans="7:18" x14ac:dyDescent="0.2">
      <c r="G475" s="3">
        <v>45071</v>
      </c>
      <c r="H475">
        <v>19774.080000000002</v>
      </c>
      <c r="I475" s="3">
        <v>45071</v>
      </c>
      <c r="J475">
        <v>15.87</v>
      </c>
      <c r="K475" s="3">
        <v>45071</v>
      </c>
      <c r="L475">
        <v>184</v>
      </c>
      <c r="M475" s="3">
        <v>45071</v>
      </c>
      <c r="N475">
        <v>3.25</v>
      </c>
      <c r="O475" s="3">
        <v>45071</v>
      </c>
      <c r="P475">
        <v>20</v>
      </c>
      <c r="Q475" s="3">
        <v>45071</v>
      </c>
      <c r="R475">
        <v>55.55</v>
      </c>
    </row>
    <row r="476" spans="7:18" x14ac:dyDescent="0.2">
      <c r="G476" s="3">
        <v>45070</v>
      </c>
      <c r="H476">
        <v>19927.689999999999</v>
      </c>
      <c r="I476" s="3">
        <v>45070</v>
      </c>
      <c r="J476">
        <v>15.21</v>
      </c>
      <c r="K476" s="3">
        <v>45070</v>
      </c>
      <c r="L476">
        <v>180.48</v>
      </c>
      <c r="M476" s="3">
        <v>45070</v>
      </c>
      <c r="N476">
        <v>3.21</v>
      </c>
      <c r="O476" s="3">
        <v>45070</v>
      </c>
      <c r="P476">
        <v>20.02</v>
      </c>
      <c r="Q476" s="3">
        <v>45070</v>
      </c>
      <c r="R476">
        <v>54.75</v>
      </c>
    </row>
    <row r="477" spans="7:18" x14ac:dyDescent="0.2">
      <c r="G477" s="3">
        <v>45069</v>
      </c>
      <c r="H477">
        <v>20146.009999999998</v>
      </c>
      <c r="I477" s="3">
        <v>45069</v>
      </c>
      <c r="J477">
        <v>15.4</v>
      </c>
      <c r="K477" s="3">
        <v>45069</v>
      </c>
      <c r="L477">
        <v>180.99</v>
      </c>
      <c r="M477" s="3">
        <v>45069</v>
      </c>
      <c r="N477">
        <v>3.29</v>
      </c>
      <c r="O477" s="3">
        <v>45069</v>
      </c>
      <c r="P477">
        <v>20.2</v>
      </c>
      <c r="Q477" s="3">
        <v>45069</v>
      </c>
      <c r="R477">
        <v>54.96</v>
      </c>
    </row>
    <row r="478" spans="7:18" x14ac:dyDescent="0.2">
      <c r="G478" s="3">
        <v>45065</v>
      </c>
      <c r="H478">
        <v>20351.060000000001</v>
      </c>
      <c r="I478" s="3">
        <v>45065</v>
      </c>
      <c r="J478">
        <v>15.44</v>
      </c>
      <c r="K478" s="3">
        <v>45065</v>
      </c>
      <c r="L478">
        <v>184.65</v>
      </c>
      <c r="M478" s="3">
        <v>45065</v>
      </c>
      <c r="N478">
        <v>3.32</v>
      </c>
      <c r="O478" s="3">
        <v>45065</v>
      </c>
      <c r="P478">
        <v>19.2</v>
      </c>
      <c r="Q478" s="3">
        <v>45065</v>
      </c>
      <c r="R478">
        <v>56.18</v>
      </c>
    </row>
    <row r="479" spans="7:18" x14ac:dyDescent="0.2">
      <c r="G479" s="3">
        <v>45064</v>
      </c>
      <c r="H479">
        <v>20297.09</v>
      </c>
      <c r="I479" s="3">
        <v>45064</v>
      </c>
      <c r="J479">
        <v>15.36</v>
      </c>
      <c r="K479" s="3">
        <v>45064</v>
      </c>
      <c r="L479">
        <v>182.88</v>
      </c>
      <c r="M479" s="3">
        <v>45064</v>
      </c>
      <c r="N479">
        <v>3.39</v>
      </c>
      <c r="O479" s="3">
        <v>45064</v>
      </c>
      <c r="P479">
        <v>19</v>
      </c>
      <c r="Q479" s="3">
        <v>45064</v>
      </c>
      <c r="R479">
        <v>56.05</v>
      </c>
    </row>
    <row r="480" spans="7:18" x14ac:dyDescent="0.2">
      <c r="G480" s="3">
        <v>45063</v>
      </c>
      <c r="H480">
        <v>20296.43</v>
      </c>
      <c r="I480" s="3">
        <v>45063</v>
      </c>
      <c r="J480">
        <v>15.13</v>
      </c>
      <c r="K480" s="3">
        <v>45063</v>
      </c>
      <c r="L480">
        <v>182.48</v>
      </c>
      <c r="M480" s="3">
        <v>45063</v>
      </c>
      <c r="N480">
        <v>3.4</v>
      </c>
      <c r="O480" s="3">
        <v>45063</v>
      </c>
      <c r="P480">
        <v>18.95</v>
      </c>
      <c r="Q480" s="3">
        <v>45063</v>
      </c>
      <c r="R480">
        <v>54.89</v>
      </c>
    </row>
    <row r="481" spans="7:18" x14ac:dyDescent="0.2">
      <c r="G481" s="3">
        <v>45062</v>
      </c>
      <c r="H481">
        <v>20242.07</v>
      </c>
      <c r="I481" s="3">
        <v>45062</v>
      </c>
      <c r="J481">
        <v>15.05</v>
      </c>
      <c r="K481" s="3">
        <v>45062</v>
      </c>
      <c r="L481">
        <v>184.62</v>
      </c>
      <c r="M481" s="3">
        <v>45062</v>
      </c>
      <c r="N481">
        <v>3.29</v>
      </c>
      <c r="O481" s="3">
        <v>45062</v>
      </c>
      <c r="P481">
        <v>19.25</v>
      </c>
      <c r="Q481" s="3">
        <v>45062</v>
      </c>
      <c r="R481">
        <v>54.93</v>
      </c>
    </row>
    <row r="482" spans="7:18" x14ac:dyDescent="0.2">
      <c r="G482" s="3">
        <v>45061</v>
      </c>
      <c r="H482">
        <v>20539.97</v>
      </c>
      <c r="I482" s="3">
        <v>45061</v>
      </c>
      <c r="J482">
        <v>14.93</v>
      </c>
      <c r="K482" s="3">
        <v>45061</v>
      </c>
      <c r="L482">
        <v>186.1</v>
      </c>
      <c r="M482" s="3">
        <v>45061</v>
      </c>
      <c r="N482">
        <v>3.2</v>
      </c>
      <c r="O482" s="3">
        <v>45061</v>
      </c>
      <c r="P482">
        <v>19.72</v>
      </c>
      <c r="Q482" s="3">
        <v>45061</v>
      </c>
      <c r="R482">
        <v>54.85</v>
      </c>
    </row>
    <row r="483" spans="7:18" x14ac:dyDescent="0.2">
      <c r="G483" s="3">
        <v>45058</v>
      </c>
      <c r="H483">
        <v>20419.62</v>
      </c>
      <c r="I483" s="3">
        <v>45058</v>
      </c>
      <c r="J483">
        <v>14.8</v>
      </c>
      <c r="K483" s="3">
        <v>45058</v>
      </c>
      <c r="L483">
        <v>183.4</v>
      </c>
      <c r="M483" s="3">
        <v>45058</v>
      </c>
      <c r="N483">
        <v>3.15</v>
      </c>
      <c r="O483" s="3">
        <v>45058</v>
      </c>
      <c r="P483">
        <v>19.600000000000001</v>
      </c>
      <c r="Q483" s="3">
        <v>45058</v>
      </c>
      <c r="R483">
        <v>54.47</v>
      </c>
    </row>
    <row r="484" spans="7:18" x14ac:dyDescent="0.2">
      <c r="G484" s="3">
        <v>45057</v>
      </c>
      <c r="H484">
        <v>20417.61</v>
      </c>
      <c r="I484" s="3">
        <v>45057</v>
      </c>
      <c r="J484">
        <v>14.72</v>
      </c>
      <c r="K484" s="3">
        <v>45057</v>
      </c>
      <c r="L484">
        <v>183</v>
      </c>
      <c r="M484" s="3">
        <v>45057</v>
      </c>
      <c r="N484">
        <v>3.35</v>
      </c>
      <c r="O484" s="3">
        <v>45057</v>
      </c>
      <c r="P484">
        <v>19.02</v>
      </c>
      <c r="Q484" s="3">
        <v>45057</v>
      </c>
      <c r="R484">
        <v>54.32</v>
      </c>
    </row>
  </sheetData>
  <sortState xmlns:xlrd2="http://schemas.microsoft.com/office/spreadsheetml/2017/richdata2" ref="G4:R28">
    <sortCondition ref="G4:G28"/>
  </sortState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5892-6E46-4891-AA47-7D0A443AD0D1}">
  <sheetPr codeName="Sheet12"/>
  <dimension ref="A1:K15"/>
  <sheetViews>
    <sheetView workbookViewId="0">
      <selection activeCell="A2" sqref="A2:G6"/>
    </sheetView>
  </sheetViews>
  <sheetFormatPr defaultRowHeight="12.75" x14ac:dyDescent="0.2"/>
  <cols>
    <col min="1" max="1" width="10.140625" bestFit="1" customWidth="1"/>
    <col min="2" max="2" width="8.85546875" bestFit="1" customWidth="1"/>
    <col min="3" max="3" width="7.7109375" bestFit="1" customWidth="1"/>
    <col min="4" max="4" width="7.42578125" bestFit="1" customWidth="1"/>
    <col min="6" max="6" width="8.7109375" bestFit="1" customWidth="1"/>
    <col min="7" max="7" width="9.85546875" bestFit="1" customWidth="1"/>
    <col min="8" max="8" width="11" bestFit="1" customWidth="1"/>
    <col min="9" max="9" width="11" customWidth="1"/>
    <col min="10" max="10" width="12.7109375" bestFit="1" customWidth="1"/>
  </cols>
  <sheetData>
    <row r="1" spans="1:11" x14ac:dyDescent="0.2">
      <c r="A1" t="s">
        <v>13</v>
      </c>
      <c r="B1" s="5" t="s">
        <v>153</v>
      </c>
      <c r="C1" s="5" t="s">
        <v>154</v>
      </c>
      <c r="D1" s="5" t="s">
        <v>155</v>
      </c>
      <c r="E1" s="5" t="s">
        <v>156</v>
      </c>
      <c r="F1" s="5" t="s">
        <v>157</v>
      </c>
      <c r="G1" s="5" t="s">
        <v>158</v>
      </c>
      <c r="H1" s="5" t="s">
        <v>33</v>
      </c>
      <c r="I1" s="5" t="s">
        <v>97</v>
      </c>
      <c r="J1" s="5" t="s">
        <v>37</v>
      </c>
      <c r="K1" s="5" t="s">
        <v>159</v>
      </c>
    </row>
    <row r="2" spans="1:11" x14ac:dyDescent="0.2">
      <c r="A2" s="3">
        <v>45737</v>
      </c>
      <c r="B2">
        <v>0</v>
      </c>
      <c r="C2">
        <v>1500</v>
      </c>
      <c r="D2">
        <v>300</v>
      </c>
      <c r="E2">
        <v>12000</v>
      </c>
      <c r="F2">
        <v>1000</v>
      </c>
      <c r="G2">
        <v>700</v>
      </c>
      <c r="H2">
        <v>1000040097</v>
      </c>
      <c r="J2">
        <v>1000000000</v>
      </c>
    </row>
    <row r="3" spans="1:11" x14ac:dyDescent="0.2">
      <c r="A3" s="3">
        <v>45740</v>
      </c>
      <c r="B3">
        <v>0</v>
      </c>
      <c r="C3">
        <v>1500</v>
      </c>
      <c r="D3">
        <v>300</v>
      </c>
      <c r="E3">
        <v>12000</v>
      </c>
      <c r="F3">
        <v>1000</v>
      </c>
      <c r="G3">
        <v>700</v>
      </c>
      <c r="H3">
        <v>1500040097</v>
      </c>
      <c r="J3">
        <v>500000000</v>
      </c>
    </row>
    <row r="4" spans="1:11" x14ac:dyDescent="0.2">
      <c r="A4" s="3">
        <v>45741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700</v>
      </c>
      <c r="H4">
        <v>1500040097</v>
      </c>
      <c r="J4">
        <v>0</v>
      </c>
    </row>
    <row r="5" spans="1:11" x14ac:dyDescent="0.2">
      <c r="A5" s="3">
        <v>45742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700</v>
      </c>
      <c r="H5">
        <v>1500040097</v>
      </c>
      <c r="J5">
        <v>0</v>
      </c>
    </row>
    <row r="6" spans="1:11" x14ac:dyDescent="0.2">
      <c r="A6" s="3">
        <v>45743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700</v>
      </c>
      <c r="H6">
        <v>1500040097</v>
      </c>
      <c r="J6">
        <v>0</v>
      </c>
    </row>
    <row r="7" spans="1:11" x14ac:dyDescent="0.2">
      <c r="A7" s="3"/>
    </row>
    <row r="8" spans="1:11" x14ac:dyDescent="0.2">
      <c r="A8" s="3"/>
    </row>
    <row r="9" spans="1:11" x14ac:dyDescent="0.2">
      <c r="A9" s="3"/>
    </row>
    <row r="10" spans="1:11" x14ac:dyDescent="0.2">
      <c r="A10" s="3"/>
    </row>
    <row r="11" spans="1:11" x14ac:dyDescent="0.2">
      <c r="A11" s="3"/>
    </row>
    <row r="12" spans="1:11" x14ac:dyDescent="0.2">
      <c r="A12" s="3"/>
    </row>
    <row r="13" spans="1:11" x14ac:dyDescent="0.2">
      <c r="A13" s="3"/>
    </row>
    <row r="14" spans="1:11" x14ac:dyDescent="0.2">
      <c r="A14" s="3"/>
    </row>
    <row r="15" spans="1:11" x14ac:dyDescent="0.2">
      <c r="A1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settings</vt:lpstr>
      <vt:lpstr>transactions</vt:lpstr>
      <vt:lpstr>portfolio</vt:lpstr>
      <vt:lpstr>data</vt:lpstr>
      <vt:lpstr>assetHistory</vt:lpstr>
      <vt:lpstr>portfolioHistory</vt:lpstr>
      <vt:lpstr>assetStat</vt:lpstr>
      <vt:lpstr>dailyHoldings</vt:lpstr>
      <vt:lpstr>Answer</vt:lpstr>
      <vt:lpstr>Calculations</vt:lpstr>
      <vt:lpstr>Assets</vt:lpstr>
      <vt:lpstr>DailyHolding 2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2025-04-09T17:38:32Z</dcterms:modified>
</cp:coreProperties>
</file>
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ustomProperty1.bin" ContentType="application/vnd.openxmlformats-officedocument.spreadsheetml.customProperty"/>
  <Override PartName="/xl/comments2.xml" ContentType="application/vnd.openxmlformats-officedocument.spreadsheetml.comments+xml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filur03.it.liu.se\students\wiler441\Documents\TPPE33\tppe33_labs\Project 1\"/>
    </mc:Choice>
  </mc:AlternateContent>
  <xr:revisionPtr revIDLastSave="0" documentId="13_ncr:1_{D7F9A497-CFB3-4316-9DB2-86774CA825EC}" xr6:coauthVersionLast="47" xr6:coauthVersionMax="47" xr10:uidLastSave="{00000000-0000-0000-0000-000000000000}"/>
  <bookViews>
    <workbookView xWindow="-120" yWindow="-120" windowWidth="29040" windowHeight="17520" firstSheet="2" activeTab="9" xr2:uid="{33FEF667-F920-45DE-A451-1C9E01C7191B}"/>
  </bookViews>
  <sheets>
    <sheet name="settings" sheetId="6" r:id="rId1"/>
    <sheet name="transactions" sheetId="1" r:id="rId2"/>
    <sheet name="portfolio" sheetId="2" r:id="rId3"/>
    <sheet name="data" sheetId="8" r:id="rId4"/>
    <sheet name="assetHistory" sheetId="4" r:id="rId5"/>
    <sheet name="assetStat" sheetId="5" r:id="rId6"/>
    <sheet name="portfolioHistory" sheetId="3" r:id="rId7"/>
    <sheet name="dailyHoldings" sheetId="7" r:id="rId8"/>
    <sheet name="Answer" sheetId="9" r:id="rId9"/>
    <sheet name="Calculations" sheetId="10" r:id="rId10"/>
    <sheet name="Assets" sheetId="11" r:id="rId11"/>
    <sheet name="DailyHolding 2" sheetId="12" r:id="rId12"/>
  </sheets>
  <functionGroups builtInGroupCount="19"/>
  <definedNames>
    <definedName name="_xleta.N" hidden="1" xlm="1">#NAME?</definedName>
    <definedName name="covarMatrix">assetStat!$N$3:$T$9</definedName>
    <definedName name="equityPortfolioData">portfolio!$A$10:$L$18</definedName>
    <definedName name="interestRate">portfolio!$F$2</definedName>
    <definedName name="muVector">assetStat!$B$3:$B$9</definedName>
    <definedName name="optimalEquityWeights">portfolio!$G$8:$G$14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" i="2" l="1"/>
  <c r="B5" i="2"/>
  <c r="D5" i="2"/>
  <c r="E5" i="2"/>
  <c r="K7" i="2"/>
  <c r="L7" i="2"/>
  <c r="A8" i="2"/>
  <c r="B8" i="2"/>
  <c r="D8" i="2"/>
  <c r="K8" i="2"/>
  <c r="L8" i="2"/>
  <c r="A9" i="2"/>
  <c r="B9" i="2"/>
  <c r="D9" i="2"/>
  <c r="K9" i="2"/>
  <c r="L9" i="2"/>
  <c r="A10" i="2"/>
  <c r="B10" i="2"/>
  <c r="D10" i="2"/>
  <c r="K10" i="2"/>
  <c r="L10" i="2"/>
  <c r="A11" i="2"/>
  <c r="B11" i="2"/>
  <c r="D11" i="2"/>
  <c r="K11" i="2"/>
  <c r="L11" i="2"/>
  <c r="A12" i="2"/>
  <c r="B12" i="2"/>
  <c r="D12" i="2"/>
  <c r="K12" i="2"/>
  <c r="L12" i="2"/>
  <c r="A13" i="2"/>
  <c r="B13" i="2"/>
  <c r="D13" i="2"/>
  <c r="K13" i="2"/>
  <c r="L13" i="2"/>
  <c r="A14" i="2"/>
  <c r="B14" i="2"/>
  <c r="D14" i="2"/>
  <c r="K14" i="2"/>
  <c r="L14" i="2"/>
  <c r="E5" i="8"/>
  <c r="G5" i="8"/>
  <c r="M7" i="8"/>
  <c r="D9" i="8"/>
  <c r="D10" i="8"/>
  <c r="D11" i="8"/>
  <c r="D12" i="8"/>
  <c r="D13" i="8"/>
  <c r="D14" i="8"/>
  <c r="D15" i="8"/>
  <c r="T5" i="9"/>
  <c r="T6" i="9"/>
  <c r="T7" i="9"/>
  <c r="T8" i="9"/>
  <c r="T4" i="9"/>
  <c r="J5" i="8"/>
  <c r="F12" i="8"/>
  <c r="J11" i="8"/>
  <c r="H14" i="8"/>
  <c r="G13" i="8"/>
  <c r="J14" i="8"/>
  <c r="J15" i="8"/>
  <c r="H15" i="8"/>
  <c r="F11" i="8"/>
  <c r="G42" i="10"/>
  <c r="G15" i="8"/>
  <c r="F9" i="8"/>
  <c r="G10" i="8"/>
  <c r="G2" i="8"/>
  <c r="I5" i="8"/>
  <c r="H9" i="8"/>
  <c r="H11" i="8"/>
  <c r="J12" i="8"/>
  <c r="J9" i="8"/>
  <c r="I12" i="8"/>
  <c r="A1" i="4"/>
  <c r="I9" i="8"/>
  <c r="I13" i="8"/>
  <c r="F15" i="8"/>
  <c r="C80" i="10"/>
  <c r="M81" i="10"/>
  <c r="I14" i="8"/>
  <c r="F10" i="8"/>
  <c r="G14" i="8"/>
  <c r="H10" i="8"/>
  <c r="I11" i="8"/>
  <c r="F14" i="8"/>
  <c r="H12" i="8"/>
  <c r="G12" i="8"/>
  <c r="I5" i="10"/>
  <c r="F2" i="2"/>
  <c r="A2" i="11"/>
  <c r="K5" i="8"/>
  <c r="G9" i="8"/>
  <c r="H13" i="8"/>
  <c r="F13" i="8"/>
  <c r="A2" i="4"/>
  <c r="F2" i="11"/>
  <c r="J13" i="8"/>
  <c r="H5" i="8"/>
  <c r="J10" i="8"/>
  <c r="G11" i="8"/>
  <c r="I10" i="8"/>
  <c r="I15" i="8"/>
  <c r="J11" i="2" l="1"/>
  <c r="I13" i="2"/>
  <c r="H10" i="2"/>
  <c r="I8" i="2"/>
  <c r="H12" i="2"/>
  <c r="J9" i="2"/>
  <c r="I14" i="2"/>
  <c r="I9" i="2"/>
  <c r="H11" i="2"/>
  <c r="J10" i="2"/>
  <c r="I12" i="2"/>
  <c r="J8" i="2"/>
  <c r="I10" i="2"/>
  <c r="H8" i="2"/>
  <c r="J14" i="2"/>
  <c r="J12" i="2"/>
  <c r="J13" i="2"/>
  <c r="I11" i="2"/>
  <c r="H14" i="2"/>
  <c r="H9" i="2"/>
  <c r="H13" i="2"/>
  <c r="F5" i="8"/>
  <c r="C12" i="8"/>
  <c r="C13" i="8"/>
  <c r="C5" i="8"/>
  <c r="C5" i="2" s="1"/>
  <c r="C9" i="8"/>
  <c r="C14" i="8"/>
  <c r="C15" i="8"/>
  <c r="C10" i="8"/>
  <c r="C11" i="8"/>
  <c r="E15" i="8" l="1"/>
  <c r="C14" i="2"/>
  <c r="E11" i="8"/>
  <c r="C10" i="2"/>
  <c r="E10" i="8"/>
  <c r="C9" i="2"/>
  <c r="E9" i="8"/>
  <c r="C8" i="2"/>
  <c r="E13" i="8"/>
  <c r="C12" i="2"/>
  <c r="E14" i="8"/>
  <c r="C13" i="2"/>
  <c r="E12" i="8"/>
  <c r="C11" i="2"/>
  <c r="K65" i="10"/>
  <c r="E16" i="9" s="1"/>
  <c r="K66" i="10"/>
  <c r="E17" i="9" s="1"/>
  <c r="K67" i="10"/>
  <c r="E18" i="9" s="1"/>
  <c r="K68" i="10"/>
  <c r="E19" i="9" s="1"/>
  <c r="K64" i="10"/>
  <c r="E15" i="9" s="1"/>
  <c r="L4" i="9"/>
  <c r="F16" i="9"/>
  <c r="F17" i="9"/>
  <c r="F18" i="9"/>
  <c r="F19" i="9"/>
  <c r="F15" i="9"/>
  <c r="C16" i="9"/>
  <c r="C17" i="9"/>
  <c r="C18" i="9"/>
  <c r="C19" i="9"/>
  <c r="C15" i="9"/>
  <c r="C72" i="10" s="1" a="1"/>
  <c r="C72" i="10" s="1"/>
  <c r="P5" i="9"/>
  <c r="Q5" i="9"/>
  <c r="P6" i="9"/>
  <c r="Q6" i="9"/>
  <c r="P7" i="9"/>
  <c r="Q7" i="9"/>
  <c r="P8" i="9"/>
  <c r="Q8" i="9"/>
  <c r="Q4" i="9"/>
  <c r="P4" i="9"/>
  <c r="M4" i="9"/>
  <c r="L5" i="9"/>
  <c r="M5" i="9"/>
  <c r="L6" i="9"/>
  <c r="M6" i="9"/>
  <c r="L7" i="9"/>
  <c r="M7" i="9"/>
  <c r="L8" i="9"/>
  <c r="M8" i="9"/>
  <c r="R5" i="9"/>
  <c r="S5" i="9"/>
  <c r="R6" i="9"/>
  <c r="S6" i="9"/>
  <c r="R7" i="9"/>
  <c r="S7" i="9"/>
  <c r="R8" i="9"/>
  <c r="S8" i="9"/>
  <c r="S4" i="9"/>
  <c r="R4" i="9"/>
  <c r="N5" i="9"/>
  <c r="N6" i="9"/>
  <c r="N7" i="9"/>
  <c r="N8" i="9"/>
  <c r="N4" i="9"/>
  <c r="O5" i="9"/>
  <c r="O6" i="9"/>
  <c r="O7" i="9"/>
  <c r="O8" i="9"/>
  <c r="O4" i="9"/>
  <c r="K4" i="9"/>
  <c r="K5" i="9"/>
  <c r="K6" i="9"/>
  <c r="K7" i="9"/>
  <c r="K8" i="9"/>
  <c r="H13" i="1"/>
  <c r="J13" i="1" s="1"/>
  <c r="H11" i="1"/>
  <c r="J11" i="1" s="1"/>
  <c r="H9" i="1"/>
  <c r="J9" i="1" s="1"/>
  <c r="H8" i="1"/>
  <c r="J8" i="1" s="1"/>
  <c r="H7" i="1"/>
  <c r="J7" i="1" s="1"/>
  <c r="H6" i="1"/>
  <c r="J6" i="1" s="1"/>
  <c r="H5" i="1"/>
  <c r="J5" i="1" s="1"/>
  <c r="H4" i="1"/>
  <c r="J4" i="1" s="1"/>
  <c r="Y25" i="1"/>
  <c r="Y24" i="1"/>
  <c r="Y19" i="1"/>
  <c r="Z19" i="1" s="1"/>
  <c r="Y18" i="1"/>
  <c r="X18" i="1"/>
  <c r="X17" i="1"/>
  <c r="Z17" i="1" s="1"/>
  <c r="X16" i="1"/>
  <c r="Z16" i="1" s="1"/>
  <c r="Z15" i="1"/>
  <c r="X14" i="1"/>
  <c r="X13" i="1"/>
  <c r="Z13" i="1" s="1"/>
  <c r="X11" i="1"/>
  <c r="Z11" i="1" s="1"/>
  <c r="X9" i="1"/>
  <c r="Z9" i="1" s="1"/>
  <c r="X8" i="1"/>
  <c r="Z8" i="1"/>
  <c r="X7" i="1"/>
  <c r="Z7" i="1"/>
  <c r="X6" i="1"/>
  <c r="Z6" i="1" s="1"/>
  <c r="X5" i="1"/>
  <c r="Z5" i="1" s="1"/>
  <c r="X4" i="1"/>
  <c r="Z4" i="1" s="1"/>
  <c r="B27" i="6"/>
  <c r="B6" i="6"/>
  <c r="A6" i="6"/>
  <c r="B9" i="6"/>
  <c r="A9" i="6"/>
  <c r="B8" i="6"/>
  <c r="A8" i="6"/>
  <c r="B7" i="6"/>
  <c r="A7" i="6"/>
  <c r="B4" i="6"/>
  <c r="A5" i="6"/>
  <c r="A4" i="6"/>
  <c r="B5" i="6"/>
  <c r="A3" i="6"/>
  <c r="B3" i="6"/>
  <c r="B2" i="6"/>
  <c r="G30" i="10"/>
  <c r="B3" i="10"/>
  <c r="C30" i="10"/>
  <c r="D5" i="10"/>
  <c r="C15" i="10"/>
  <c r="Z18" i="1" l="1"/>
  <c r="E10" i="2"/>
  <c r="E13" i="2"/>
  <c r="E8" i="2"/>
  <c r="F2" i="8"/>
  <c r="F12" i="2" s="1"/>
  <c r="E11" i="2"/>
  <c r="E12" i="2"/>
  <c r="E9" i="2"/>
  <c r="E14" i="2"/>
  <c r="H15" i="9"/>
  <c r="D75" i="10"/>
  <c r="D73" i="10"/>
  <c r="D18" i="9"/>
  <c r="H17" i="9"/>
  <c r="J17" i="9" s="1"/>
  <c r="D17" i="9"/>
  <c r="D74" i="10"/>
  <c r="D15" i="9"/>
  <c r="J15" i="9"/>
  <c r="D72" i="10"/>
  <c r="D19" i="9"/>
  <c r="D76" i="10"/>
  <c r="E76" i="10" s="1"/>
  <c r="D16" i="9"/>
  <c r="G19" i="9"/>
  <c r="I19" i="9" s="1"/>
  <c r="H18" i="9"/>
  <c r="J18" i="9" s="1"/>
  <c r="G16" i="9"/>
  <c r="I16" i="9" s="1"/>
  <c r="H16" i="9"/>
  <c r="J16" i="9" s="1"/>
  <c r="G15" i="9"/>
  <c r="I15" i="9" s="1"/>
  <c r="G17" i="9"/>
  <c r="I17" i="9" s="1"/>
  <c r="H19" i="9"/>
  <c r="J19" i="9" s="1"/>
  <c r="G18" i="9"/>
  <c r="I18" i="9" s="1"/>
  <c r="B26" i="6"/>
  <c r="F14" i="2" l="1"/>
  <c r="F11" i="2"/>
  <c r="F9" i="2"/>
  <c r="E2" i="2"/>
  <c r="F5" i="2"/>
  <c r="F8" i="2"/>
  <c r="F13" i="2"/>
  <c r="F10" i="2"/>
  <c r="E73" i="10"/>
  <c r="K16" i="9" s="1"/>
  <c r="E74" i="10"/>
  <c r="K17" i="9" s="1"/>
  <c r="E75" i="10"/>
  <c r="B25" i="6"/>
  <c r="B24" i="6" s="1"/>
  <c r="B23" i="6" s="1"/>
  <c r="C26" i="6"/>
  <c r="K18" i="9" l="1"/>
  <c r="K19" i="9" s="1"/>
  <c r="B22" i="6"/>
  <c r="C24" i="6"/>
  <c r="C25" i="6"/>
  <c r="C23" i="6"/>
  <c r="B21" i="6" l="1"/>
  <c r="C21" i="6" s="1"/>
  <c r="C22" i="6"/>
  <c r="L17" i="9" l="1"/>
  <c r="L15" i="9"/>
  <c r="L16" i="9"/>
  <c r="L18" i="9"/>
  <c r="L19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Jörgen Blomvall</author>
  </authors>
  <commentList>
    <comment ref="H1" authorId="0" shapeId="0" xr:uid="{189D6A3E-5010-4EF2-AE9F-9F0713D373E7}">
      <text>
        <r>
          <rPr>
            <b/>
            <sz val="9"/>
            <color indexed="81"/>
            <rFont val="Tahoma"/>
            <family val="2"/>
          </rPr>
          <t>Commission to broker</t>
        </r>
      </text>
    </comment>
    <comment ref="I1" authorId="0" shapeId="0" xr:uid="{41AF75B7-599B-4232-BB34-3CD8FC61C8C6}">
      <text>
        <r>
          <rPr>
            <b/>
            <sz val="9"/>
            <color indexed="81"/>
            <rFont val="Tahoma"/>
            <family val="2"/>
          </rPr>
          <t>Fee to e.g. clearing house</t>
        </r>
      </text>
    </comment>
    <comment ref="I18" authorId="0" shapeId="0" xr:uid="{B9754570-D50C-49DB-B5B7-4A7F84D7A613}">
      <text>
        <r>
          <rPr>
            <b/>
            <sz val="9"/>
            <color indexed="81"/>
            <rFont val="Tahoma"/>
            <family val="2"/>
          </rPr>
          <t>Nasdaq fee, Index:
3,5 SEK/contract</t>
        </r>
      </text>
    </comment>
    <comment ref="Y18" authorId="0" shapeId="0" xr:uid="{AA2135F6-5367-410C-A315-2F0D0C492279}">
      <text>
        <r>
          <rPr>
            <b/>
            <sz val="9"/>
            <color indexed="81"/>
            <rFont val="Tahoma"/>
            <family val="2"/>
          </rPr>
          <t>Nasdaq fee, Index:
3,5 SEK/contract</t>
        </r>
      </text>
    </comment>
    <comment ref="I19" authorId="0" shapeId="0" xr:uid="{B722F78A-FA47-4816-9F75-04BF15A8FD71}">
      <text>
        <r>
          <rPr>
            <b/>
            <sz val="9"/>
            <color indexed="81"/>
            <rFont val="Tahoma"/>
            <family val="2"/>
          </rPr>
          <t>Nasdaq fee, Index:
3,5 SEK/contract</t>
        </r>
      </text>
    </comment>
    <comment ref="Y19" authorId="0" shapeId="0" xr:uid="{F3FEEDC7-208E-4A50-B6BE-A35DFBAE4791}">
      <text>
        <r>
          <rPr>
            <b/>
            <sz val="9"/>
            <color indexed="81"/>
            <rFont val="Tahoma"/>
            <family val="2"/>
          </rPr>
          <t>Nasdaq fee, Index:
3,5 SEK/contract</t>
        </r>
      </text>
    </comment>
    <comment ref="Y24" authorId="0" shapeId="0" xr:uid="{455F2325-87B7-46BB-BAA1-4A813AC17BD1}">
      <text>
        <r>
          <rPr>
            <b/>
            <sz val="9"/>
            <color indexed="81"/>
            <rFont val="Tahoma"/>
            <family val="2"/>
          </rPr>
          <t>Nasdaq fee, Index:
3,5 SEK/contract</t>
        </r>
      </text>
    </comment>
    <comment ref="Y25" authorId="0" shapeId="0" xr:uid="{528225B6-922B-4822-9730-3D22C18AEB87}">
      <text>
        <r>
          <rPr>
            <b/>
            <sz val="9"/>
            <color indexed="81"/>
            <rFont val="Tahoma"/>
            <family val="2"/>
          </rPr>
          <t>Nasdaq fee, Index:
3,5 SEK/contract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Jörgen Blomvall</author>
  </authors>
  <commentList>
    <comment ref="A1" authorId="0" shapeId="0" xr:uid="{CF43EC10-4AFD-471A-A2F4-85FA37C39804}">
      <text>
        <r>
          <rPr>
            <b/>
            <sz val="9"/>
            <color indexed="81"/>
            <rFont val="Tahoma"/>
            <family val="2"/>
          </rPr>
          <t>Portfolio values are appended automatically when the document is open if the variable trapType in the module automaticStart is changed to
trapType = 1 for every second minute
trapType = 2 for every day at 18:00
Note that the change in variable value only takes effect if the document is saved and then opened again. (Auto_Open is run only when the document is opened)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<sst xmlns="http://schemas.openxmlformats.org/spreadsheetml/2006/main" count="549" uniqueCount="164">
  <si>
    <t>Deposit</t>
  </si>
  <si>
    <t>Buy</t>
  </si>
  <si>
    <t>Asset</t>
  </si>
  <si>
    <t>Holding</t>
  </si>
  <si>
    <t>Cash</t>
  </si>
  <si>
    <t>Description</t>
  </si>
  <si>
    <t>ERICb.ST</t>
  </si>
  <si>
    <t>ABB.ST</t>
  </si>
  <si>
    <t>AZN.ST</t>
  </si>
  <si>
    <t>SHBa.ST</t>
  </si>
  <si>
    <t>SKAb.ST</t>
  </si>
  <si>
    <t>VOLVb.ST</t>
  </si>
  <si>
    <t>LAST</t>
  </si>
  <si>
    <t>Date</t>
  </si>
  <si>
    <t>Value</t>
  </si>
  <si>
    <t>Price</t>
  </si>
  <si>
    <t>Expected value</t>
  </si>
  <si>
    <t>Volatility</t>
  </si>
  <si>
    <t>Correlation</t>
  </si>
  <si>
    <t>Covariance</t>
  </si>
  <si>
    <t>Sell</t>
  </si>
  <si>
    <t>Number</t>
  </si>
  <si>
    <t>BID</t>
  </si>
  <si>
    <t>ASK</t>
  </si>
  <si>
    <t>ACVOL_1</t>
  </si>
  <si>
    <t>Equity</t>
  </si>
  <si>
    <t>Asset type</t>
  </si>
  <si>
    <t>Share</t>
  </si>
  <si>
    <t>Optimal</t>
  </si>
  <si>
    <t>IDN</t>
  </si>
  <si>
    <t>AN.RS.L.BETA</t>
  </si>
  <si>
    <t>AN.RS.L.VOLATILITY_30D</t>
  </si>
  <si>
    <t>Currency</t>
  </si>
  <si>
    <t>SEK</t>
  </si>
  <si>
    <t># Transactions</t>
  </si>
  <si>
    <t>Watch list</t>
  </si>
  <si>
    <t>3M STIBOR</t>
  </si>
  <si>
    <t>Deposits SEK</t>
  </si>
  <si>
    <t>SEK=</t>
  </si>
  <si>
    <t>Total value (SEK)</t>
  </si>
  <si>
    <t>FX</t>
  </si>
  <si>
    <t>FX (USDxxx)</t>
  </si>
  <si>
    <t>MATUR_DATE</t>
  </si>
  <si>
    <t>COUPN_RATE</t>
  </si>
  <si>
    <t>RT_YIELD_1</t>
  </si>
  <si>
    <t>SEC_YLD_1</t>
  </si>
  <si>
    <t>PRIMACT_1</t>
  </si>
  <si>
    <t>SEC_ACT_1</t>
  </si>
  <si>
    <t>ACCR_INT</t>
  </si>
  <si>
    <t>Yes</t>
  </si>
  <si>
    <t>Display</t>
  </si>
  <si>
    <t>Equity fields</t>
  </si>
  <si>
    <t>Summarize</t>
  </si>
  <si>
    <t>Equity options fields</t>
  </si>
  <si>
    <t>ON rate</t>
  </si>
  <si>
    <t>Currency fields</t>
  </si>
  <si>
    <t>ON</t>
  </si>
  <si>
    <t>Fixed income fields</t>
  </si>
  <si>
    <t>Fixed income</t>
  </si>
  <si>
    <t>Portfolio currency</t>
  </si>
  <si>
    <t>ON BID</t>
  </si>
  <si>
    <t>ON ASK</t>
  </si>
  <si>
    <t>EquityOption</t>
  </si>
  <si>
    <t/>
  </si>
  <si>
    <t>USD</t>
  </si>
  <si>
    <t>BMWG.DE</t>
  </si>
  <si>
    <t>EUR</t>
  </si>
  <si>
    <t>Bond</t>
  </si>
  <si>
    <t>EXPIR_DATE</t>
  </si>
  <si>
    <t>STRIKE_PRC</t>
  </si>
  <si>
    <t>PUTCALLIND</t>
  </si>
  <si>
    <t>Forward fields</t>
  </si>
  <si>
    <t>Forward</t>
  </si>
  <si>
    <t>Asset property 1</t>
  </si>
  <si>
    <t>.OMXS30</t>
  </si>
  <si>
    <t>Future fields</t>
  </si>
  <si>
    <t>Future</t>
  </si>
  <si>
    <t>Settlement</t>
  </si>
  <si>
    <t>Example</t>
  </si>
  <si>
    <t>Mixed</t>
  </si>
  <si>
    <t>assetHistory</t>
  </si>
  <si>
    <t>column</t>
  </si>
  <si>
    <t>#data</t>
  </si>
  <si>
    <t>End</t>
  </si>
  <si>
    <t>Option</t>
  </si>
  <si>
    <t>FI Clean price</t>
  </si>
  <si>
    <t>FI Accrued interest</t>
  </si>
  <si>
    <t>Commission</t>
  </si>
  <si>
    <t>Fee</t>
  </si>
  <si>
    <t>HST_CLOSE</t>
  </si>
  <si>
    <t>SE1053=</t>
  </si>
  <si>
    <t>S30180000I1.ST</t>
  </si>
  <si>
    <t>OMXS30U0</t>
  </si>
  <si>
    <t>TRDPRC_1</t>
  </si>
  <si>
    <t>FATXA35750F4.EX</t>
  </si>
  <si>
    <t>FATXA35750R4.EX</t>
  </si>
  <si>
    <t>FATXAM4</t>
  </si>
  <si>
    <t>CADSEK1M=R</t>
  </si>
  <si>
    <t>CAD</t>
  </si>
  <si>
    <t>Timestamp</t>
  </si>
  <si>
    <t>Svaren skall anges i följande kolumner, inga rader eller kolumner få adderas till arket!</t>
  </si>
  <si>
    <t>Marknadsdata</t>
  </si>
  <si>
    <t>2a</t>
  </si>
  <si>
    <t>2b</t>
  </si>
  <si>
    <t>Datum</t>
  </si>
  <si>
    <t>Valutakurs</t>
  </si>
  <si>
    <t>Spread 1M Fx Forward (pip)</t>
  </si>
  <si>
    <t>Indexvärde</t>
  </si>
  <si>
    <t>Settlementkurs</t>
  </si>
  <si>
    <t>Beta (aktier)</t>
  </si>
  <si>
    <t>Courtage</t>
  </si>
  <si>
    <t>Startdatum</t>
  </si>
  <si>
    <t>Valuta</t>
  </si>
  <si>
    <t>Lot size futures</t>
  </si>
  <si>
    <t>Dag</t>
  </si>
  <si>
    <t>Bid</t>
  </si>
  <si>
    <t>Ask</t>
  </si>
  <si>
    <t>fr</t>
  </si>
  <si>
    <t>må</t>
  </si>
  <si>
    <t>ti</t>
  </si>
  <si>
    <t>on</t>
  </si>
  <si>
    <t>to</t>
  </si>
  <si>
    <t>Kundinsättningar</t>
  </si>
  <si>
    <t>V(aktie)</t>
  </si>
  <si>
    <t>Kassa (SEK)</t>
  </si>
  <si>
    <t>Kassa</t>
  </si>
  <si>
    <t>Ränteintäkter</t>
  </si>
  <si>
    <t>V i SEK</t>
  </si>
  <si>
    <t>NAV</t>
  </si>
  <si>
    <t>Förvaltningsavgift</t>
  </si>
  <si>
    <t>Antal indexfutures</t>
  </si>
  <si>
    <t>V(valutahedge)</t>
  </si>
  <si>
    <t>Kont ränta ON</t>
  </si>
  <si>
    <t>Kont ränta 1M</t>
  </si>
  <si>
    <t>Canada</t>
  </si>
  <si>
    <t>1.</t>
  </si>
  <si>
    <t>2.</t>
  </si>
  <si>
    <t>3.</t>
  </si>
  <si>
    <t>ZERO_YLD1</t>
  </si>
  <si>
    <t>Forward pip</t>
  </si>
  <si>
    <t>Calculations of value</t>
  </si>
  <si>
    <t>12.</t>
  </si>
  <si>
    <t>Deposits</t>
  </si>
  <si>
    <t>Simple returns</t>
  </si>
  <si>
    <t>Settlement &amp; Market Index</t>
  </si>
  <si>
    <t>Futures</t>
  </si>
  <si>
    <t>22,490.00</t>
  </si>
  <si>
    <t>FCSM5Q</t>
  </si>
  <si>
    <t>S&amp;P/TSX 60</t>
  </si>
  <si>
    <t>Celestica Inc</t>
  </si>
  <si>
    <t>Kinaxis Inc</t>
  </si>
  <si>
    <t>Converge Technology Solutions Corp.</t>
  </si>
  <si>
    <t>Lumine Group Inc.</t>
  </si>
  <si>
    <t>OpenText Corporation</t>
  </si>
  <si>
    <t>.GPSTE</t>
  </si>
  <si>
    <t>CLS.TO</t>
  </si>
  <si>
    <t>KXS.TO</t>
  </si>
  <si>
    <t>CTS.TO</t>
  </si>
  <si>
    <t>LMN.V</t>
  </si>
  <si>
    <t>OTEX.TO</t>
  </si>
  <si>
    <t>Deposits CAD</t>
  </si>
  <si>
    <t>Mid Price Close</t>
  </si>
  <si>
    <t>Trade Close</t>
  </si>
  <si>
    <t>MID_PRICE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</si>
</sst>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##,###,###.00"/>
    <numFmt numFmtId="165" formatCode="0.000%"/>
  </numFmts>
  <fonts count="8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</cellStyleXfs>
  <cellXfs count="28">
    <xf numFmtId="0" fontId="0" fillId="0" borderId="0" xfId="0"/>
    <xf numFmtId="3" fontId="0" fillId="0" borderId="0" xfId="0" applyNumberFormat="1"/>
    <xf numFmtId="22" fontId="0" fillId="0" borderId="0" xfId="0" applyNumberFormat="1"/>
    <xf numFmtId="14" fontId="0" fillId="0" borderId="0" xfId="0" applyNumberFormat="1"/>
    <xf numFmtId="10" fontId="0" fillId="0" borderId="0" xfId="0" applyNumberFormat="1"/>
    <xf numFmtId="0" fontId="2" fillId="0" borderId="0" xfId="0" applyFont="1"/>
    <xf numFmtId="164" fontId="0" fillId="0" borderId="0" xfId="0" applyNumberFormat="1"/>
    <xf numFmtId="165" fontId="0" fillId="0" borderId="0" xfId="0" applyNumberFormat="1"/>
    <xf numFmtId="0" fontId="2" fillId="0" borderId="0" xfId="1"/>
    <xf numFmtId="3" fontId="2" fillId="0" borderId="0" xfId="1" applyNumberFormat="1"/>
    <xf numFmtId="14" fontId="2" fillId="0" borderId="0" xfId="1" applyNumberFormat="1"/>
    <xf numFmtId="4" fontId="2" fillId="0" borderId="0" xfId="1" applyNumberFormat="1"/>
    <xf numFmtId="0" fontId="0" fillId="0" borderId="0" xfId="0" quotePrefix="1"/>
    <xf numFmtId="0" fontId="2" fillId="2" borderId="0" xfId="1" applyFill="1"/>
    <xf numFmtId="14" fontId="2" fillId="2" borderId="0" xfId="1" applyNumberFormat="1" applyFill="1"/>
    <xf numFmtId="0" fontId="5" fillId="2" borderId="0" xfId="1" applyFont="1" applyFill="1" applyAlignment="1">
      <alignment horizontal="center"/>
    </xf>
    <xf numFmtId="0" fontId="2" fillId="0" borderId="0" xfId="1" applyAlignment="1">
      <alignment horizontal="center"/>
    </xf>
    <xf numFmtId="0" fontId="2" fillId="2" borderId="0" xfId="1" applyFill="1" applyAlignment="1">
      <alignment horizontal="center"/>
    </xf>
    <xf numFmtId="14" fontId="2" fillId="2" borderId="0" xfId="1" applyNumberFormat="1" applyFill="1" applyAlignment="1">
      <alignment horizontal="center"/>
    </xf>
    <xf numFmtId="0" fontId="5" fillId="2" borderId="0" xfId="1" applyFont="1" applyFill="1"/>
    <xf numFmtId="0" fontId="6" fillId="0" borderId="0" xfId="1" applyFont="1" applyAlignment="1">
      <alignment horizontal="center"/>
    </xf>
    <xf numFmtId="14" fontId="5" fillId="2" borderId="0" xfId="1" applyNumberFormat="1" applyFont="1" applyFill="1" applyAlignment="1">
      <alignment horizontal="center"/>
    </xf>
    <xf numFmtId="14" fontId="0" fillId="0" borderId="0" xfId="0" quotePrefix="1" applyNumberFormat="1"/>
    <xf numFmtId="0" fontId="6" fillId="0" borderId="0" xfId="0" applyFont="1"/>
    <xf numFmtId="0" fontId="2" fillId="0" borderId="0" xfId="0" applyFont="1" applyAlignment="1">
      <alignment vertical="center" wrapText="1"/>
    </xf>
    <xf numFmtId="2" fontId="0" fillId="0" borderId="0" xfId="0" applyNumberFormat="1"/>
    <xf numFmtId="0" fontId="2" fillId="2" borderId="0" xfId="1" applyFill="1" applyAlignment="1">
      <alignment horizontal="center"/>
    </xf>
    <xf numFmtId="0" fontId="5" fillId="2" borderId="0" xfId="1" applyFont="1" applyFill="1" applyAlignment="1">
      <alignment horizontal="center"/>
    </xf>
  </cellXfs>
  <cellStyles count="4">
    <cellStyle name="Normal" xfId="0" builtinId="0"/>
    <cellStyle name="Normal 2" xfId="1" xr:uid="{80D85260-E506-4B1C-994C-1BED63319DAB}"/>
    <cellStyle name="Normal 3" xfId="2" xr:uid="{912D39EB-6110-4B64-9834-F752A9ECCC41}"/>
    <cellStyle name="Percent 2" xfId="3" xr:uid="{0D7F15D8-0F00-4AAB-B5B5-5B95F29BB7EA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efinitivshim.rtdserver.rtget">
      <tp>
        <v>3396430</v>
        <stp/>
        <stp>18</stp>
        <stp>43616296</stp>
        <tr r="J12" s="8"/>
      </tp>
      <tp>
        <v>110899508</v>
        <stp/>
        <stp>19</stp>
        <stp>43616296</stp>
        <tr r="J9" s="8"/>
      </tp>
      <tp>
        <v>2.3210000000000002</v>
        <stp/>
        <stp>14</stp>
        <stp>43616296</stp>
        <tr r="G2" s="8"/>
      </tp>
      <tp>
        <v>2.23</v>
        <stp/>
        <stp>15</stp>
        <stp>43616296</stp>
        <tr r="I5" s="8"/>
      </tp>
      <tp>
        <v>2165.8249999999998</v>
        <stp/>
        <stp>16</stp>
        <stp>43616296</stp>
        <tr r="H9" s="8"/>
      </tp>
      <tp>
        <v>1243.5</v>
        <stp/>
        <stp>17</stp>
        <stp>43616296</stp>
        <tr r="H11" s="8"/>
      </tp>
      <tp>
        <v>230.2</v>
        <stp/>
        <stp>11</stp>
        <stp>43616296</stp>
        <tr r="G15" s="8"/>
      </tp>
      <tp>
        <v>0</v>
        <stp/>
        <stp>12</stp>
        <stp>43616296</stp>
        <tr r="F9" s="8"/>
      </tp>
      <tp>
        <v>467.7</v>
        <stp/>
        <stp>13</stp>
        <stp>43616296</stp>
        <tr r="G10" s="8"/>
      </tp>
      <tp>
        <v>467.4</v>
        <stp/>
        <stp>28</stp>
        <stp>43616296</stp>
        <tr r="F10" s="8"/>
      </tp>
      <tp>
        <v>185.15</v>
        <stp/>
        <stp>29</stp>
        <stp>43616296</stp>
        <tr r="G14" s="8"/>
      </tp>
      <tp>
        <v>230</v>
        <stp/>
        <stp>24</stp>
        <stp>43616296</stp>
        <tr r="F15" s="8"/>
      </tp>
      <tp>
        <v>194.05</v>
        <stp/>
        <stp>27</stp>
        <stp>43616296</stp>
        <tr r="I14" s="8"/>
      </tp>
      <tp>
        <v>70.66</v>
        <stp/>
        <stp>20</stp>
        <stp>43616296</stp>
        <tr r="I12" s="8"/>
      </tp>
      <tp>
        <v>2237.2550000000001</v>
        <stp/>
        <stp>22</stp>
        <stp>43616296</stp>
        <tr r="I9" s="8"/>
      </tp>
      <tp>
        <v>104.4</v>
        <stp/>
        <stp>23</stp>
        <stp>43616296</stp>
        <tr r="I13" s="8"/>
      </tp>
      <tp>
        <v>10.030900000000001</v>
        <stp/>
        <stp>38</stp>
        <stp>43616296</stp>
        <tr r="K5" s="8"/>
      </tp>
      <tp>
        <v>0</v>
        <stp/>
        <stp>39</stp>
        <stp>43616296</stp>
        <tr r="G9" s="8"/>
      </tp>
      <tp>
        <v>67.260000000000005</v>
        <stp/>
        <stp>34</stp>
        <stp>43616296</stp>
        <tr r="G12" s="8"/>
      </tp>
      <tp>
        <v>2.3210000000000002</v>
        <stp/>
        <stp>36</stp>
        <stp>43616296</stp>
        <tr r="F2" s="2"/>
      </tp>
      <tp>
        <v>467.6</v>
        <stp/>
        <stp>30</stp>
        <stp>43616296</stp>
        <tr r="H10" s="8"/>
      </tp>
      <tp>
        <v>1325</v>
        <stp/>
        <stp>31</stp>
        <stp>43616296</stp>
        <tr r="I11" s="8"/>
      </tp>
      <tp>
        <v>185.05</v>
        <stp/>
        <stp>32</stp>
        <stp>43616296</stp>
        <tr r="F14" s="8"/>
      </tp>
      <tp>
        <v>67.260000000000005</v>
        <stp/>
        <stp>33</stp>
        <stp>43616296</stp>
        <tr r="H12" s="8"/>
      </tp>
      <tp>
        <v>481.1</v>
        <stp/>
        <stp>48</stp>
        <stp>43616296</stp>
        <tr r="I10" s="8"/>
      </tp>
      <tp>
        <v>236.8</v>
        <stp/>
        <stp>49</stp>
        <stp>43616296</stp>
        <tr r="I15" s="8"/>
      </tp>
      <tp>
        <v>7483006</v>
        <stp/>
        <stp>44</stp>
        <stp>43616296</stp>
        <tr r="J13" s="8"/>
      </tp>
      <tp>
        <v>2.1</v>
        <stp/>
        <stp>45</stp>
        <stp>43616296</stp>
        <tr r="H5" s="8"/>
      </tp>
      <tp>
        <v>981044</v>
        <stp/>
        <stp>46</stp>
        <stp>43616296</stp>
        <tr r="J10" s="8"/>
      </tp>
      <tp>
        <v>1244</v>
        <stp/>
        <stp>47</stp>
        <stp>43616296</stp>
        <tr r="G11" s="8"/>
      </tp>
      <tp>
        <v>103.1</v>
        <stp/>
        <stp>40</stp>
        <stp>43616296</stp>
        <tr r="H13" s="8"/>
      </tp>
      <tp>
        <v>103.05</v>
        <stp/>
        <stp>41</stp>
        <stp>43616296</stp>
        <tr r="F13" s="8"/>
      </tp>
    </main>
    <main first="refinitivshim.rtdserver.rhistory">
      <tp t="s">
        <v>Updated at 15:11:08</v>
        <stp/>
        <stp>42</stp>
        <stp>43616296</stp>
        <tr r="A2" s="4"/>
      </tp>
      <tp t="s">
        <v>Updated at 15:11:09</v>
        <stp/>
        <stp>21</stp>
        <stp>43616296</stp>
        <tr r="A1" s="4"/>
      </tp>
    </main>
    <main first="refinitivshim.rtdserver.rtget">
      <tp>
        <v>569586</v>
        <stp/>
        <stp>6</stp>
        <stp>43616296</stp>
        <tr r="J14" s="8"/>
      </tp>
      <tp>
        <v>4124829</v>
        <stp/>
        <stp>7</stp>
        <stp>43616296</stp>
        <tr r="J15" s="8"/>
      </tp>
      <tp>
        <v>185.2</v>
        <stp/>
        <stp>4</stp>
        <stp>43616296</stp>
        <tr r="H14" s="8"/>
      </tp>
      <tp>
        <v>103.15</v>
        <stp/>
        <stp>5</stp>
        <stp>43616296</stp>
        <tr r="G13" s="8"/>
      </tp>
      <tp>
        <v>67.22</v>
        <stp/>
        <stp>2</stp>
        <stp>43616296</stp>
        <tr r="F12" s="8"/>
      </tp>
      <tp>
        <v>617133</v>
        <stp/>
        <stp>3</stp>
        <stp>43616296</stp>
        <tr r="J11" s="8"/>
      </tp>
      <tp>
        <v>10.017899999999999</v>
        <stp/>
        <stp>1</stp>
        <stp>43616296</stp>
        <tr r="J5" s="8"/>
      </tp>
      <tp>
        <v>230.1</v>
        <stp/>
        <stp>8</stp>
        <stp>43616296</stp>
        <tr r="H15" s="8"/>
      </tp>
      <tp>
        <v>1243</v>
        <stp/>
        <stp>9</stp>
        <stp>43616296</stp>
        <tr r="F11" s="8"/>
      </tp>
    </main>
    <main first="refinitivshim.rtdserver.rdp.historicalpricing">
      <tp t="s">
        <v>Updated at 15:10:48</v>
        <stp/>
        <stp>10</stp>
        <stp>43616296</stp>
        <tr r="G42" s="10"/>
      </tp>
      <tp t="s">
        <v>Updated at 15:09:41</v>
        <stp/>
        <stp>25</stp>
        <stp>43616296</stp>
        <tr r="C80" s="10"/>
      </tp>
      <tp t="s">
        <v>Updated at 15:09:41</v>
        <stp/>
        <stp>26</stp>
        <stp>43616296</stp>
        <tr r="M81" s="10"/>
      </tp>
      <tp t="s">
        <v>Updated at 15:09:41</v>
        <stp/>
        <stp>35</stp>
        <stp>43616296</stp>
        <tr r="I5" s="10"/>
      </tp>
      <tp t="s">
        <v>Updated at 15:11:02</v>
        <stp/>
        <stp>37</stp>
        <stp>43616296</stp>
        <tr r="A2" s="11"/>
      </tp>
      <tp t="s">
        <v>Updated at 15:09:42</v>
        <stp/>
        <stp>43</stp>
        <stp>43616296</stp>
        <tr r="F2" s="11"/>
      </tp>
    </main>
    <main first="refinitivshim.rtdserver.rdp.historicalpricing">
      <tp t="s">
        <v>Updated at 15:09:41</v>
        <stp/>
        <stp>50</stp>
        <stp>43616296</stp>
        <tr r="G30" s="10"/>
      </tp>
      <tp t="s">
        <v>Updated at 15:09:41</v>
        <stp/>
        <stp>51</stp>
        <stp>43616296</stp>
        <tr r="B3" s="10"/>
      </tp>
      <tp t="s">
        <v>Updated at 15:09:41</v>
        <stp/>
        <stp>52</stp>
        <stp>43616296</stp>
        <tr r="C30" s="10"/>
      </tp>
      <tp t="s">
        <v>Updated at 15:09:41</v>
        <stp/>
        <stp>53</stp>
        <stp>43616296</stp>
        <tr r="D5" s="10"/>
      </tp>
      <tp t="s">
        <v>Updated at 15:09:41</v>
        <stp/>
        <stp>54</stp>
        <stp>43616296</stp>
        <tr r="C15" s="10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volatileDependencies" Target="volatileDependenci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9525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1048" name="Button 24" descr="Update portfoli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portfolio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13</xdr:col>
          <xdr:colOff>0</xdr:colOff>
          <xdr:row>2</xdr:row>
          <xdr:rowOff>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statistics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0</xdr:row>
          <xdr:rowOff>0</xdr:rowOff>
        </xdr:from>
        <xdr:to>
          <xdr:col>16</xdr:col>
          <xdr:colOff>0</xdr:colOff>
          <xdr:row>2</xdr:row>
          <xdr:rowOff>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Optimize equity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015A1-23B9-4FE3-BA0B-8C5C0F3F9436}">
  <sheetPr codeName="Sheet6"/>
  <dimension ref="A1:O27"/>
  <sheetViews>
    <sheetView workbookViewId="0">
      <selection activeCell="C21" sqref="C21"/>
    </sheetView>
  </sheetViews>
  <sheetFormatPr defaultRowHeight="12.75" x14ac:dyDescent="0.2"/>
  <cols>
    <col min="1" max="1" width="15.140625" bestFit="1" customWidth="1"/>
    <col min="4" max="4" width="11.28515625" bestFit="1" customWidth="1"/>
    <col min="5" max="7" width="11.28515625" customWidth="1"/>
    <col min="8" max="8" width="13.42578125" bestFit="1" customWidth="1"/>
    <col min="9" max="9" width="18.42578125" bestFit="1" customWidth="1"/>
    <col min="10" max="11" width="17" customWidth="1"/>
    <col min="12" max="12" width="18" bestFit="1" customWidth="1"/>
  </cols>
  <sheetData>
    <row r="1" spans="1:15" x14ac:dyDescent="0.2">
      <c r="A1" s="5" t="s">
        <v>59</v>
      </c>
      <c r="B1" s="5" t="s">
        <v>33</v>
      </c>
      <c r="C1" s="5"/>
      <c r="D1" s="5" t="s">
        <v>35</v>
      </c>
      <c r="E1" s="5" t="s">
        <v>26</v>
      </c>
      <c r="F1" s="5" t="s">
        <v>32</v>
      </c>
      <c r="G1" s="5"/>
      <c r="H1" s="5" t="s">
        <v>55</v>
      </c>
      <c r="I1" t="s">
        <v>51</v>
      </c>
      <c r="J1" s="5" t="s">
        <v>71</v>
      </c>
      <c r="K1" s="5" t="s">
        <v>75</v>
      </c>
      <c r="L1" s="5" t="s">
        <v>53</v>
      </c>
      <c r="M1" s="5" t="s">
        <v>57</v>
      </c>
      <c r="N1" s="5"/>
    </row>
    <row r="2" spans="1:15" x14ac:dyDescent="0.2">
      <c r="A2" s="5" t="s">
        <v>34</v>
      </c>
      <c r="B2">
        <f>COUNTA(transactions!A:A)-1</f>
        <v>5</v>
      </c>
      <c r="C2" s="5"/>
      <c r="D2" s="5" t="s">
        <v>74</v>
      </c>
      <c r="E2" t="s">
        <v>25</v>
      </c>
      <c r="F2" s="5" t="s">
        <v>33</v>
      </c>
      <c r="G2" s="5" t="s">
        <v>50</v>
      </c>
      <c r="H2" s="5" t="s">
        <v>49</v>
      </c>
      <c r="I2" s="5" t="s">
        <v>49</v>
      </c>
      <c r="J2" s="5" t="s">
        <v>49</v>
      </c>
      <c r="K2" s="5" t="s">
        <v>49</v>
      </c>
      <c r="L2" s="5" t="s">
        <v>49</v>
      </c>
      <c r="M2" s="3" t="s">
        <v>49</v>
      </c>
      <c r="N2" s="3"/>
      <c r="O2" s="5" t="s">
        <v>49</v>
      </c>
    </row>
    <row r="3" spans="1:15" x14ac:dyDescent="0.2">
      <c r="A3" s="5" t="str">
        <f>"# " &amp;D1</f>
        <v># Watch list</v>
      </c>
      <c r="B3">
        <f>COUNTA(D:D)-1</f>
        <v>1</v>
      </c>
      <c r="F3" s="5"/>
      <c r="G3" s="5" t="s">
        <v>52</v>
      </c>
      <c r="H3" s="5" t="s">
        <v>49</v>
      </c>
      <c r="I3" s="5" t="s">
        <v>49</v>
      </c>
      <c r="J3" s="5" t="s">
        <v>49</v>
      </c>
      <c r="K3" s="5" t="s">
        <v>49</v>
      </c>
      <c r="L3" s="5" t="s">
        <v>49</v>
      </c>
      <c r="M3" t="s">
        <v>49</v>
      </c>
      <c r="O3" s="5" t="s">
        <v>49</v>
      </c>
    </row>
    <row r="4" spans="1:15" x14ac:dyDescent="0.2">
      <c r="A4" s="5" t="str">
        <f>"# " &amp;H1</f>
        <v># Currency fields</v>
      </c>
      <c r="B4" s="5">
        <f>COUNTA(H:H)-3</f>
        <v>5</v>
      </c>
      <c r="H4" s="5" t="s">
        <v>3</v>
      </c>
      <c r="I4" s="1" t="s">
        <v>3</v>
      </c>
      <c r="J4" t="s">
        <v>3</v>
      </c>
      <c r="K4" t="s">
        <v>3</v>
      </c>
      <c r="L4" t="s">
        <v>3</v>
      </c>
      <c r="M4" t="s">
        <v>3</v>
      </c>
      <c r="O4" s="1" t="s">
        <v>3</v>
      </c>
    </row>
    <row r="5" spans="1:15" x14ac:dyDescent="0.2">
      <c r="A5" s="5" t="str">
        <f>"# " &amp;I1</f>
        <v># Equity fields</v>
      </c>
      <c r="B5" s="5">
        <f>COUNTA(I:I)-3</f>
        <v>11</v>
      </c>
      <c r="H5" s="5" t="s">
        <v>56</v>
      </c>
      <c r="I5" t="s">
        <v>15</v>
      </c>
      <c r="J5" t="s">
        <v>15</v>
      </c>
      <c r="K5" t="s">
        <v>15</v>
      </c>
      <c r="L5" t="s">
        <v>15</v>
      </c>
      <c r="M5" t="s">
        <v>15</v>
      </c>
      <c r="O5" t="s">
        <v>12</v>
      </c>
    </row>
    <row r="6" spans="1:15" x14ac:dyDescent="0.2">
      <c r="A6" s="5" t="str">
        <f>"# " &amp;J1</f>
        <v># Forward fields</v>
      </c>
      <c r="B6" s="5">
        <f>COUNTA(J:J)-3</f>
        <v>6</v>
      </c>
      <c r="H6" s="5" t="s">
        <v>40</v>
      </c>
      <c r="I6" t="s">
        <v>40</v>
      </c>
      <c r="J6" t="s">
        <v>40</v>
      </c>
      <c r="K6" t="s">
        <v>40</v>
      </c>
      <c r="L6" t="s">
        <v>40</v>
      </c>
      <c r="M6" t="s">
        <v>40</v>
      </c>
      <c r="O6" t="s">
        <v>40</v>
      </c>
    </row>
    <row r="7" spans="1:15" x14ac:dyDescent="0.2">
      <c r="A7" s="5" t="str">
        <f>"# " &amp;K1</f>
        <v># Future fields</v>
      </c>
      <c r="B7" s="5">
        <f>COUNTA(K:K)-3</f>
        <v>6</v>
      </c>
      <c r="H7" s="5" t="s">
        <v>14</v>
      </c>
      <c r="I7" s="1" t="s">
        <v>14</v>
      </c>
      <c r="J7" t="s">
        <v>14</v>
      </c>
      <c r="K7" t="s">
        <v>14</v>
      </c>
      <c r="L7" t="s">
        <v>14</v>
      </c>
      <c r="M7" t="s">
        <v>14</v>
      </c>
      <c r="O7" s="1" t="s">
        <v>14</v>
      </c>
    </row>
    <row r="8" spans="1:15" x14ac:dyDescent="0.2">
      <c r="A8" s="5" t="str">
        <f>"# " &amp;L1</f>
        <v># Equity options fields</v>
      </c>
      <c r="B8" s="5">
        <f>COUNTA(L:L)-3</f>
        <v>8</v>
      </c>
      <c r="H8" s="5" t="s">
        <v>27</v>
      </c>
      <c r="I8" s="4" t="s">
        <v>27</v>
      </c>
      <c r="J8" t="s">
        <v>27</v>
      </c>
      <c r="K8" t="s">
        <v>27</v>
      </c>
      <c r="L8" t="s">
        <v>27</v>
      </c>
      <c r="M8" t="s">
        <v>27</v>
      </c>
      <c r="O8" s="4" t="s">
        <v>27</v>
      </c>
    </row>
    <row r="9" spans="1:15" x14ac:dyDescent="0.2">
      <c r="A9" s="5" t="str">
        <f>"# " &amp;M1</f>
        <v># Fixed income fields</v>
      </c>
      <c r="B9" s="5">
        <f>COUNTA(M:M)-3</f>
        <v>12</v>
      </c>
      <c r="I9" t="s">
        <v>28</v>
      </c>
      <c r="J9" t="s">
        <v>68</v>
      </c>
      <c r="K9" t="s">
        <v>68</v>
      </c>
      <c r="L9" t="s">
        <v>68</v>
      </c>
      <c r="M9" t="s">
        <v>42</v>
      </c>
      <c r="O9" t="s">
        <v>28</v>
      </c>
    </row>
    <row r="10" spans="1:15" x14ac:dyDescent="0.2">
      <c r="I10" t="s">
        <v>22</v>
      </c>
      <c r="J10" s="5"/>
      <c r="K10" s="5"/>
      <c r="L10" s="5" t="s">
        <v>69</v>
      </c>
      <c r="M10" t="s">
        <v>43</v>
      </c>
      <c r="O10" t="s">
        <v>22</v>
      </c>
    </row>
    <row r="11" spans="1:15" x14ac:dyDescent="0.2">
      <c r="I11" t="s">
        <v>23</v>
      </c>
      <c r="L11" t="s">
        <v>70</v>
      </c>
      <c r="M11" t="s">
        <v>44</v>
      </c>
      <c r="O11" t="s">
        <v>23</v>
      </c>
    </row>
    <row r="12" spans="1:15" x14ac:dyDescent="0.2">
      <c r="I12" t="s">
        <v>24</v>
      </c>
      <c r="M12" t="s">
        <v>45</v>
      </c>
      <c r="O12" t="s">
        <v>24</v>
      </c>
    </row>
    <row r="13" spans="1:15" x14ac:dyDescent="0.2">
      <c r="I13" t="s">
        <v>30</v>
      </c>
      <c r="M13" t="s">
        <v>46</v>
      </c>
      <c r="O13" t="s">
        <v>30</v>
      </c>
    </row>
    <row r="14" spans="1:15" x14ac:dyDescent="0.2">
      <c r="I14" t="s">
        <v>31</v>
      </c>
      <c r="M14" t="s">
        <v>47</v>
      </c>
      <c r="O14" t="s">
        <v>31</v>
      </c>
    </row>
    <row r="15" spans="1:15" x14ac:dyDescent="0.2">
      <c r="M15" t="s">
        <v>48</v>
      </c>
    </row>
    <row r="18" spans="1:11" x14ac:dyDescent="0.2">
      <c r="J18" s="5"/>
      <c r="K18" s="5"/>
    </row>
    <row r="19" spans="1:11" x14ac:dyDescent="0.2">
      <c r="J19" s="5"/>
      <c r="K19" s="5"/>
    </row>
    <row r="20" spans="1:11" x14ac:dyDescent="0.2">
      <c r="A20" t="s">
        <v>80</v>
      </c>
      <c r="B20" t="s">
        <v>81</v>
      </c>
      <c r="C20" t="s">
        <v>82</v>
      </c>
      <c r="J20" s="5"/>
      <c r="K20" s="5"/>
    </row>
    <row r="21" spans="1:11" x14ac:dyDescent="0.2">
      <c r="A21" t="s">
        <v>32</v>
      </c>
      <c r="B21">
        <f>IF(ISERROR(MATCH(A21,assetHistory!$1:$1,0)),B22,MATCH(A21,assetHistory!$1:$1,0))</f>
        <v>2</v>
      </c>
      <c r="C21">
        <f ca="1">IF(B22&lt;&gt;B21,COUNTA(OFFSET(assetHistory!$A:$A,0,B21-1))-2,0)</f>
        <v>500</v>
      </c>
    </row>
    <row r="22" spans="1:11" x14ac:dyDescent="0.2">
      <c r="A22" t="s">
        <v>25</v>
      </c>
      <c r="B22">
        <f>IF(ISERROR(MATCH(A22,assetHistory!$1:$1,0)),B23,MATCH(A22,assetHistory!$1:$1,0))</f>
        <v>4</v>
      </c>
      <c r="C22">
        <f ca="1">IF(B23&lt;&gt;B22,COUNTA(OFFSET(assetHistory!$A:$A,0,B22-1))-2,0)</f>
        <v>500</v>
      </c>
    </row>
    <row r="23" spans="1:11" x14ac:dyDescent="0.2">
      <c r="A23" s="5" t="s">
        <v>72</v>
      </c>
      <c r="B23">
        <f>IF(ISERROR(MATCH(A23,assetHistory!$1:$1,0)),B24,MATCH(A23,assetHistory!$1:$1,0))</f>
        <v>12</v>
      </c>
      <c r="C23">
        <f ca="1">IF(B24&lt;&gt;B23,COUNTA(OFFSET(assetHistory!$A:$A,0,B23-1))-2,0)</f>
        <v>0</v>
      </c>
    </row>
    <row r="24" spans="1:11" x14ac:dyDescent="0.2">
      <c r="A24" s="5" t="s">
        <v>76</v>
      </c>
      <c r="B24">
        <f>IF(ISERROR(MATCH(A24,assetHistory!$1:$1,0)),B25,MATCH(A24,assetHistory!$1:$1,0))</f>
        <v>12</v>
      </c>
      <c r="C24">
        <f ca="1">IF(B25&lt;&gt;B24,COUNTA(OFFSET(assetHistory!$A:$A,0,B24-1))-2,0)</f>
        <v>0</v>
      </c>
    </row>
    <row r="25" spans="1:11" x14ac:dyDescent="0.2">
      <c r="A25" t="s">
        <v>85</v>
      </c>
      <c r="B25">
        <f>IF(ISERROR(MATCH(A25,assetHistory!$1:$1,0)),B26,MATCH(A25,assetHistory!$1:$1,0))</f>
        <v>12</v>
      </c>
      <c r="C25">
        <f ca="1">IF(B26&lt;&gt;B25,COUNTA(OFFSET(assetHistory!$A:$A,0,B25-1))-2,0)</f>
        <v>0</v>
      </c>
    </row>
    <row r="26" spans="1:11" x14ac:dyDescent="0.2">
      <c r="A26" t="s">
        <v>86</v>
      </c>
      <c r="B26">
        <f>IF(ISERROR(MATCH(A26,assetHistory!$1:$1,0)),B27,MATCH(A26,assetHistory!$1:$1,0))</f>
        <v>12</v>
      </c>
      <c r="C26">
        <f ca="1">IF(B27&lt;&gt;B26,COUNTA(OFFSET(assetHistory!$A:$A,0,B26-1))-2,0)</f>
        <v>0</v>
      </c>
    </row>
    <row r="27" spans="1:11" x14ac:dyDescent="0.2">
      <c r="A27" t="s">
        <v>83</v>
      </c>
      <c r="B27">
        <f>COUNTA(assetHistory!B2:IV2)+2</f>
        <v>12</v>
      </c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C02CE-A21F-45B5-9ABF-6E4036854423}">
  <sheetPr codeName="Sheet1"/>
  <dimension ref="A1:AB58"/>
  <sheetViews>
    <sheetView workbookViewId="0">
      <selection activeCell="J3" sqref="J3"/>
    </sheetView>
  </sheetViews>
  <sheetFormatPr defaultRowHeight="12.75" x14ac:dyDescent="0.2"/>
  <cols>
    <col min="1" max="1" width="12" customWidth="1"/>
    <col min="2" max="2" width="20.5703125" bestFit="1" customWidth="1"/>
    <col min="3" max="3" width="22.42578125" customWidth="1"/>
    <col min="4" max="4" width="11.85546875" bestFit="1" customWidth="1"/>
    <col min="5" max="5" width="10.28515625" customWidth="1"/>
    <col min="6" max="6" width="10.7109375" style="1" bestFit="1" customWidth="1"/>
    <col min="7" max="7" width="7.5703125" bestFit="1" customWidth="1"/>
    <col min="8" max="8" width="11.28515625" bestFit="1" customWidth="1"/>
    <col min="9" max="9" width="11.28515625" customWidth="1"/>
    <col min="10" max="10" width="13.28515625" style="1" customWidth="1"/>
    <col min="11" max="11" width="14.85546875" bestFit="1" customWidth="1"/>
    <col min="17" max="17" width="12" customWidth="1"/>
    <col min="19" max="19" width="14.7109375" bestFit="1" customWidth="1"/>
    <col min="20" max="20" width="11.7109375" bestFit="1" customWidth="1"/>
    <col min="24" max="24" width="11.28515625" bestFit="1" customWidth="1"/>
    <col min="25" max="25" width="11.28515625" customWidth="1"/>
    <col min="26" max="26" width="10.140625" bestFit="1" customWidth="1"/>
  </cols>
  <sheetData>
    <row r="1" spans="1:27" x14ac:dyDescent="0.2">
      <c r="A1" s="5" t="s">
        <v>13</v>
      </c>
      <c r="B1" t="s">
        <v>5</v>
      </c>
      <c r="C1" t="s">
        <v>2</v>
      </c>
      <c r="D1" t="s">
        <v>26</v>
      </c>
      <c r="E1" s="5" t="s">
        <v>32</v>
      </c>
      <c r="F1" s="1" t="s">
        <v>21</v>
      </c>
      <c r="G1" t="s">
        <v>15</v>
      </c>
      <c r="H1" t="s">
        <v>87</v>
      </c>
      <c r="I1" t="s">
        <v>88</v>
      </c>
      <c r="J1" s="1" t="s">
        <v>4</v>
      </c>
      <c r="K1" s="5" t="s">
        <v>73</v>
      </c>
      <c r="P1" s="5" t="s">
        <v>78</v>
      </c>
      <c r="Q1" s="5" t="s">
        <v>13</v>
      </c>
      <c r="R1" t="s">
        <v>5</v>
      </c>
      <c r="S1" t="s">
        <v>2</v>
      </c>
      <c r="T1" t="s">
        <v>26</v>
      </c>
      <c r="U1" s="5" t="s">
        <v>32</v>
      </c>
      <c r="V1" s="1" t="s">
        <v>21</v>
      </c>
      <c r="W1" t="s">
        <v>15</v>
      </c>
      <c r="X1" t="s">
        <v>87</v>
      </c>
      <c r="Y1" t="s">
        <v>88</v>
      </c>
      <c r="Z1" s="1" t="s">
        <v>4</v>
      </c>
      <c r="AA1" s="5" t="s">
        <v>73</v>
      </c>
    </row>
    <row r="2" spans="1:27" x14ac:dyDescent="0.2">
      <c r="A2" s="3">
        <v>45737</v>
      </c>
      <c r="B2" s="5" t="s">
        <v>0</v>
      </c>
      <c r="C2" s="5" t="s">
        <v>33</v>
      </c>
      <c r="D2" s="5" t="s">
        <v>4</v>
      </c>
      <c r="E2" s="5" t="s">
        <v>33</v>
      </c>
      <c r="J2" s="1">
        <v>1000000000</v>
      </c>
      <c r="O2" s="3"/>
      <c r="P2" s="5" t="s">
        <v>79</v>
      </c>
      <c r="Q2" s="3">
        <v>41505</v>
      </c>
      <c r="R2" t="s">
        <v>0</v>
      </c>
      <c r="S2" t="s">
        <v>33</v>
      </c>
      <c r="T2" t="s">
        <v>4</v>
      </c>
      <c r="U2" s="5" t="s">
        <v>33</v>
      </c>
      <c r="V2" s="1"/>
      <c r="W2" t="s">
        <v>63</v>
      </c>
      <c r="Z2" s="1">
        <v>2000000</v>
      </c>
    </row>
    <row r="3" spans="1:27" x14ac:dyDescent="0.2">
      <c r="A3" s="3">
        <v>45737</v>
      </c>
      <c r="B3" s="5" t="s">
        <v>1</v>
      </c>
      <c r="C3" s="5" t="s">
        <v>98</v>
      </c>
      <c r="D3" s="5" t="s">
        <v>4</v>
      </c>
      <c r="E3" s="5" t="s">
        <v>98</v>
      </c>
      <c r="O3" s="3"/>
      <c r="P3" s="5"/>
      <c r="Q3" s="3"/>
      <c r="U3" s="5"/>
      <c r="V3" s="1"/>
      <c r="Z3" s="1"/>
    </row>
    <row r="4" spans="1:27" x14ac:dyDescent="0.2">
      <c r="A4" s="3">
        <v>45737</v>
      </c>
      <c r="B4" t="s">
        <v>1</v>
      </c>
      <c r="C4" s="5" t="s">
        <v>155</v>
      </c>
      <c r="D4" t="s">
        <v>25</v>
      </c>
      <c r="E4" s="5" t="s">
        <v>98</v>
      </c>
      <c r="F4" s="1">
        <v>1500</v>
      </c>
      <c r="G4">
        <v>555</v>
      </c>
      <c r="H4">
        <f>ROUND(MAX(F4*G4*0.0005,100),0)</f>
        <v>416</v>
      </c>
      <c r="J4" s="1">
        <f t="shared" ref="J4:J13" si="0">IF(B4="Buy",-F4*G4,F4*G4)-H4-I4</f>
        <v>-832916</v>
      </c>
      <c r="O4" s="3"/>
      <c r="Q4" s="3">
        <v>41505</v>
      </c>
      <c r="R4" t="s">
        <v>1</v>
      </c>
      <c r="S4" t="s">
        <v>7</v>
      </c>
      <c r="T4" t="s">
        <v>25</v>
      </c>
      <c r="U4" s="5" t="s">
        <v>33</v>
      </c>
      <c r="V4" s="1">
        <v>4000</v>
      </c>
      <c r="W4">
        <v>145.9</v>
      </c>
      <c r="X4">
        <f t="shared" ref="X4:X9" si="1">ROUND(MAX(V4*W4*0.0005,100),0)</f>
        <v>292</v>
      </c>
      <c r="Z4" s="1">
        <f t="shared" ref="Z4:Z9" si="2">IF(R4="Buy",-V4*W4,V4*W4)-X4-Y4</f>
        <v>-583892</v>
      </c>
    </row>
    <row r="5" spans="1:27" x14ac:dyDescent="0.2">
      <c r="A5" s="3">
        <v>45737</v>
      </c>
      <c r="B5" t="s">
        <v>1</v>
      </c>
      <c r="C5" s="5" t="s">
        <v>156</v>
      </c>
      <c r="D5" t="s">
        <v>25</v>
      </c>
      <c r="E5" s="5" t="s">
        <v>98</v>
      </c>
      <c r="F5" s="1">
        <v>300</v>
      </c>
      <c r="G5">
        <v>1625</v>
      </c>
      <c r="H5">
        <f t="shared" ref="H5:H13" si="3">ROUND(MAX(F5*G5*0.0005,100),0)</f>
        <v>244</v>
      </c>
      <c r="J5" s="1">
        <f t="shared" si="0"/>
        <v>-487744</v>
      </c>
      <c r="O5" s="3"/>
      <c r="Q5" s="3">
        <v>41505</v>
      </c>
      <c r="R5" t="s">
        <v>1</v>
      </c>
      <c r="S5" t="s">
        <v>8</v>
      </c>
      <c r="T5" t="s">
        <v>25</v>
      </c>
      <c r="U5" s="5" t="s">
        <v>33</v>
      </c>
      <c r="V5" s="1">
        <v>500</v>
      </c>
      <c r="W5">
        <v>324.3</v>
      </c>
      <c r="X5">
        <f t="shared" si="1"/>
        <v>100</v>
      </c>
      <c r="Z5" s="1">
        <f t="shared" si="2"/>
        <v>-162250</v>
      </c>
    </row>
    <row r="6" spans="1:27" x14ac:dyDescent="0.2">
      <c r="A6" s="3"/>
      <c r="B6" t="s">
        <v>1</v>
      </c>
      <c r="C6" t="s">
        <v>6</v>
      </c>
      <c r="D6" t="s">
        <v>25</v>
      </c>
      <c r="E6" s="5" t="s">
        <v>33</v>
      </c>
      <c r="F6" s="1">
        <v>4000</v>
      </c>
      <c r="G6">
        <v>85.4</v>
      </c>
      <c r="H6">
        <f t="shared" si="3"/>
        <v>171</v>
      </c>
      <c r="J6" s="1">
        <f t="shared" si="0"/>
        <v>-341771</v>
      </c>
      <c r="O6" s="3"/>
      <c r="Q6" s="3">
        <v>41505</v>
      </c>
      <c r="R6" t="s">
        <v>1</v>
      </c>
      <c r="S6" t="s">
        <v>6</v>
      </c>
      <c r="T6" t="s">
        <v>25</v>
      </c>
      <c r="U6" s="5" t="s">
        <v>33</v>
      </c>
      <c r="V6" s="1">
        <v>5000</v>
      </c>
      <c r="W6">
        <v>79.45</v>
      </c>
      <c r="X6">
        <f t="shared" si="1"/>
        <v>199</v>
      </c>
      <c r="Z6" s="1">
        <f t="shared" si="2"/>
        <v>-397449</v>
      </c>
    </row>
    <row r="7" spans="1:27" x14ac:dyDescent="0.2">
      <c r="A7" s="3"/>
      <c r="B7" t="s">
        <v>1</v>
      </c>
      <c r="C7" t="s">
        <v>9</v>
      </c>
      <c r="D7" t="s">
        <v>25</v>
      </c>
      <c r="E7" s="5" t="s">
        <v>33</v>
      </c>
      <c r="F7" s="1">
        <v>1000</v>
      </c>
      <c r="G7">
        <v>132.05000000000001</v>
      </c>
      <c r="H7">
        <f t="shared" si="3"/>
        <v>100</v>
      </c>
      <c r="J7" s="1">
        <f t="shared" si="0"/>
        <v>-132150</v>
      </c>
      <c r="O7" s="3"/>
      <c r="Q7" s="3">
        <v>41505</v>
      </c>
      <c r="R7" t="s">
        <v>1</v>
      </c>
      <c r="S7" t="s">
        <v>9</v>
      </c>
      <c r="T7" t="s">
        <v>25</v>
      </c>
      <c r="U7" s="5" t="s">
        <v>33</v>
      </c>
      <c r="V7" s="1">
        <v>1000</v>
      </c>
      <c r="W7">
        <v>302</v>
      </c>
      <c r="X7">
        <f t="shared" si="1"/>
        <v>151</v>
      </c>
      <c r="Z7" s="1">
        <f t="shared" si="2"/>
        <v>-302151</v>
      </c>
    </row>
    <row r="8" spans="1:27" x14ac:dyDescent="0.2">
      <c r="A8" s="3"/>
      <c r="B8" t="s">
        <v>1</v>
      </c>
      <c r="C8" t="s">
        <v>10</v>
      </c>
      <c r="D8" t="s">
        <v>25</v>
      </c>
      <c r="E8" s="5" t="s">
        <v>33</v>
      </c>
      <c r="F8" s="1">
        <v>1000</v>
      </c>
      <c r="G8">
        <v>245.3</v>
      </c>
      <c r="H8">
        <f t="shared" si="3"/>
        <v>123</v>
      </c>
      <c r="J8" s="1">
        <f t="shared" si="0"/>
        <v>-245423</v>
      </c>
      <c r="O8" s="3"/>
      <c r="Q8" s="3">
        <v>41505</v>
      </c>
      <c r="R8" t="s">
        <v>1</v>
      </c>
      <c r="S8" t="s">
        <v>10</v>
      </c>
      <c r="T8" t="s">
        <v>25</v>
      </c>
      <c r="U8" s="5" t="s">
        <v>33</v>
      </c>
      <c r="V8" s="1">
        <v>2000</v>
      </c>
      <c r="W8">
        <v>124.6</v>
      </c>
      <c r="X8">
        <f t="shared" si="1"/>
        <v>125</v>
      </c>
      <c r="Z8" s="1">
        <f t="shared" si="2"/>
        <v>-249325</v>
      </c>
    </row>
    <row r="9" spans="1:27" x14ac:dyDescent="0.2">
      <c r="A9" s="3"/>
      <c r="B9" t="s">
        <v>1</v>
      </c>
      <c r="C9" s="5" t="s">
        <v>11</v>
      </c>
      <c r="D9" t="s">
        <v>25</v>
      </c>
      <c r="E9" s="5" t="s">
        <v>33</v>
      </c>
      <c r="F9" s="1">
        <v>1000</v>
      </c>
      <c r="G9">
        <v>319.7</v>
      </c>
      <c r="H9">
        <f t="shared" si="3"/>
        <v>160</v>
      </c>
      <c r="J9" s="1">
        <f t="shared" si="0"/>
        <v>-319860</v>
      </c>
      <c r="O9" s="3"/>
      <c r="Q9" s="3">
        <v>41505</v>
      </c>
      <c r="R9" t="s">
        <v>1</v>
      </c>
      <c r="S9" s="5" t="s">
        <v>11</v>
      </c>
      <c r="T9" t="s">
        <v>25</v>
      </c>
      <c r="U9" s="5" t="s">
        <v>33</v>
      </c>
      <c r="V9" s="1">
        <v>1000</v>
      </c>
      <c r="W9">
        <v>98.55</v>
      </c>
      <c r="X9">
        <f t="shared" si="1"/>
        <v>100</v>
      </c>
      <c r="Z9" s="1">
        <f t="shared" si="2"/>
        <v>-98650</v>
      </c>
    </row>
    <row r="10" spans="1:27" x14ac:dyDescent="0.2">
      <c r="A10" s="3"/>
      <c r="B10" t="s">
        <v>0</v>
      </c>
      <c r="C10" t="s">
        <v>33</v>
      </c>
      <c r="D10" t="s">
        <v>4</v>
      </c>
      <c r="E10" s="5" t="s">
        <v>33</v>
      </c>
      <c r="G10" t="s">
        <v>63</v>
      </c>
      <c r="J10" s="1">
        <v>-100000</v>
      </c>
      <c r="O10" s="3"/>
      <c r="Q10" s="3">
        <v>41506</v>
      </c>
      <c r="R10" t="s">
        <v>0</v>
      </c>
      <c r="S10" t="s">
        <v>33</v>
      </c>
      <c r="T10" t="s">
        <v>4</v>
      </c>
      <c r="U10" s="5" t="s">
        <v>33</v>
      </c>
      <c r="V10" s="1"/>
      <c r="W10" t="s">
        <v>63</v>
      </c>
      <c r="Z10" s="1">
        <v>-100000</v>
      </c>
    </row>
    <row r="11" spans="1:27" x14ac:dyDescent="0.2">
      <c r="A11" s="3"/>
      <c r="B11" t="s">
        <v>20</v>
      </c>
      <c r="C11" t="s">
        <v>11</v>
      </c>
      <c r="D11" s="5" t="s">
        <v>25</v>
      </c>
      <c r="E11" s="5" t="s">
        <v>33</v>
      </c>
      <c r="F11" s="1">
        <v>300</v>
      </c>
      <c r="G11">
        <v>326.7</v>
      </c>
      <c r="H11">
        <f t="shared" si="3"/>
        <v>100</v>
      </c>
      <c r="J11" s="1">
        <f t="shared" si="0"/>
        <v>97910</v>
      </c>
      <c r="O11" s="3"/>
      <c r="Q11" s="3">
        <v>41506</v>
      </c>
      <c r="R11" t="s">
        <v>20</v>
      </c>
      <c r="S11" t="s">
        <v>11</v>
      </c>
      <c r="T11" s="5" t="s">
        <v>25</v>
      </c>
      <c r="U11" s="5" t="s">
        <v>33</v>
      </c>
      <c r="V11" s="1">
        <v>600</v>
      </c>
      <c r="W11">
        <v>97.55</v>
      </c>
      <c r="X11">
        <f>ROUND(MAX(V11*W11*0.0005,100),0)</f>
        <v>100</v>
      </c>
      <c r="Z11" s="1">
        <f>IF(R11="Buy",-V11*W11,V11*W11)-X11-Y11</f>
        <v>58430</v>
      </c>
    </row>
    <row r="12" spans="1:27" x14ac:dyDescent="0.2">
      <c r="A12" s="3"/>
      <c r="B12" t="s">
        <v>0</v>
      </c>
      <c r="C12" t="s">
        <v>33</v>
      </c>
      <c r="D12" s="5" t="s">
        <v>4</v>
      </c>
      <c r="E12" s="5" t="s">
        <v>33</v>
      </c>
      <c r="G12" t="s">
        <v>63</v>
      </c>
      <c r="J12" s="1">
        <v>500000</v>
      </c>
      <c r="O12" s="3"/>
      <c r="Q12" s="3">
        <v>41507</v>
      </c>
      <c r="R12" t="s">
        <v>0</v>
      </c>
      <c r="S12" t="s">
        <v>33</v>
      </c>
      <c r="T12" s="5" t="s">
        <v>4</v>
      </c>
      <c r="U12" s="5" t="s">
        <v>33</v>
      </c>
      <c r="V12" s="1"/>
      <c r="W12" t="s">
        <v>63</v>
      </c>
      <c r="Z12" s="1">
        <v>500000</v>
      </c>
    </row>
    <row r="13" spans="1:27" x14ac:dyDescent="0.2">
      <c r="A13" s="3"/>
      <c r="B13" t="s">
        <v>1</v>
      </c>
      <c r="C13" t="s">
        <v>6</v>
      </c>
      <c r="D13" s="5" t="s">
        <v>25</v>
      </c>
      <c r="E13" s="5" t="s">
        <v>33</v>
      </c>
      <c r="F13" s="1">
        <v>8000</v>
      </c>
      <c r="G13">
        <v>87.2</v>
      </c>
      <c r="H13">
        <f t="shared" si="3"/>
        <v>349</v>
      </c>
      <c r="J13" s="1">
        <f t="shared" si="0"/>
        <v>-697949</v>
      </c>
      <c r="O13" s="3"/>
      <c r="Q13" s="3">
        <v>41507</v>
      </c>
      <c r="R13" t="s">
        <v>1</v>
      </c>
      <c r="S13" t="s">
        <v>6</v>
      </c>
      <c r="T13" s="5" t="s">
        <v>25</v>
      </c>
      <c r="U13" s="5" t="s">
        <v>33</v>
      </c>
      <c r="V13" s="1">
        <v>8000</v>
      </c>
      <c r="W13">
        <v>78.05</v>
      </c>
      <c r="X13">
        <f>ROUND(MAX(V13*W13*0.0005,100),0)</f>
        <v>312</v>
      </c>
      <c r="Z13" s="1">
        <f>IF(R13="Buy",-V13*W13,V13*W13)-X13-Y13</f>
        <v>-624712</v>
      </c>
    </row>
    <row r="14" spans="1:27" x14ac:dyDescent="0.2">
      <c r="A14" s="3"/>
      <c r="B14" s="5"/>
      <c r="C14" s="5"/>
      <c r="D14" s="5"/>
      <c r="E14" s="5"/>
      <c r="O14" s="3"/>
      <c r="Q14" s="3">
        <v>41663</v>
      </c>
      <c r="R14" t="s">
        <v>0</v>
      </c>
      <c r="S14" t="s">
        <v>64</v>
      </c>
      <c r="T14" s="5" t="s">
        <v>4</v>
      </c>
      <c r="U14" s="5" t="s">
        <v>64</v>
      </c>
      <c r="V14" s="1"/>
      <c r="X14">
        <f>ROUND(MAX(V14*W14*0.0005,100),0)</f>
        <v>100</v>
      </c>
      <c r="Z14" s="1">
        <v>100000</v>
      </c>
    </row>
    <row r="15" spans="1:27" x14ac:dyDescent="0.2">
      <c r="A15" s="3">
        <v>45740</v>
      </c>
      <c r="B15" s="5" t="s">
        <v>0</v>
      </c>
      <c r="C15" s="2" t="s">
        <v>33</v>
      </c>
      <c r="D15" s="5" t="s">
        <v>4</v>
      </c>
      <c r="E15" s="5" t="s">
        <v>33</v>
      </c>
      <c r="J15" s="1">
        <v>500000000</v>
      </c>
      <c r="O15" s="3"/>
      <c r="Q15" s="3">
        <v>41663</v>
      </c>
      <c r="R15" t="s">
        <v>1</v>
      </c>
      <c r="S15" s="2" t="s">
        <v>65</v>
      </c>
      <c r="T15" t="s">
        <v>25</v>
      </c>
      <c r="U15" s="5" t="s">
        <v>66</v>
      </c>
      <c r="V15" s="1">
        <v>100</v>
      </c>
      <c r="W15">
        <v>82</v>
      </c>
      <c r="Z15" s="1">
        <f>IF(R15="Buy",-V15*W15,V15*W15)-X15-Y15</f>
        <v>-8200</v>
      </c>
    </row>
    <row r="16" spans="1:27" x14ac:dyDescent="0.2">
      <c r="A16" s="3"/>
      <c r="B16" s="5"/>
      <c r="C16" s="2"/>
      <c r="D16" s="5"/>
      <c r="E16" s="5"/>
      <c r="O16" s="3"/>
      <c r="Q16" s="3">
        <v>44083</v>
      </c>
      <c r="R16" t="s">
        <v>1</v>
      </c>
      <c r="S16" s="2" t="s">
        <v>90</v>
      </c>
      <c r="T16" t="s">
        <v>67</v>
      </c>
      <c r="U16" s="5" t="s">
        <v>33</v>
      </c>
      <c r="V16" s="1">
        <v>100</v>
      </c>
      <c r="W16">
        <v>156</v>
      </c>
      <c r="X16">
        <f>ROUND(MAX(V16*W16*0.0005,100),0)</f>
        <v>100</v>
      </c>
      <c r="Z16" s="1">
        <f>IF(R16="Buy",-V16*W16,V16*W16)-X16-Y16</f>
        <v>-15700</v>
      </c>
    </row>
    <row r="17" spans="1:28" x14ac:dyDescent="0.2">
      <c r="A17" s="3"/>
      <c r="B17" s="5"/>
      <c r="C17" s="2"/>
      <c r="D17" s="5"/>
      <c r="E17" s="5"/>
      <c r="O17" s="3"/>
      <c r="Q17" s="3">
        <v>44083</v>
      </c>
      <c r="R17" t="s">
        <v>1</v>
      </c>
      <c r="S17" t="s">
        <v>66</v>
      </c>
      <c r="T17" t="s">
        <v>4</v>
      </c>
      <c r="U17" s="5" t="s">
        <v>33</v>
      </c>
      <c r="V17" s="1">
        <v>10000</v>
      </c>
      <c r="W17">
        <v>8.1999999999999993</v>
      </c>
      <c r="X17">
        <f>ROUND(MAX(V17*W17*0.0005,100),0)</f>
        <v>100</v>
      </c>
      <c r="Z17" s="1">
        <f>IF(R17="Buy",-V17*W17,V17*W17)-X17-Y17</f>
        <v>-82100</v>
      </c>
    </row>
    <row r="18" spans="1:28" x14ac:dyDescent="0.2">
      <c r="A18" s="3"/>
      <c r="B18" s="5"/>
      <c r="D18" s="5"/>
      <c r="E18" s="5"/>
      <c r="O18" s="3"/>
      <c r="Q18" s="3">
        <v>44083</v>
      </c>
      <c r="R18" s="5" t="s">
        <v>1</v>
      </c>
      <c r="S18" t="s">
        <v>91</v>
      </c>
      <c r="T18" s="5" t="s">
        <v>62</v>
      </c>
      <c r="U18" s="5" t="s">
        <v>33</v>
      </c>
      <c r="V18" s="1">
        <v>10</v>
      </c>
      <c r="W18">
        <v>116</v>
      </c>
      <c r="X18">
        <f>ROUND(MAX(V18*W18*100*0.008,100),0)</f>
        <v>928</v>
      </c>
      <c r="Y18">
        <f>V18*3.5</f>
        <v>35</v>
      </c>
      <c r="Z18" s="1">
        <f>IF(R18="Buy",-V18*W18,V18*W18)*100-X18-Y18</f>
        <v>-116963</v>
      </c>
    </row>
    <row r="19" spans="1:28" x14ac:dyDescent="0.2">
      <c r="A19" s="3"/>
      <c r="B19" s="5"/>
      <c r="C19" s="5"/>
      <c r="D19" s="5"/>
      <c r="E19" s="5"/>
      <c r="K19" s="5"/>
      <c r="Q19" s="3">
        <v>44083</v>
      </c>
      <c r="R19" s="5" t="s">
        <v>1</v>
      </c>
      <c r="S19" s="5" t="s">
        <v>92</v>
      </c>
      <c r="T19" s="5" t="s">
        <v>72</v>
      </c>
      <c r="U19" s="5" t="s">
        <v>33</v>
      </c>
      <c r="V19" s="1">
        <v>10</v>
      </c>
      <c r="W19">
        <v>0</v>
      </c>
      <c r="Y19">
        <f>V19*3.5</f>
        <v>35</v>
      </c>
      <c r="Z19" s="1">
        <f>IF(R19="Buy",-V19*W19,V19*W19)-X19-Y19</f>
        <v>-35</v>
      </c>
      <c r="AA19" s="5">
        <v>1791</v>
      </c>
    </row>
    <row r="20" spans="1:28" x14ac:dyDescent="0.2">
      <c r="A20" s="3"/>
      <c r="B20" s="5"/>
      <c r="C20" s="5"/>
      <c r="D20" s="5"/>
      <c r="E20" s="5"/>
      <c r="Q20" s="3"/>
      <c r="R20" s="5"/>
      <c r="S20" s="5"/>
      <c r="T20" s="5"/>
      <c r="U20" s="5"/>
      <c r="V20" s="1"/>
      <c r="Z20" s="1"/>
    </row>
    <row r="23" spans="1:28" x14ac:dyDescent="0.2">
      <c r="Q23" s="10">
        <v>45387</v>
      </c>
      <c r="R23" t="s">
        <v>0</v>
      </c>
      <c r="S23" t="s">
        <v>33</v>
      </c>
      <c r="T23" t="s">
        <v>4</v>
      </c>
      <c r="U23" s="5" t="s">
        <v>33</v>
      </c>
      <c r="V23" s="1"/>
      <c r="W23" t="s">
        <v>63</v>
      </c>
      <c r="Z23" s="1">
        <v>10000000</v>
      </c>
    </row>
    <row r="24" spans="1:28" x14ac:dyDescent="0.2">
      <c r="P24" t="s">
        <v>84</v>
      </c>
      <c r="Q24" s="10">
        <v>45387</v>
      </c>
      <c r="R24" s="8" t="s">
        <v>20</v>
      </c>
      <c r="S24" s="8" t="s">
        <v>94</v>
      </c>
      <c r="T24" s="8" t="s">
        <v>62</v>
      </c>
      <c r="U24" s="8" t="s">
        <v>66</v>
      </c>
      <c r="V24" s="9">
        <v>5000</v>
      </c>
      <c r="W24" s="8">
        <v>59</v>
      </c>
      <c r="X24" s="8">
        <v>1475</v>
      </c>
      <c r="Y24" s="8">
        <f>0.5*V24</f>
        <v>2500</v>
      </c>
      <c r="Z24" s="9">
        <v>2951475</v>
      </c>
      <c r="AA24" s="8"/>
      <c r="AB24" s="8"/>
    </row>
    <row r="25" spans="1:28" x14ac:dyDescent="0.2">
      <c r="Q25" s="10">
        <v>45387</v>
      </c>
      <c r="R25" s="8" t="s">
        <v>20</v>
      </c>
      <c r="S25" s="8" t="s">
        <v>95</v>
      </c>
      <c r="T25" s="8" t="s">
        <v>62</v>
      </c>
      <c r="U25" s="8" t="s">
        <v>66</v>
      </c>
      <c r="V25" s="9">
        <v>5000</v>
      </c>
      <c r="W25" s="8">
        <v>190</v>
      </c>
      <c r="X25" s="8">
        <v>4750</v>
      </c>
      <c r="Y25" s="8">
        <f>0.5*V25</f>
        <v>2500</v>
      </c>
      <c r="Z25" s="9">
        <v>9504750</v>
      </c>
      <c r="AA25" s="8"/>
      <c r="AB25" s="8"/>
    </row>
    <row r="26" spans="1:28" x14ac:dyDescent="0.2">
      <c r="Q26" s="10">
        <v>45387</v>
      </c>
      <c r="R26" s="8" t="s">
        <v>1</v>
      </c>
      <c r="S26" s="8" t="s">
        <v>96</v>
      </c>
      <c r="T26" s="8" t="s">
        <v>76</v>
      </c>
      <c r="U26" s="8" t="s">
        <v>66</v>
      </c>
      <c r="V26" s="9">
        <v>530</v>
      </c>
      <c r="W26" s="8">
        <v>0</v>
      </c>
      <c r="X26" s="8">
        <v>0</v>
      </c>
      <c r="Y26" s="8"/>
      <c r="Z26" s="9">
        <v>0</v>
      </c>
    </row>
    <row r="27" spans="1:28" x14ac:dyDescent="0.2">
      <c r="Q27" s="10">
        <v>45390</v>
      </c>
      <c r="R27" s="8" t="s">
        <v>0</v>
      </c>
      <c r="S27" s="8" t="s">
        <v>66</v>
      </c>
      <c r="T27" s="8" t="s">
        <v>4</v>
      </c>
      <c r="U27" s="8" t="s">
        <v>66</v>
      </c>
      <c r="V27" s="8"/>
      <c r="W27" s="8" t="s">
        <v>63</v>
      </c>
      <c r="X27" s="8"/>
      <c r="Y27" s="8"/>
      <c r="Z27" s="11">
        <v>3840.6693750000004</v>
      </c>
    </row>
    <row r="28" spans="1:28" x14ac:dyDescent="0.2">
      <c r="P28" s="5" t="s">
        <v>76</v>
      </c>
      <c r="Q28" s="10">
        <v>45390</v>
      </c>
      <c r="R28" s="8" t="s">
        <v>1</v>
      </c>
      <c r="S28" s="8" t="s">
        <v>96</v>
      </c>
      <c r="T28" s="8" t="s">
        <v>76</v>
      </c>
      <c r="U28" s="8" t="s">
        <v>66</v>
      </c>
      <c r="V28" s="9">
        <v>568</v>
      </c>
      <c r="W28" s="8">
        <v>0</v>
      </c>
      <c r="X28" s="8">
        <v>0</v>
      </c>
      <c r="Y28" s="8"/>
      <c r="Z28" s="9">
        <v>0</v>
      </c>
    </row>
    <row r="29" spans="1:28" x14ac:dyDescent="0.2">
      <c r="Q29" s="10">
        <v>45390</v>
      </c>
      <c r="R29" s="8" t="s">
        <v>77</v>
      </c>
      <c r="S29" s="8" t="s">
        <v>96</v>
      </c>
      <c r="T29" s="8" t="s">
        <v>76</v>
      </c>
      <c r="U29" s="8" t="s">
        <v>66</v>
      </c>
      <c r="V29" s="8"/>
      <c r="W29" s="8"/>
      <c r="X29" s="8"/>
      <c r="Y29" s="8"/>
      <c r="Z29" s="9">
        <v>172250</v>
      </c>
    </row>
    <row r="30" spans="1:28" x14ac:dyDescent="0.2">
      <c r="P30" s="5" t="s">
        <v>72</v>
      </c>
      <c r="Q30" s="3">
        <v>45390</v>
      </c>
      <c r="R30" s="5" t="s">
        <v>20</v>
      </c>
      <c r="S30" s="5" t="s">
        <v>97</v>
      </c>
      <c r="T30" s="5" t="s">
        <v>72</v>
      </c>
      <c r="U30" s="5" t="s">
        <v>98</v>
      </c>
      <c r="V30" s="1">
        <v>1</v>
      </c>
      <c r="W30">
        <v>0</v>
      </c>
      <c r="Z30" s="1">
        <v>0</v>
      </c>
    </row>
    <row r="32" spans="1:28" x14ac:dyDescent="0.2">
      <c r="A32" s="3"/>
    </row>
    <row r="33" spans="1:26" x14ac:dyDescent="0.2">
      <c r="A33" s="3"/>
    </row>
    <row r="34" spans="1:26" x14ac:dyDescent="0.2">
      <c r="A34" s="3"/>
    </row>
    <row r="35" spans="1:26" x14ac:dyDescent="0.2">
      <c r="A35" s="3"/>
      <c r="Q35" s="3"/>
      <c r="Z35" s="1"/>
    </row>
    <row r="36" spans="1:26" x14ac:dyDescent="0.2">
      <c r="A36" s="3"/>
      <c r="Q36" s="3"/>
      <c r="V36" s="1"/>
      <c r="Z36" s="1"/>
    </row>
    <row r="37" spans="1:26" x14ac:dyDescent="0.2">
      <c r="A37" s="3"/>
      <c r="Q37" s="3"/>
      <c r="V37" s="1"/>
      <c r="Z37" s="1"/>
    </row>
    <row r="38" spans="1:26" x14ac:dyDescent="0.2">
      <c r="A38" s="3"/>
      <c r="Q38" s="3"/>
      <c r="V38" s="1"/>
      <c r="Z38" s="1"/>
    </row>
    <row r="39" spans="1:26" x14ac:dyDescent="0.2">
      <c r="A39" s="3"/>
      <c r="Q39" s="3"/>
      <c r="V39" s="1"/>
      <c r="Z39" s="1"/>
    </row>
    <row r="40" spans="1:26" x14ac:dyDescent="0.2">
      <c r="A40" s="3"/>
      <c r="Q40" s="3"/>
      <c r="V40" s="1"/>
      <c r="Z40" s="1"/>
    </row>
    <row r="41" spans="1:26" x14ac:dyDescent="0.2">
      <c r="A41" s="3"/>
      <c r="Q41" s="3"/>
      <c r="V41" s="1"/>
      <c r="Z41" s="1"/>
    </row>
    <row r="42" spans="1:26" x14ac:dyDescent="0.2">
      <c r="A42" s="3"/>
      <c r="Q42" s="3"/>
      <c r="V42" s="1"/>
      <c r="Z42" s="1"/>
    </row>
    <row r="43" spans="1:26" x14ac:dyDescent="0.2">
      <c r="A43" s="3"/>
      <c r="Q43" s="3"/>
      <c r="T43" s="5"/>
      <c r="V43" s="1"/>
      <c r="Z43" s="1"/>
    </row>
    <row r="44" spans="1:26" x14ac:dyDescent="0.2">
      <c r="A44" s="3"/>
      <c r="Q44" s="3"/>
      <c r="V44" s="1"/>
      <c r="Z44" s="1"/>
    </row>
    <row r="45" spans="1:26" x14ac:dyDescent="0.2">
      <c r="A45" s="3"/>
      <c r="Q45" s="3"/>
      <c r="T45" s="5"/>
      <c r="V45" s="1"/>
      <c r="Z45" s="1"/>
    </row>
    <row r="46" spans="1:26" x14ac:dyDescent="0.2">
      <c r="A46" s="3"/>
      <c r="Q46" s="3"/>
      <c r="T46" s="5"/>
      <c r="V46" s="1"/>
      <c r="Z46" s="1"/>
    </row>
    <row r="47" spans="1:26" x14ac:dyDescent="0.2">
      <c r="A47" s="3"/>
    </row>
    <row r="48" spans="1:26" x14ac:dyDescent="0.2">
      <c r="A48" s="3"/>
    </row>
    <row r="49" spans="1:1" x14ac:dyDescent="0.2">
      <c r="A49" s="3"/>
    </row>
    <row r="50" spans="1:1" x14ac:dyDescent="0.2">
      <c r="A50" s="3"/>
    </row>
    <row r="51" spans="1:1" x14ac:dyDescent="0.2">
      <c r="A51" s="3"/>
    </row>
    <row r="52" spans="1:1" x14ac:dyDescent="0.2">
      <c r="A52" s="3"/>
    </row>
    <row r="53" spans="1:1" x14ac:dyDescent="0.2">
      <c r="A53" s="3"/>
    </row>
    <row r="54" spans="1:1" x14ac:dyDescent="0.2">
      <c r="A54" s="3"/>
    </row>
    <row r="55" spans="1:1" x14ac:dyDescent="0.2">
      <c r="A55" s="3"/>
    </row>
    <row r="56" spans="1:1" x14ac:dyDescent="0.2">
      <c r="A56" s="3"/>
    </row>
    <row r="57" spans="1:1" x14ac:dyDescent="0.2">
      <c r="A57" s="3"/>
    </row>
    <row r="58" spans="1:1" x14ac:dyDescent="0.2">
      <c r="A58" s="3"/>
    </row>
  </sheetData>
  <phoneticPr fontId="1" type="noConversion"/>
  <pageMargins left="0.75" right="0.75" top="1" bottom="1" header="0.5" footer="0.5"/>
  <pageSetup paperSize="9" orientation="portrait" horizontalDpi="12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F4962-E7E5-4964-9A19-F248CA18A418}">
  <sheetPr codeName="Sheet2"/>
  <dimension ref="A1:L14"/>
  <sheetViews>
    <sheetView zoomScaleNormal="100" workbookViewId="0">
      <selection activeCell="E3" sqref="E3"/>
    </sheetView>
  </sheetViews>
  <sheetFormatPr defaultRowHeight="12.75" x14ac:dyDescent="0.2"/>
  <cols>
    <col min="1" max="1" width="19.28515625" customWidth="1"/>
    <col min="2" max="2" width="10.140625" bestFit="1" customWidth="1"/>
    <col min="5" max="5" width="16.85546875" customWidth="1"/>
    <col min="6" max="6" width="11.28515625" bestFit="1" customWidth="1"/>
    <col min="7" max="7" width="13.42578125" bestFit="1" customWidth="1"/>
  </cols>
  <sheetData>
    <row r="1" spans="1:12" x14ac:dyDescent="0.2">
      <c r="E1" t="s">
        <v>39</v>
      </c>
      <c r="F1" t="s">
        <v>36</v>
      </c>
    </row>
    <row r="2" spans="1:12" x14ac:dyDescent="0.2">
      <c r="E2" s="6">
        <f>data!$F$2</f>
        <v>1502370622</v>
      </c>
      <c r="F2">
        <f>_xll.RtGet("IDN","STISEK3MDFI=","TRDPRC_1")/100</f>
        <v>2.3210000000000001E-2</v>
      </c>
    </row>
    <row r="4" spans="1:12" x14ac:dyDescent="0.2">
      <c r="A4" t="s">
        <v>4</v>
      </c>
      <c r="B4" t="s">
        <v>3</v>
      </c>
      <c r="C4" t="s">
        <v>56</v>
      </c>
      <c r="D4" t="s">
        <v>40</v>
      </c>
      <c r="E4" t="s">
        <v>14</v>
      </c>
      <c r="F4" t="s">
        <v>27</v>
      </c>
    </row>
    <row r="5" spans="1:12" x14ac:dyDescent="0.2">
      <c r="A5" t="str">
        <f>data!$A$5</f>
        <v>SEK=</v>
      </c>
      <c r="B5">
        <f>data!$B$5</f>
        <v>1500040097</v>
      </c>
      <c r="C5" s="7">
        <f>data!$C$5</f>
        <v>2.1000000000000001E-2</v>
      </c>
      <c r="D5">
        <f>data!$D$5</f>
        <v>1</v>
      </c>
      <c r="E5">
        <f>data!$E$5</f>
        <v>1500040097</v>
      </c>
      <c r="F5" s="4">
        <f>data!$E$5/data!$F$2</f>
        <v>0.99844876825606621</v>
      </c>
    </row>
    <row r="7" spans="1:12" x14ac:dyDescent="0.2">
      <c r="A7" t="s">
        <v>25</v>
      </c>
      <c r="B7" t="s">
        <v>3</v>
      </c>
      <c r="C7" t="s">
        <v>15</v>
      </c>
      <c r="D7" t="s">
        <v>40</v>
      </c>
      <c r="E7" t="s">
        <v>14</v>
      </c>
      <c r="F7" t="s">
        <v>27</v>
      </c>
      <c r="G7" t="s">
        <v>28</v>
      </c>
      <c r="H7" t="s">
        <v>22</v>
      </c>
      <c r="I7" t="s">
        <v>23</v>
      </c>
      <c r="J7" t="s">
        <v>24</v>
      </c>
      <c r="K7">
        <f>data!$K$8</f>
        <v>0</v>
      </c>
      <c r="L7">
        <f>data!$L$8</f>
        <v>0</v>
      </c>
    </row>
    <row r="8" spans="1:12" x14ac:dyDescent="0.2">
      <c r="A8" t="str">
        <f>data!$A$9</f>
        <v>.OMXS30</v>
      </c>
      <c r="B8">
        <f>data!$B$9</f>
        <v>0</v>
      </c>
      <c r="C8">
        <f>data!$C$9</f>
        <v>2165.8249999999998</v>
      </c>
      <c r="D8">
        <f>data!$D$9</f>
        <v>1</v>
      </c>
      <c r="E8">
        <f>data!$E$9</f>
        <v>0</v>
      </c>
      <c r="F8" s="4">
        <f>data!$E$9/data!$F$2</f>
        <v>0</v>
      </c>
      <c r="H8">
        <f>data!$F$9</f>
        <v>0</v>
      </c>
      <c r="I8">
        <f>data!$G$9</f>
        <v>0</v>
      </c>
      <c r="J8">
        <f>data!$J$9</f>
        <v>110899508</v>
      </c>
      <c r="K8">
        <f>data!$K$9</f>
        <v>0</v>
      </c>
      <c r="L8">
        <f>data!$L$9</f>
        <v>0</v>
      </c>
    </row>
    <row r="9" spans="1:12" x14ac:dyDescent="0.2">
      <c r="A9" t="str">
        <f>data!$A$10</f>
        <v>ABB.ST</v>
      </c>
      <c r="B9">
        <f>data!$B$10</f>
        <v>1500</v>
      </c>
      <c r="C9">
        <f>data!$C$10</f>
        <v>467.54999999999995</v>
      </c>
      <c r="D9">
        <f>data!$D$10</f>
        <v>1</v>
      </c>
      <c r="E9">
        <f>data!$E$10</f>
        <v>701324.99999999988</v>
      </c>
      <c r="F9" s="4">
        <f>data!$E$10/data!$F$2</f>
        <v>4.6681224308444969E-4</v>
      </c>
      <c r="H9">
        <f>data!$F$10</f>
        <v>467.4</v>
      </c>
      <c r="I9">
        <f>data!$G$10</f>
        <v>467.7</v>
      </c>
      <c r="J9">
        <f>data!$J$10</f>
        <v>981044</v>
      </c>
      <c r="K9">
        <f>data!$K$10</f>
        <v>0</v>
      </c>
      <c r="L9">
        <f>data!$L$10</f>
        <v>0</v>
      </c>
    </row>
    <row r="10" spans="1:12" x14ac:dyDescent="0.2">
      <c r="A10" t="str">
        <f>data!$A$11</f>
        <v>AZN.ST</v>
      </c>
      <c r="B10">
        <f>data!$B$11</f>
        <v>300</v>
      </c>
      <c r="C10">
        <f>data!$C$11</f>
        <v>1243.5</v>
      </c>
      <c r="D10">
        <f>data!$D$11</f>
        <v>1</v>
      </c>
      <c r="E10">
        <f>data!$E$11</f>
        <v>373050</v>
      </c>
      <c r="F10" s="4">
        <f>data!$E$11/data!$F$2</f>
        <v>2.4830757107283211E-4</v>
      </c>
      <c r="H10">
        <f>data!$F$11</f>
        <v>1243</v>
      </c>
      <c r="I10">
        <f>data!$G$11</f>
        <v>1244</v>
      </c>
      <c r="J10">
        <f>data!$J$11</f>
        <v>617133</v>
      </c>
      <c r="K10">
        <f>data!$K$11</f>
        <v>0</v>
      </c>
      <c r="L10">
        <f>data!$L$11</f>
        <v>0</v>
      </c>
    </row>
    <row r="11" spans="1:12" x14ac:dyDescent="0.2">
      <c r="A11" t="str">
        <f>data!$A$12</f>
        <v>ERICb.ST</v>
      </c>
      <c r="B11">
        <f>data!$B$12</f>
        <v>12000</v>
      </c>
      <c r="C11">
        <f>data!$C$12</f>
        <v>67.240000000000009</v>
      </c>
      <c r="D11">
        <f>data!$D$12</f>
        <v>1</v>
      </c>
      <c r="E11">
        <f>data!$E$12</f>
        <v>806880.00000000012</v>
      </c>
      <c r="F11" s="4">
        <f>data!$E$12/data!$F$2</f>
        <v>5.3707120479090415E-4</v>
      </c>
      <c r="H11">
        <f>data!$F$12</f>
        <v>67.22</v>
      </c>
      <c r="I11">
        <f>data!$G$12</f>
        <v>67.260000000000005</v>
      </c>
      <c r="J11">
        <f>data!$J$12</f>
        <v>3396430</v>
      </c>
      <c r="K11">
        <f>data!$K$12</f>
        <v>0</v>
      </c>
      <c r="L11">
        <f>data!$L$12</f>
        <v>0</v>
      </c>
    </row>
    <row r="12" spans="1:12" x14ac:dyDescent="0.2">
      <c r="A12" t="str">
        <f>data!$A$13</f>
        <v>SHBa.ST</v>
      </c>
      <c r="B12">
        <f>data!$B$13</f>
        <v>1000</v>
      </c>
      <c r="C12">
        <f>data!$C$13</f>
        <v>103.1</v>
      </c>
      <c r="D12">
        <f>data!$D$13</f>
        <v>1</v>
      </c>
      <c r="E12">
        <f>data!$E$13</f>
        <v>103100</v>
      </c>
      <c r="F12" s="4">
        <f>data!$E$13/data!$F$2</f>
        <v>6.8624877570322995E-5</v>
      </c>
      <c r="H12">
        <f>data!$F$13</f>
        <v>103.05</v>
      </c>
      <c r="I12">
        <f>data!$G$13</f>
        <v>103.15</v>
      </c>
      <c r="J12">
        <f>data!$J$13</f>
        <v>7483006</v>
      </c>
      <c r="K12">
        <f>data!$K$13</f>
        <v>0</v>
      </c>
      <c r="L12">
        <f>data!$L$13</f>
        <v>0</v>
      </c>
    </row>
    <row r="13" spans="1:12" x14ac:dyDescent="0.2">
      <c r="A13" t="str">
        <f>data!$A$14</f>
        <v>SKAb.ST</v>
      </c>
      <c r="B13">
        <f>data!$B$14</f>
        <v>1000</v>
      </c>
      <c r="C13">
        <f>data!$C$14</f>
        <v>185.10000000000002</v>
      </c>
      <c r="D13">
        <f>data!$D$14</f>
        <v>1</v>
      </c>
      <c r="E13">
        <f>data!$E$14</f>
        <v>185100.00000000003</v>
      </c>
      <c r="F13" s="4">
        <f>data!$E$14/data!$F$2</f>
        <v>1.2320528456126855E-4</v>
      </c>
      <c r="H13">
        <f>data!$F$14</f>
        <v>185.05</v>
      </c>
      <c r="I13">
        <f>data!$G$14</f>
        <v>185.15</v>
      </c>
      <c r="J13">
        <f>data!$J$14</f>
        <v>569586</v>
      </c>
      <c r="K13">
        <f>data!$K$14</f>
        <v>0</v>
      </c>
      <c r="L13">
        <f>data!$L$14</f>
        <v>0</v>
      </c>
    </row>
    <row r="14" spans="1:12" x14ac:dyDescent="0.2">
      <c r="A14" t="str">
        <f>data!$A$15</f>
        <v>VOLVb.ST</v>
      </c>
      <c r="B14">
        <f>data!$B$15</f>
        <v>700</v>
      </c>
      <c r="C14">
        <f>data!$C$15</f>
        <v>230.1</v>
      </c>
      <c r="D14">
        <f>data!$D$15</f>
        <v>1</v>
      </c>
      <c r="E14">
        <f>data!$E$15</f>
        <v>161070</v>
      </c>
      <c r="F14" s="4">
        <f>data!$E$15/data!$F$2</f>
        <v>1.0721056285404388E-4</v>
      </c>
      <c r="H14">
        <f>data!$F$15</f>
        <v>230</v>
      </c>
      <c r="I14">
        <f>data!$G$15</f>
        <v>230.2</v>
      </c>
      <c r="J14">
        <f>data!$J$15</f>
        <v>4124829</v>
      </c>
      <c r="K14">
        <f>data!$K$15</f>
        <v>0</v>
      </c>
      <c r="L14">
        <f>data!$L$15</f>
        <v>0</v>
      </c>
    </row>
  </sheetData>
  <phoneticPr fontId="1" type="noConversion"/>
  <pageMargins left="0.75" right="0.75" top="1" bottom="1" header="0.5" footer="0.5"/>
  <pageSetup paperSize="9" orientation="portrait" horizontalDpi="1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8" r:id="rId4" name="Button 24">
              <controlPr defaultSize="0" print="0" autoFill="0" autoPict="0" macro="[0]!buildPortfolio" altText="Update portfolio">
                <anchor moveWithCells="1" sizeWithCells="1">
                  <from>
                    <xdr:col>8</xdr:col>
                    <xdr:colOff>0</xdr:colOff>
                    <xdr:row>0</xdr:row>
                    <xdr:rowOff>9525</xdr:rowOff>
                  </from>
                  <to>
                    <xdr:col>10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5" name="Button 25">
              <controlPr defaultSize="0" print="0" autoFill="0" autoPict="0" macro="[0]!calcStat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6" name="Button 26">
              <controlPr defaultSize="0" print="0" autoFill="0" autoPict="0" macro="[0]!optimize">
                <anchor moveWithCells="1" siz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08710E-A58D-4AD9-8821-AF14F0F89CD6}">
  <sheetPr codeName="Sheet8"/>
  <dimension ref="A1:M18"/>
  <sheetViews>
    <sheetView workbookViewId="0">
      <selection activeCell="G5" sqref="G5"/>
    </sheetView>
  </sheetViews>
  <sheetFormatPr defaultRowHeight="12.75" x14ac:dyDescent="0.2"/>
  <cols>
    <col min="1" max="1" width="14.7109375" bestFit="1" customWidth="1"/>
    <col min="2" max="2" width="11.7109375" bestFit="1" customWidth="1"/>
    <col min="4" max="4" width="8.42578125" customWidth="1"/>
    <col min="5" max="5" width="12.28515625" customWidth="1"/>
    <col min="6" max="6" width="10.140625" bestFit="1" customWidth="1"/>
    <col min="8" max="8" width="13.7109375" customWidth="1"/>
  </cols>
  <sheetData>
    <row r="1" spans="1:13" x14ac:dyDescent="0.2">
      <c r="A1" t="s">
        <v>29</v>
      </c>
      <c r="F1" t="s">
        <v>39</v>
      </c>
      <c r="G1" t="s">
        <v>36</v>
      </c>
    </row>
    <row r="2" spans="1:13" x14ac:dyDescent="0.2">
      <c r="F2">
        <f>SUM(E:E)</f>
        <v>1502370622</v>
      </c>
      <c r="G2">
        <f>_xll.RtGet("IDN","STISEK3MDFI=","TRDPRC_1")/100</f>
        <v>2.3210000000000001E-2</v>
      </c>
    </row>
    <row r="4" spans="1:13" x14ac:dyDescent="0.2">
      <c r="A4" t="s">
        <v>32</v>
      </c>
      <c r="B4" t="s">
        <v>4</v>
      </c>
      <c r="C4" t="s">
        <v>54</v>
      </c>
      <c r="D4" t="s">
        <v>40</v>
      </c>
      <c r="E4" t="s">
        <v>14</v>
      </c>
      <c r="F4" t="s">
        <v>41</v>
      </c>
      <c r="G4" t="s">
        <v>54</v>
      </c>
      <c r="H4" t="s">
        <v>60</v>
      </c>
      <c r="I4" t="s">
        <v>61</v>
      </c>
      <c r="J4" t="s">
        <v>46</v>
      </c>
      <c r="K4" t="s">
        <v>47</v>
      </c>
    </row>
    <row r="5" spans="1:13" x14ac:dyDescent="0.2">
      <c r="A5" t="s">
        <v>38</v>
      </c>
      <c r="B5">
        <v>1500040097</v>
      </c>
      <c r="C5">
        <f>$H5/100</f>
        <v>2.1000000000000001E-2</v>
      </c>
      <c r="D5">
        <v>1</v>
      </c>
      <c r="E5">
        <f>B5*D5</f>
        <v>1500040097</v>
      </c>
      <c r="F5">
        <f>J5</f>
        <v>10.017899999999999</v>
      </c>
      <c r="G5" t="str">
        <f>LEFT($A5,3)&amp; "OND="</f>
        <v>SEKOND=</v>
      </c>
      <c r="H5">
        <f>_xll.RtGet($A$1,G5,"BID")</f>
        <v>2.1</v>
      </c>
      <c r="I5">
        <f>_xll.RtGet($A$1,G5,"ASK")</f>
        <v>2.23</v>
      </c>
      <c r="J5">
        <f>_xll.RtGet($A$1,$A5,J$4)</f>
        <v>10.017899999999999</v>
      </c>
      <c r="K5">
        <f>_xll.RtGet($A$1,$A5,K$4)</f>
        <v>10.030900000000001</v>
      </c>
    </row>
    <row r="7" spans="1:13" x14ac:dyDescent="0.2">
      <c r="K7" t="s">
        <v>30</v>
      </c>
      <c r="L7" t="s">
        <v>31</v>
      </c>
      <c r="M7" t="e">
        <f ca="1">RData($A$9:$A$15,K7:L7,,,"CH:Fd",K8)</f>
        <v>#NAME?</v>
      </c>
    </row>
    <row r="8" spans="1:13" x14ac:dyDescent="0.2">
      <c r="A8" t="s">
        <v>25</v>
      </c>
      <c r="B8" t="s">
        <v>3</v>
      </c>
      <c r="C8" t="s">
        <v>15</v>
      </c>
      <c r="D8" t="s">
        <v>40</v>
      </c>
      <c r="E8" t="s">
        <v>14</v>
      </c>
      <c r="F8" t="s">
        <v>22</v>
      </c>
      <c r="G8" t="s">
        <v>23</v>
      </c>
      <c r="H8" t="s">
        <v>93</v>
      </c>
      <c r="I8" t="s">
        <v>89</v>
      </c>
      <c r="J8" t="s">
        <v>24</v>
      </c>
    </row>
    <row r="9" spans="1:13" x14ac:dyDescent="0.2">
      <c r="A9" t="s">
        <v>74</v>
      </c>
      <c r="B9">
        <v>0</v>
      </c>
      <c r="C9">
        <f>IF(AND($F$9&lt;&gt;0,$G$9&lt;&gt;0),($F$9+$G$9)/2,IF($H$9&lt;&gt; 0,$H$9,$I$9))</f>
        <v>2165.8249999999998</v>
      </c>
      <c r="D9">
        <f t="shared" ref="D9:D15" si="0">$D$5</f>
        <v>1</v>
      </c>
      <c r="E9">
        <f t="shared" ref="E9:E15" si="1">B9*C9*D9</f>
        <v>0</v>
      </c>
      <c r="F9">
        <f>_xll.RtGet($A$1,$A9,F$8)</f>
        <v>0</v>
      </c>
      <c r="G9">
        <f>_xll.RtGet($A$1,$A9,G$8)</f>
        <v>0</v>
      </c>
      <c r="H9">
        <f>_xll.RtGet($A$1,$A9,H$8)</f>
        <v>2165.8249999999998</v>
      </c>
      <c r="I9">
        <f>_xll.RtGet($A$1,$A9,I$8)</f>
        <v>2237.2550000000001</v>
      </c>
      <c r="J9">
        <f>_xll.RtGet($A$1,$A9,J$8)</f>
        <v>110899508</v>
      </c>
    </row>
    <row r="10" spans="1:13" x14ac:dyDescent="0.2">
      <c r="A10" t="s">
        <v>7</v>
      </c>
      <c r="B10">
        <v>1500</v>
      </c>
      <c r="C10">
        <f>IF(AND($F$10&lt;&gt;0,$G$10&lt;&gt;0),($F$10+$G$10)/2,IF($H$10&lt;&gt; 0,$H$10,$I$10))</f>
        <v>467.54999999999995</v>
      </c>
      <c r="D10">
        <f t="shared" si="0"/>
        <v>1</v>
      </c>
      <c r="E10">
        <f t="shared" si="1"/>
        <v>701324.99999999988</v>
      </c>
      <c r="F10">
        <f>_xll.RtGet($A$1,$A10,F$8)</f>
        <v>467.4</v>
      </c>
      <c r="G10">
        <f>_xll.RtGet($A$1,$A10,G$8)</f>
        <v>467.7</v>
      </c>
      <c r="H10">
        <f>_xll.RtGet($A$1,$A10,H$8)</f>
        <v>467.6</v>
      </c>
      <c r="I10">
        <f>_xll.RtGet($A$1,$A10,I$8)</f>
        <v>481.1</v>
      </c>
      <c r="J10">
        <f>_xll.RtGet($A$1,$A10,J$8)</f>
        <v>981044</v>
      </c>
    </row>
    <row r="11" spans="1:13" x14ac:dyDescent="0.2">
      <c r="A11" t="s">
        <v>8</v>
      </c>
      <c r="B11">
        <v>300</v>
      </c>
      <c r="C11">
        <f>IF(AND($F$11&lt;&gt;0,$G$11&lt;&gt;0),($F$11+$G$11)/2,IF($H$11&lt;&gt; 0,$H$11,$I$11))</f>
        <v>1243.5</v>
      </c>
      <c r="D11">
        <f t="shared" si="0"/>
        <v>1</v>
      </c>
      <c r="E11">
        <f t="shared" si="1"/>
        <v>373050</v>
      </c>
      <c r="F11">
        <f>_xll.RtGet($A$1,$A11,F$8)</f>
        <v>1243</v>
      </c>
      <c r="G11">
        <f>_xll.RtGet($A$1,$A11,G$8)</f>
        <v>1244</v>
      </c>
      <c r="H11">
        <f>_xll.RtGet($A$1,$A11,H$8)</f>
        <v>1243.5</v>
      </c>
      <c r="I11">
        <f>_xll.RtGet($A$1,$A11,I$8)</f>
        <v>1325</v>
      </c>
      <c r="J11">
        <f>_xll.RtGet($A$1,$A11,J$8)</f>
        <v>617133</v>
      </c>
    </row>
    <row r="12" spans="1:13" x14ac:dyDescent="0.2">
      <c r="A12" t="s">
        <v>6</v>
      </c>
      <c r="B12">
        <v>12000</v>
      </c>
      <c r="C12">
        <f>IF(AND($F$12&lt;&gt;0,$G$12&lt;&gt;0),($F$12+$G$12)/2,IF($H$12&lt;&gt; 0,$H$12,$I$12))</f>
        <v>67.240000000000009</v>
      </c>
      <c r="D12">
        <f t="shared" si="0"/>
        <v>1</v>
      </c>
      <c r="E12">
        <f t="shared" si="1"/>
        <v>806880.00000000012</v>
      </c>
      <c r="F12">
        <f>_xll.RtGet($A$1,$A12,F$8)</f>
        <v>67.22</v>
      </c>
      <c r="G12">
        <f>_xll.RtGet($A$1,$A12,G$8)</f>
        <v>67.260000000000005</v>
      </c>
      <c r="H12">
        <f>_xll.RtGet($A$1,$A12,H$8)</f>
        <v>67.260000000000005</v>
      </c>
      <c r="I12">
        <f>_xll.RtGet($A$1,$A12,I$8)</f>
        <v>70.66</v>
      </c>
      <c r="J12">
        <f>_xll.RtGet($A$1,$A12,J$8)</f>
        <v>3396430</v>
      </c>
    </row>
    <row r="13" spans="1:13" x14ac:dyDescent="0.2">
      <c r="A13" t="s">
        <v>9</v>
      </c>
      <c r="B13">
        <v>1000</v>
      </c>
      <c r="C13">
        <f>IF(AND($F$13&lt;&gt;0,$G$13&lt;&gt;0),($F$13+$G$13)/2,IF($H$13&lt;&gt; 0,$H$13,$I$13))</f>
        <v>103.1</v>
      </c>
      <c r="D13">
        <f t="shared" si="0"/>
        <v>1</v>
      </c>
      <c r="E13">
        <f t="shared" si="1"/>
        <v>103100</v>
      </c>
      <c r="F13">
        <f>_xll.RtGet($A$1,$A13,F$8)</f>
        <v>103.05</v>
      </c>
      <c r="G13">
        <f>_xll.RtGet($A$1,$A13,G$8)</f>
        <v>103.15</v>
      </c>
      <c r="H13">
        <f>_xll.RtGet($A$1,$A13,H$8)</f>
        <v>103.1</v>
      </c>
      <c r="I13">
        <f>_xll.RtGet($A$1,$A13,I$8)</f>
        <v>104.4</v>
      </c>
      <c r="J13">
        <f>_xll.RtGet($A$1,$A13,J$8)</f>
        <v>7483006</v>
      </c>
    </row>
    <row r="14" spans="1:13" x14ac:dyDescent="0.2">
      <c r="A14" t="s">
        <v>10</v>
      </c>
      <c r="B14">
        <v>1000</v>
      </c>
      <c r="C14">
        <f>IF(AND($F$14&lt;&gt;0,$G$14&lt;&gt;0),($F$14+$G$14)/2,IF($H$14&lt;&gt; 0,$H$14,$I$14))</f>
        <v>185.10000000000002</v>
      </c>
      <c r="D14">
        <f t="shared" si="0"/>
        <v>1</v>
      </c>
      <c r="E14">
        <f t="shared" si="1"/>
        <v>185100.00000000003</v>
      </c>
      <c r="F14">
        <f>_xll.RtGet($A$1,$A14,F$8)</f>
        <v>185.05</v>
      </c>
      <c r="G14">
        <f>_xll.RtGet($A$1,$A14,G$8)</f>
        <v>185.15</v>
      </c>
      <c r="H14">
        <f>_xll.RtGet($A$1,$A14,H$8)</f>
        <v>185.2</v>
      </c>
      <c r="I14">
        <f>_xll.RtGet($A$1,$A14,I$8)</f>
        <v>194.05</v>
      </c>
      <c r="J14">
        <f>_xll.RtGet($A$1,$A14,J$8)</f>
        <v>569586</v>
      </c>
    </row>
    <row r="15" spans="1:13" x14ac:dyDescent="0.2">
      <c r="A15" t="s">
        <v>11</v>
      </c>
      <c r="B15">
        <v>700</v>
      </c>
      <c r="C15">
        <f>IF(AND($F$15&lt;&gt;0,$G$15&lt;&gt;0),($F$15+$G$15)/2,IF($H$15&lt;&gt; 0,$H$15,$I$15))</f>
        <v>230.1</v>
      </c>
      <c r="D15">
        <f t="shared" si="0"/>
        <v>1</v>
      </c>
      <c r="E15">
        <f t="shared" si="1"/>
        <v>161070</v>
      </c>
      <c r="F15">
        <f>_xll.RtGet($A$1,$A15,F$8)</f>
        <v>230</v>
      </c>
      <c r="G15">
        <f>_xll.RtGet($A$1,$A15,G$8)</f>
        <v>230.2</v>
      </c>
      <c r="H15">
        <f>_xll.RtGet($A$1,$A15,H$8)</f>
        <v>230.1</v>
      </c>
      <c r="I15">
        <f>_xll.RtGet($A$1,$A15,I$8)</f>
        <v>236.8</v>
      </c>
      <c r="J15">
        <f>_xll.RtGet($A$1,$A15,J$8)</f>
        <v>4124829</v>
      </c>
    </row>
    <row r="18" spans="1:12" x14ac:dyDescent="0.2">
      <c r="A18" t="s">
        <v>58</v>
      </c>
      <c r="B18" t="s">
        <v>3</v>
      </c>
      <c r="C18" t="s">
        <v>15</v>
      </c>
      <c r="D18" t="s">
        <v>40</v>
      </c>
      <c r="E18" t="s">
        <v>14</v>
      </c>
      <c r="F18" t="s">
        <v>42</v>
      </c>
      <c r="G18" t="s">
        <v>43</v>
      </c>
      <c r="H18" t="s">
        <v>46</v>
      </c>
      <c r="I18" t="s">
        <v>47</v>
      </c>
      <c r="J18" t="s">
        <v>48</v>
      </c>
      <c r="K18" t="s">
        <v>44</v>
      </c>
      <c r="L18" t="s">
        <v>45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C7AC86-53AB-403B-B79C-C1A71422563F}">
  <sheetPr codeName="Sheet4"/>
  <dimension ref="A1:K502"/>
  <sheetViews>
    <sheetView workbookViewId="0">
      <selection activeCell="A3" sqref="A3"/>
    </sheetView>
  </sheetViews>
  <sheetFormatPr defaultRowHeight="12.75" x14ac:dyDescent="0.2"/>
  <cols>
    <col min="1" max="1" width="20" customWidth="1"/>
    <col min="2" max="2" width="10.140625" bestFit="1" customWidth="1"/>
    <col min="4" max="7" width="10.140625" bestFit="1" customWidth="1"/>
    <col min="9" max="9" width="10.140625" bestFit="1" customWidth="1"/>
    <col min="14" max="15" width="10.140625" bestFit="1" customWidth="1"/>
    <col min="18" max="18" width="10.140625" bestFit="1" customWidth="1"/>
    <col min="19" max="19" width="18" bestFit="1" customWidth="1"/>
    <col min="20" max="20" width="10.140625" bestFit="1" customWidth="1"/>
    <col min="21" max="21" width="10.42578125" bestFit="1" customWidth="1"/>
    <col min="22" max="22" width="10.140625" bestFit="1" customWidth="1"/>
    <col min="23" max="23" width="10.42578125" bestFit="1" customWidth="1"/>
    <col min="24" max="24" width="10.140625" bestFit="1" customWidth="1"/>
    <col min="25" max="25" width="10.42578125" bestFit="1" customWidth="1"/>
    <col min="26" max="26" width="10.140625" bestFit="1" customWidth="1"/>
    <col min="27" max="27" width="10.42578125" bestFit="1" customWidth="1"/>
    <col min="28" max="28" width="10.140625" bestFit="1" customWidth="1"/>
    <col min="29" max="29" width="10.42578125" bestFit="1" customWidth="1"/>
    <col min="30" max="30" width="10.140625" bestFit="1" customWidth="1"/>
    <col min="31" max="31" width="10.42578125" bestFit="1" customWidth="1"/>
    <col min="32" max="32" width="10.140625" bestFit="1" customWidth="1"/>
    <col min="39" max="39" width="10.140625" bestFit="1" customWidth="1"/>
    <col min="46" max="46" width="10.140625" bestFit="1" customWidth="1"/>
    <col min="53" max="53" width="10.140625" bestFit="1" customWidth="1"/>
  </cols>
  <sheetData>
    <row r="1" spans="1:11" x14ac:dyDescent="0.2">
      <c r="A1" t="str">
        <f>_xll.RHistory($C$1:$C$1,"MID_PRICE.TIMESTAMP;MID_PRICE.CLOSE","NBROWS:500 INTERVAL:1D",,"CH:Fd TSREPEAT:NO",$B$2)</f>
        <v>Updated at 15:11:09</v>
      </c>
      <c r="B1" t="s">
        <v>32</v>
      </c>
      <c r="C1" t="s">
        <v>38</v>
      </c>
      <c r="D1" t="s">
        <v>25</v>
      </c>
      <c r="E1" t="s">
        <v>74</v>
      </c>
      <c r="F1" t="s">
        <v>7</v>
      </c>
      <c r="G1" t="s">
        <v>8</v>
      </c>
      <c r="H1" t="s">
        <v>6</v>
      </c>
      <c r="I1" t="s">
        <v>9</v>
      </c>
      <c r="J1" t="s">
        <v>10</v>
      </c>
      <c r="K1" t="s">
        <v>11</v>
      </c>
    </row>
    <row r="2" spans="1:11" x14ac:dyDescent="0.2">
      <c r="A2" t="str">
        <f>_xll.RHistory($E$1:$K$1,"TRDPRC_1.TIMESTAMP;TRDPRC_1.CLOSE","NBROWS:500 INTERVAL:1D",,"CH:Fd TSREPEAT:NO",$D$2)</f>
        <v>Updated at 15:11:08</v>
      </c>
      <c r="B2" s="12" t="s">
        <v>99</v>
      </c>
      <c r="C2" s="12" t="s">
        <v>161</v>
      </c>
      <c r="D2" s="12" t="s">
        <v>99</v>
      </c>
      <c r="E2" s="12" t="s">
        <v>162</v>
      </c>
      <c r="F2" s="12" t="s">
        <v>162</v>
      </c>
      <c r="G2" s="12" t="s">
        <v>162</v>
      </c>
      <c r="H2" s="12" t="s">
        <v>162</v>
      </c>
      <c r="I2" s="12" t="s">
        <v>162</v>
      </c>
      <c r="J2" s="12" t="s">
        <v>162</v>
      </c>
      <c r="K2" s="12" t="s">
        <v>162</v>
      </c>
    </row>
    <row r="3" spans="1:11" x14ac:dyDescent="0.2">
      <c r="B3" s="3">
        <v>45756</v>
      </c>
      <c r="C3">
        <v>10.024799999999999</v>
      </c>
      <c r="D3" s="3">
        <v>45756</v>
      </c>
      <c r="E3">
        <v>2165.8249999999998</v>
      </c>
      <c r="F3">
        <v>467.6</v>
      </c>
      <c r="G3">
        <v>1243.5</v>
      </c>
      <c r="H3">
        <v>67.260000000000005</v>
      </c>
      <c r="I3">
        <v>103.1</v>
      </c>
      <c r="J3">
        <v>185.2</v>
      </c>
      <c r="K3">
        <v>230.1</v>
      </c>
    </row>
    <row r="4" spans="1:11" x14ac:dyDescent="0.2">
      <c r="B4" s="3">
        <v>45755</v>
      </c>
      <c r="C4">
        <v>10.022650000000001</v>
      </c>
      <c r="D4" s="3">
        <v>45755</v>
      </c>
      <c r="E4">
        <v>2237.2550000000001</v>
      </c>
      <c r="F4">
        <v>481.1</v>
      </c>
      <c r="G4">
        <v>1325</v>
      </c>
      <c r="H4">
        <v>70.66</v>
      </c>
      <c r="I4">
        <v>104.4</v>
      </c>
      <c r="J4">
        <v>194.05</v>
      </c>
      <c r="K4">
        <v>236.8</v>
      </c>
    </row>
    <row r="5" spans="1:11" x14ac:dyDescent="0.2">
      <c r="B5" s="3">
        <v>45754</v>
      </c>
      <c r="C5">
        <v>10.067399999999999</v>
      </c>
      <c r="D5" s="3">
        <v>45754</v>
      </c>
      <c r="E5">
        <v>2179.3910000000001</v>
      </c>
      <c r="F5">
        <v>459.7</v>
      </c>
      <c r="G5">
        <v>1289.5</v>
      </c>
      <c r="H5">
        <v>69.040000000000006</v>
      </c>
      <c r="I5">
        <v>101.5</v>
      </c>
      <c r="J5">
        <v>198</v>
      </c>
      <c r="K5">
        <v>234</v>
      </c>
    </row>
    <row r="6" spans="1:11" x14ac:dyDescent="0.2">
      <c r="B6" s="3">
        <v>45751</v>
      </c>
      <c r="C6">
        <v>9.9922500000000003</v>
      </c>
      <c r="D6" s="3">
        <v>45751</v>
      </c>
      <c r="E6">
        <v>2287.2359999999999</v>
      </c>
      <c r="F6">
        <v>479.2</v>
      </c>
      <c r="G6">
        <v>1403</v>
      </c>
      <c r="H6">
        <v>72.099999999999994</v>
      </c>
      <c r="I6">
        <v>103.45</v>
      </c>
      <c r="J6">
        <v>207.1</v>
      </c>
      <c r="K6">
        <v>245.1</v>
      </c>
    </row>
    <row r="7" spans="1:11" x14ac:dyDescent="0.2">
      <c r="B7" s="3">
        <v>45750</v>
      </c>
      <c r="C7">
        <v>9.7751000000000001</v>
      </c>
      <c r="D7" s="3">
        <v>45750</v>
      </c>
      <c r="E7">
        <v>2385.16</v>
      </c>
      <c r="F7">
        <v>486.7</v>
      </c>
      <c r="G7">
        <v>1456</v>
      </c>
      <c r="H7">
        <v>74.06</v>
      </c>
      <c r="I7">
        <v>112.55</v>
      </c>
      <c r="J7">
        <v>217.2</v>
      </c>
      <c r="K7">
        <v>255.8</v>
      </c>
    </row>
    <row r="8" spans="1:11" x14ac:dyDescent="0.2">
      <c r="B8" s="3">
        <v>45749</v>
      </c>
      <c r="C8">
        <v>9.9102999999999994</v>
      </c>
      <c r="D8" s="3">
        <v>45749</v>
      </c>
      <c r="E8">
        <v>2478.692</v>
      </c>
      <c r="F8">
        <v>513.79999999999995</v>
      </c>
      <c r="G8">
        <v>1444.5</v>
      </c>
      <c r="H8">
        <v>77.599999999999994</v>
      </c>
      <c r="I8">
        <v>113.75</v>
      </c>
      <c r="J8">
        <v>225.1</v>
      </c>
      <c r="K8">
        <v>292.10000000000002</v>
      </c>
    </row>
    <row r="9" spans="1:11" x14ac:dyDescent="0.2">
      <c r="B9" s="3">
        <v>45748</v>
      </c>
      <c r="C9">
        <v>10.01885</v>
      </c>
      <c r="D9" s="3">
        <v>45748</v>
      </c>
      <c r="E9">
        <v>2509.7750000000001</v>
      </c>
      <c r="F9">
        <v>520.4</v>
      </c>
      <c r="G9">
        <v>1470</v>
      </c>
      <c r="H9">
        <v>79.180000000000007</v>
      </c>
      <c r="I9">
        <v>113.7</v>
      </c>
      <c r="J9">
        <v>223.4</v>
      </c>
      <c r="K9">
        <v>291.89999999999998</v>
      </c>
    </row>
    <row r="10" spans="1:11" x14ac:dyDescent="0.2">
      <c r="B10" s="3">
        <v>45747</v>
      </c>
      <c r="C10">
        <v>10.041550000000001</v>
      </c>
      <c r="D10" s="3">
        <v>45747</v>
      </c>
      <c r="E10">
        <v>2494.058</v>
      </c>
      <c r="F10">
        <v>514.20000000000005</v>
      </c>
      <c r="G10">
        <v>1459</v>
      </c>
      <c r="H10">
        <v>77.680000000000007</v>
      </c>
      <c r="I10">
        <v>113.15</v>
      </c>
      <c r="J10">
        <v>220.9</v>
      </c>
      <c r="K10">
        <v>293.2</v>
      </c>
    </row>
    <row r="11" spans="1:11" x14ac:dyDescent="0.2">
      <c r="B11" s="3">
        <v>45744</v>
      </c>
      <c r="C11">
        <v>10.006500000000001</v>
      </c>
      <c r="D11" s="3">
        <v>45744</v>
      </c>
      <c r="E11">
        <v>2542.674</v>
      </c>
      <c r="F11">
        <v>535.20000000000005</v>
      </c>
      <c r="G11">
        <v>1480</v>
      </c>
      <c r="H11">
        <v>78.78</v>
      </c>
      <c r="I11">
        <v>114.75</v>
      </c>
      <c r="J11">
        <v>226.6</v>
      </c>
      <c r="K11">
        <v>301.5</v>
      </c>
    </row>
    <row r="12" spans="1:11" x14ac:dyDescent="0.2">
      <c r="B12" s="3">
        <v>45743</v>
      </c>
      <c r="C12">
        <v>10.0014</v>
      </c>
      <c r="D12" s="3">
        <v>45743</v>
      </c>
      <c r="E12">
        <v>2572.806</v>
      </c>
      <c r="F12">
        <v>548</v>
      </c>
      <c r="G12">
        <v>1458.5</v>
      </c>
      <c r="H12">
        <v>79.400000000000006</v>
      </c>
      <c r="I12">
        <v>115.55</v>
      </c>
      <c r="J12">
        <v>227.9</v>
      </c>
      <c r="K12">
        <v>306.60000000000002</v>
      </c>
    </row>
    <row r="13" spans="1:11" x14ac:dyDescent="0.2">
      <c r="B13" s="3">
        <v>45742</v>
      </c>
      <c r="C13">
        <v>10.0487</v>
      </c>
      <c r="D13" s="3">
        <v>45742</v>
      </c>
      <c r="E13">
        <v>2604.0309999999999</v>
      </c>
      <c r="F13">
        <v>553.20000000000005</v>
      </c>
      <c r="G13">
        <v>1457.5</v>
      </c>
      <c r="H13">
        <v>82.08</v>
      </c>
      <c r="I13">
        <v>132</v>
      </c>
      <c r="J13">
        <v>241.7</v>
      </c>
      <c r="K13">
        <v>309.5</v>
      </c>
    </row>
    <row r="14" spans="1:11" x14ac:dyDescent="0.2">
      <c r="B14" s="3">
        <v>45741</v>
      </c>
      <c r="C14">
        <v>10.0343</v>
      </c>
      <c r="D14" s="3">
        <v>45741</v>
      </c>
      <c r="E14">
        <v>2641.3760000000002</v>
      </c>
      <c r="F14">
        <v>566.79999999999995</v>
      </c>
      <c r="G14">
        <v>1477.5</v>
      </c>
      <c r="H14">
        <v>83.66</v>
      </c>
      <c r="I14">
        <v>133.69999999999999</v>
      </c>
      <c r="J14">
        <v>244.6</v>
      </c>
      <c r="K14">
        <v>310.5</v>
      </c>
    </row>
    <row r="15" spans="1:11" x14ac:dyDescent="0.2">
      <c r="B15" s="3">
        <v>45740</v>
      </c>
      <c r="C15">
        <v>10.100149999999999</v>
      </c>
      <c r="D15" s="3">
        <v>45740</v>
      </c>
      <c r="E15">
        <v>2630.7629999999999</v>
      </c>
      <c r="F15">
        <v>573.79999999999995</v>
      </c>
      <c r="G15">
        <v>1502.5</v>
      </c>
      <c r="H15">
        <v>83.8</v>
      </c>
      <c r="I15">
        <v>131.94999999999999</v>
      </c>
      <c r="J15">
        <v>244.1</v>
      </c>
      <c r="K15">
        <v>309.7</v>
      </c>
    </row>
    <row r="16" spans="1:11" x14ac:dyDescent="0.2">
      <c r="B16" s="3">
        <v>45737</v>
      </c>
      <c r="C16">
        <v>10.146599999999999</v>
      </c>
      <c r="D16" s="3">
        <v>45737</v>
      </c>
      <c r="E16">
        <v>2629.3580000000002</v>
      </c>
      <c r="F16">
        <v>573.79999999999995</v>
      </c>
      <c r="G16">
        <v>1525</v>
      </c>
      <c r="H16">
        <v>83.52</v>
      </c>
      <c r="I16">
        <v>131.94999999999999</v>
      </c>
      <c r="J16">
        <v>243.8</v>
      </c>
      <c r="K16">
        <v>308.89999999999998</v>
      </c>
    </row>
    <row r="17" spans="2:11" x14ac:dyDescent="0.2">
      <c r="B17" s="3">
        <v>45736</v>
      </c>
      <c r="C17">
        <v>10.128</v>
      </c>
      <c r="D17" s="3">
        <v>45736</v>
      </c>
      <c r="E17">
        <v>2668.7629999999999</v>
      </c>
      <c r="F17">
        <v>585.4</v>
      </c>
      <c r="G17">
        <v>1555</v>
      </c>
      <c r="H17">
        <v>84.32</v>
      </c>
      <c r="I17">
        <v>132.44999999999999</v>
      </c>
      <c r="J17">
        <v>246.2</v>
      </c>
      <c r="K17">
        <v>312.3</v>
      </c>
    </row>
    <row r="18" spans="2:11" x14ac:dyDescent="0.2">
      <c r="B18" s="3">
        <v>45735</v>
      </c>
      <c r="C18">
        <v>10.1045</v>
      </c>
      <c r="D18" s="3">
        <v>45735</v>
      </c>
      <c r="E18">
        <v>2677.9369999999999</v>
      </c>
      <c r="F18">
        <v>586.4</v>
      </c>
      <c r="G18">
        <v>1552</v>
      </c>
      <c r="H18">
        <v>83.02</v>
      </c>
      <c r="I18">
        <v>132.94999999999999</v>
      </c>
      <c r="J18">
        <v>244.2</v>
      </c>
      <c r="K18">
        <v>317.89999999999998</v>
      </c>
    </row>
    <row r="19" spans="2:11" x14ac:dyDescent="0.2">
      <c r="B19" s="3">
        <v>45734</v>
      </c>
      <c r="C19">
        <v>10.0419</v>
      </c>
      <c r="D19" s="3">
        <v>45734</v>
      </c>
      <c r="E19">
        <v>2685.5010000000002</v>
      </c>
      <c r="F19">
        <v>567.79999999999995</v>
      </c>
      <c r="G19">
        <v>1551.5</v>
      </c>
      <c r="H19">
        <v>83.46</v>
      </c>
      <c r="I19">
        <v>133.15</v>
      </c>
      <c r="J19">
        <v>243.5</v>
      </c>
      <c r="K19">
        <v>321.39999999999998</v>
      </c>
    </row>
    <row r="20" spans="2:11" x14ac:dyDescent="0.2">
      <c r="B20" s="3">
        <v>45733</v>
      </c>
      <c r="C20">
        <v>10.0883</v>
      </c>
      <c r="D20" s="3">
        <v>45733</v>
      </c>
      <c r="E20">
        <v>2685.19</v>
      </c>
      <c r="F20">
        <v>566</v>
      </c>
      <c r="G20">
        <v>1563</v>
      </c>
      <c r="H20">
        <v>83.22</v>
      </c>
      <c r="I20">
        <v>132.25</v>
      </c>
      <c r="J20">
        <v>244</v>
      </c>
      <c r="K20">
        <v>317.89999999999998</v>
      </c>
    </row>
    <row r="21" spans="2:11" x14ac:dyDescent="0.2">
      <c r="B21" s="3">
        <v>45730</v>
      </c>
      <c r="C21">
        <v>10.1363</v>
      </c>
      <c r="D21" s="3">
        <v>45730</v>
      </c>
      <c r="E21">
        <v>2682.3760000000002</v>
      </c>
      <c r="F21">
        <v>561.20000000000005</v>
      </c>
      <c r="G21">
        <v>1573.5</v>
      </c>
      <c r="H21">
        <v>83.36</v>
      </c>
      <c r="I21">
        <v>132.75</v>
      </c>
      <c r="J21">
        <v>245.4</v>
      </c>
      <c r="K21">
        <v>314.39999999999998</v>
      </c>
    </row>
    <row r="22" spans="2:11" x14ac:dyDescent="0.2">
      <c r="B22" s="3">
        <v>45729</v>
      </c>
      <c r="C22">
        <v>10.195499999999999</v>
      </c>
      <c r="D22" s="3">
        <v>45729</v>
      </c>
      <c r="E22">
        <v>2647.8409999999999</v>
      </c>
      <c r="F22">
        <v>555.4</v>
      </c>
      <c r="G22">
        <v>1569</v>
      </c>
      <c r="H22">
        <v>81.42</v>
      </c>
      <c r="I22">
        <v>131.05000000000001</v>
      </c>
      <c r="J22">
        <v>241.5</v>
      </c>
      <c r="K22">
        <v>308.8</v>
      </c>
    </row>
    <row r="23" spans="2:11" x14ac:dyDescent="0.2">
      <c r="B23" s="3">
        <v>45728</v>
      </c>
      <c r="C23">
        <v>10.09135</v>
      </c>
      <c r="D23" s="3">
        <v>45728</v>
      </c>
      <c r="E23">
        <v>2656.4050000000002</v>
      </c>
      <c r="F23">
        <v>562.4</v>
      </c>
      <c r="G23">
        <v>1520.5</v>
      </c>
      <c r="H23">
        <v>81.16</v>
      </c>
      <c r="I23">
        <v>131.35</v>
      </c>
      <c r="J23">
        <v>238.7</v>
      </c>
      <c r="K23">
        <v>315.7</v>
      </c>
    </row>
    <row r="24" spans="2:11" x14ac:dyDescent="0.2">
      <c r="B24" s="3">
        <v>45727</v>
      </c>
      <c r="C24">
        <v>10.014099999999999</v>
      </c>
      <c r="D24" s="3">
        <v>45727</v>
      </c>
      <c r="E24">
        <v>2652.672</v>
      </c>
      <c r="F24">
        <v>557.79999999999995</v>
      </c>
      <c r="G24">
        <v>1499.5</v>
      </c>
      <c r="H24">
        <v>83.12</v>
      </c>
      <c r="I24">
        <v>132.25</v>
      </c>
      <c r="J24">
        <v>238.4</v>
      </c>
      <c r="K24">
        <v>313.7</v>
      </c>
    </row>
    <row r="25" spans="2:11" x14ac:dyDescent="0.2">
      <c r="B25" s="3">
        <v>45726</v>
      </c>
      <c r="C25">
        <v>10.12445</v>
      </c>
      <c r="D25" s="3">
        <v>45726</v>
      </c>
      <c r="E25">
        <v>2710.5219999999999</v>
      </c>
      <c r="F25">
        <v>552.6</v>
      </c>
      <c r="G25">
        <v>1553.5</v>
      </c>
      <c r="H25">
        <v>86</v>
      </c>
      <c r="I25">
        <v>133.30000000000001</v>
      </c>
      <c r="J25">
        <v>241.5</v>
      </c>
      <c r="K25">
        <v>328.5</v>
      </c>
    </row>
    <row r="26" spans="2:11" x14ac:dyDescent="0.2">
      <c r="B26" s="3">
        <v>45723</v>
      </c>
      <c r="C26">
        <v>10.0863</v>
      </c>
      <c r="D26" s="3">
        <v>45723</v>
      </c>
      <c r="E26">
        <v>2729.2130000000002</v>
      </c>
      <c r="F26">
        <v>565.79999999999995</v>
      </c>
      <c r="G26">
        <v>1572</v>
      </c>
      <c r="H26">
        <v>86.82</v>
      </c>
      <c r="I26">
        <v>134.19999999999999</v>
      </c>
      <c r="J26">
        <v>251.8</v>
      </c>
      <c r="K26">
        <v>333.5</v>
      </c>
    </row>
    <row r="27" spans="2:11" x14ac:dyDescent="0.2">
      <c r="B27" s="3">
        <v>45722</v>
      </c>
      <c r="C27">
        <v>10.17985</v>
      </c>
      <c r="D27" s="3">
        <v>45722</v>
      </c>
      <c r="E27">
        <v>2733.0210000000002</v>
      </c>
      <c r="F27">
        <v>561.79999999999995</v>
      </c>
      <c r="G27">
        <v>1582.5</v>
      </c>
      <c r="H27">
        <v>87.2</v>
      </c>
      <c r="I27">
        <v>134.15</v>
      </c>
      <c r="J27">
        <v>251.2</v>
      </c>
      <c r="K27">
        <v>333.9</v>
      </c>
    </row>
    <row r="28" spans="2:11" x14ac:dyDescent="0.2">
      <c r="B28" s="3">
        <v>45721</v>
      </c>
      <c r="C28">
        <v>10.20345</v>
      </c>
      <c r="D28" s="3">
        <v>45721</v>
      </c>
      <c r="E28">
        <v>2723.991</v>
      </c>
      <c r="F28">
        <v>560.6</v>
      </c>
      <c r="G28">
        <v>1596</v>
      </c>
      <c r="H28">
        <v>87.14</v>
      </c>
      <c r="I28">
        <v>134.19999999999999</v>
      </c>
      <c r="J28">
        <v>252.4</v>
      </c>
      <c r="K28">
        <v>326.7</v>
      </c>
    </row>
    <row r="29" spans="2:11" x14ac:dyDescent="0.2">
      <c r="B29" s="3">
        <v>45720</v>
      </c>
      <c r="C29">
        <v>10.4198</v>
      </c>
      <c r="D29" s="3">
        <v>45720</v>
      </c>
      <c r="E29">
        <v>2656.2449999999999</v>
      </c>
      <c r="F29">
        <v>555</v>
      </c>
      <c r="G29">
        <v>1625</v>
      </c>
      <c r="H29">
        <v>85.4</v>
      </c>
      <c r="I29">
        <v>132.05000000000001</v>
      </c>
      <c r="J29">
        <v>245.3</v>
      </c>
      <c r="K29">
        <v>319.7</v>
      </c>
    </row>
    <row r="30" spans="2:11" x14ac:dyDescent="0.2">
      <c r="B30" s="3">
        <v>45719</v>
      </c>
      <c r="C30">
        <v>10.50515</v>
      </c>
      <c r="D30" s="3">
        <v>45719</v>
      </c>
      <c r="E30">
        <v>2744.7440000000001</v>
      </c>
      <c r="F30">
        <v>573.4</v>
      </c>
      <c r="G30">
        <v>1607</v>
      </c>
      <c r="H30">
        <v>89.22</v>
      </c>
      <c r="I30">
        <v>135.85</v>
      </c>
      <c r="J30">
        <v>254</v>
      </c>
      <c r="K30">
        <v>337.4</v>
      </c>
    </row>
    <row r="31" spans="2:11" x14ac:dyDescent="0.2">
      <c r="B31" s="3">
        <v>45716</v>
      </c>
      <c r="C31">
        <v>10.77065</v>
      </c>
      <c r="D31" s="3">
        <v>45716</v>
      </c>
      <c r="E31">
        <v>2724.6959999999999</v>
      </c>
      <c r="F31">
        <v>574.4</v>
      </c>
      <c r="G31">
        <v>1622</v>
      </c>
      <c r="H31">
        <v>88.16</v>
      </c>
      <c r="I31">
        <v>134.85</v>
      </c>
      <c r="J31">
        <v>254.8</v>
      </c>
      <c r="K31">
        <v>333</v>
      </c>
    </row>
    <row r="32" spans="2:11" x14ac:dyDescent="0.2">
      <c r="B32" s="3">
        <v>45715</v>
      </c>
      <c r="C32">
        <v>10.755000000000001</v>
      </c>
      <c r="D32" s="3">
        <v>45715</v>
      </c>
      <c r="E32">
        <v>2741.951</v>
      </c>
      <c r="F32">
        <v>585</v>
      </c>
      <c r="G32">
        <v>1630</v>
      </c>
      <c r="H32">
        <v>89.06</v>
      </c>
      <c r="I32">
        <v>136.15</v>
      </c>
      <c r="J32">
        <v>255.3</v>
      </c>
      <c r="K32">
        <v>339.1</v>
      </c>
    </row>
    <row r="33" spans="2:11" x14ac:dyDescent="0.2">
      <c r="B33" s="3">
        <v>45714</v>
      </c>
      <c r="C33">
        <v>10.64335</v>
      </c>
      <c r="D33" s="3">
        <v>45714</v>
      </c>
      <c r="E33">
        <v>2762.5039999999999</v>
      </c>
      <c r="F33">
        <v>588.79999999999995</v>
      </c>
      <c r="G33">
        <v>1609</v>
      </c>
      <c r="H33">
        <v>88.76</v>
      </c>
      <c r="I33">
        <v>136.75</v>
      </c>
      <c r="J33">
        <v>253.5</v>
      </c>
      <c r="K33">
        <v>342.3</v>
      </c>
    </row>
    <row r="34" spans="2:11" x14ac:dyDescent="0.2">
      <c r="B34" s="3">
        <v>45713</v>
      </c>
      <c r="C34">
        <v>10.602</v>
      </c>
      <c r="D34" s="3">
        <v>45713</v>
      </c>
      <c r="E34">
        <v>2724.7280000000001</v>
      </c>
      <c r="F34">
        <v>582.6</v>
      </c>
      <c r="G34">
        <v>1608.5</v>
      </c>
      <c r="H34">
        <v>87.54</v>
      </c>
      <c r="I34">
        <v>134.80000000000001</v>
      </c>
      <c r="J34">
        <v>251.4</v>
      </c>
      <c r="K34">
        <v>335.4</v>
      </c>
    </row>
    <row r="35" spans="2:11" x14ac:dyDescent="0.2">
      <c r="B35" s="3">
        <v>45712</v>
      </c>
      <c r="C35">
        <v>10.66465</v>
      </c>
      <c r="D35" s="3">
        <v>45712</v>
      </c>
      <c r="E35">
        <v>2713.6219999999998</v>
      </c>
      <c r="F35">
        <v>591.4</v>
      </c>
      <c r="G35">
        <v>1589</v>
      </c>
      <c r="H35">
        <v>85.06</v>
      </c>
      <c r="I35">
        <v>134.65</v>
      </c>
      <c r="J35">
        <v>249.1</v>
      </c>
      <c r="K35">
        <v>329.4</v>
      </c>
    </row>
    <row r="36" spans="2:11" x14ac:dyDescent="0.2">
      <c r="B36" s="3">
        <v>45709</v>
      </c>
      <c r="C36">
        <v>10.652200000000001</v>
      </c>
      <c r="D36" s="3">
        <v>45709</v>
      </c>
      <c r="E36">
        <v>2724.26</v>
      </c>
      <c r="F36">
        <v>618.4</v>
      </c>
      <c r="G36">
        <v>1579.5</v>
      </c>
      <c r="H36">
        <v>85.3</v>
      </c>
      <c r="I36">
        <v>134.44999999999999</v>
      </c>
      <c r="J36">
        <v>250.1</v>
      </c>
      <c r="K36">
        <v>328.1</v>
      </c>
    </row>
    <row r="37" spans="2:11" x14ac:dyDescent="0.2">
      <c r="B37" s="3">
        <v>45708</v>
      </c>
      <c r="C37">
        <v>10.63015</v>
      </c>
      <c r="D37" s="3">
        <v>45708</v>
      </c>
      <c r="E37">
        <v>2725.0889999999999</v>
      </c>
      <c r="F37">
        <v>620.4</v>
      </c>
      <c r="G37">
        <v>1568</v>
      </c>
      <c r="H37">
        <v>85.64</v>
      </c>
      <c r="I37">
        <v>131.55000000000001</v>
      </c>
      <c r="J37">
        <v>253.5</v>
      </c>
      <c r="K37">
        <v>329.7</v>
      </c>
    </row>
    <row r="38" spans="2:11" x14ac:dyDescent="0.2">
      <c r="B38" s="3">
        <v>45707</v>
      </c>
      <c r="C38">
        <v>10.72555</v>
      </c>
      <c r="D38" s="3">
        <v>45707</v>
      </c>
      <c r="E38">
        <v>2710.2330000000002</v>
      </c>
      <c r="F38">
        <v>618</v>
      </c>
      <c r="G38">
        <v>1587</v>
      </c>
      <c r="H38">
        <v>84.84</v>
      </c>
      <c r="I38">
        <v>131.1</v>
      </c>
      <c r="J38">
        <v>252</v>
      </c>
      <c r="K38">
        <v>328.8</v>
      </c>
    </row>
    <row r="39" spans="2:11" x14ac:dyDescent="0.2">
      <c r="B39" s="3">
        <v>45706</v>
      </c>
      <c r="C39">
        <v>10.721500000000001</v>
      </c>
      <c r="D39" s="3">
        <v>45706</v>
      </c>
      <c r="E39">
        <v>2757.2759999999998</v>
      </c>
      <c r="F39">
        <v>628.20000000000005</v>
      </c>
      <c r="G39">
        <v>1593.5</v>
      </c>
      <c r="H39">
        <v>85.5</v>
      </c>
      <c r="I39">
        <v>132.05000000000001</v>
      </c>
      <c r="J39">
        <v>256.7</v>
      </c>
      <c r="K39">
        <v>336</v>
      </c>
    </row>
    <row r="40" spans="2:11" x14ac:dyDescent="0.2">
      <c r="B40" s="3">
        <v>45705</v>
      </c>
      <c r="C40">
        <v>10.69595</v>
      </c>
      <c r="D40" s="3">
        <v>45705</v>
      </c>
      <c r="E40">
        <v>2743.261</v>
      </c>
      <c r="F40">
        <v>617.4</v>
      </c>
      <c r="G40">
        <v>1587</v>
      </c>
      <c r="H40">
        <v>85.12</v>
      </c>
      <c r="I40">
        <v>132.05000000000001</v>
      </c>
      <c r="J40">
        <v>257.7</v>
      </c>
      <c r="K40">
        <v>331.1</v>
      </c>
    </row>
    <row r="41" spans="2:11" x14ac:dyDescent="0.2">
      <c r="B41" s="3">
        <v>45702</v>
      </c>
      <c r="C41">
        <v>10.693099999999999</v>
      </c>
      <c r="D41" s="3">
        <v>45702</v>
      </c>
      <c r="E41">
        <v>2716.991</v>
      </c>
      <c r="F41">
        <v>608.6</v>
      </c>
      <c r="G41">
        <v>1583.5</v>
      </c>
      <c r="H41">
        <v>84.98</v>
      </c>
      <c r="I41">
        <v>130.05000000000001</v>
      </c>
      <c r="J41">
        <v>260.2</v>
      </c>
      <c r="K41">
        <v>327.10000000000002</v>
      </c>
    </row>
    <row r="42" spans="2:11" x14ac:dyDescent="0.2">
      <c r="B42" s="3">
        <v>45701</v>
      </c>
      <c r="C42">
        <v>10.73035</v>
      </c>
      <c r="D42" s="3">
        <v>45701</v>
      </c>
      <c r="E42">
        <v>2724.2489999999998</v>
      </c>
      <c r="F42">
        <v>611</v>
      </c>
      <c r="G42">
        <v>1621</v>
      </c>
      <c r="H42">
        <v>85.28</v>
      </c>
      <c r="I42">
        <v>129</v>
      </c>
      <c r="J42">
        <v>259.5</v>
      </c>
      <c r="K42">
        <v>325.5</v>
      </c>
    </row>
    <row r="43" spans="2:11" x14ac:dyDescent="0.2">
      <c r="B43" s="3">
        <v>45700</v>
      </c>
      <c r="C43">
        <v>10.888199999999999</v>
      </c>
      <c r="D43" s="3">
        <v>45700</v>
      </c>
      <c r="E43">
        <v>2678.9679999999998</v>
      </c>
      <c r="F43">
        <v>602.4</v>
      </c>
      <c r="G43">
        <v>1603</v>
      </c>
      <c r="H43">
        <v>85.08</v>
      </c>
      <c r="I43">
        <v>127.95</v>
      </c>
      <c r="J43">
        <v>257</v>
      </c>
      <c r="K43">
        <v>316.39999999999998</v>
      </c>
    </row>
    <row r="44" spans="2:11" x14ac:dyDescent="0.2">
      <c r="B44" s="3">
        <v>45699</v>
      </c>
      <c r="C44">
        <v>10.8598</v>
      </c>
      <c r="D44" s="3">
        <v>45699</v>
      </c>
      <c r="E44">
        <v>2666.87</v>
      </c>
      <c r="F44">
        <v>601.79999999999995</v>
      </c>
      <c r="G44">
        <v>1576.5</v>
      </c>
      <c r="H44">
        <v>84.56</v>
      </c>
      <c r="I44">
        <v>127.9</v>
      </c>
      <c r="J44">
        <v>257.7</v>
      </c>
      <c r="K44">
        <v>315.10000000000002</v>
      </c>
    </row>
    <row r="45" spans="2:11" x14ac:dyDescent="0.2">
      <c r="B45" s="3">
        <v>45698</v>
      </c>
      <c r="C45">
        <v>10.92435</v>
      </c>
      <c r="D45" s="3">
        <v>45698</v>
      </c>
      <c r="E45">
        <v>2658.2869999999998</v>
      </c>
      <c r="F45">
        <v>599.6</v>
      </c>
      <c r="G45">
        <v>1589.5</v>
      </c>
      <c r="H45">
        <v>83.84</v>
      </c>
      <c r="I45">
        <v>125.9</v>
      </c>
      <c r="J45">
        <v>258.8</v>
      </c>
      <c r="K45">
        <v>312.5</v>
      </c>
    </row>
    <row r="46" spans="2:11" x14ac:dyDescent="0.2">
      <c r="B46" s="3">
        <v>45695</v>
      </c>
      <c r="C46">
        <v>10.9411</v>
      </c>
      <c r="D46" s="3">
        <v>45695</v>
      </c>
      <c r="E46">
        <v>2639.7550000000001</v>
      </c>
      <c r="F46">
        <v>597</v>
      </c>
      <c r="G46">
        <v>1576.5</v>
      </c>
      <c r="H46">
        <v>83.24</v>
      </c>
      <c r="I46">
        <v>125.45</v>
      </c>
      <c r="J46">
        <v>255.4</v>
      </c>
      <c r="K46">
        <v>311.10000000000002</v>
      </c>
    </row>
    <row r="47" spans="2:11" x14ac:dyDescent="0.2">
      <c r="B47" s="3">
        <v>45694</v>
      </c>
      <c r="C47">
        <v>10.900650000000001</v>
      </c>
      <c r="D47" s="3">
        <v>45694</v>
      </c>
      <c r="E47">
        <v>2665.7449999999999</v>
      </c>
      <c r="F47">
        <v>596</v>
      </c>
      <c r="G47">
        <v>1612.5</v>
      </c>
      <c r="H47">
        <v>83.14</v>
      </c>
      <c r="I47">
        <v>124.8</v>
      </c>
      <c r="J47">
        <v>241</v>
      </c>
      <c r="K47">
        <v>310</v>
      </c>
    </row>
    <row r="48" spans="2:11" x14ac:dyDescent="0.2">
      <c r="B48" s="3">
        <v>45693</v>
      </c>
      <c r="C48">
        <v>10.90855</v>
      </c>
      <c r="D48" s="3">
        <v>45693</v>
      </c>
      <c r="E48">
        <v>2629.1089999999999</v>
      </c>
      <c r="F48">
        <v>591.4</v>
      </c>
      <c r="G48">
        <v>1524.5</v>
      </c>
      <c r="H48">
        <v>82.94</v>
      </c>
      <c r="I48">
        <v>123.9</v>
      </c>
      <c r="J48">
        <v>236.9</v>
      </c>
      <c r="K48">
        <v>305.2</v>
      </c>
    </row>
    <row r="49" spans="2:11" x14ac:dyDescent="0.2">
      <c r="B49" s="3">
        <v>45692</v>
      </c>
      <c r="C49">
        <v>10.970599999999999</v>
      </c>
      <c r="D49" s="3">
        <v>45692</v>
      </c>
      <c r="E49">
        <v>2638.4639999999999</v>
      </c>
      <c r="F49">
        <v>597.20000000000005</v>
      </c>
      <c r="G49">
        <v>1522</v>
      </c>
      <c r="H49">
        <v>83.22</v>
      </c>
      <c r="I49">
        <v>121.9</v>
      </c>
      <c r="J49">
        <v>233.8</v>
      </c>
      <c r="K49">
        <v>307.10000000000002</v>
      </c>
    </row>
    <row r="50" spans="2:11" x14ac:dyDescent="0.2">
      <c r="B50" s="3">
        <v>45691</v>
      </c>
      <c r="C50">
        <v>11.066050000000001</v>
      </c>
      <c r="D50" s="3">
        <v>45691</v>
      </c>
      <c r="E50">
        <v>2632.636</v>
      </c>
      <c r="F50">
        <v>596.6</v>
      </c>
      <c r="G50">
        <v>1566</v>
      </c>
      <c r="H50">
        <v>83.52</v>
      </c>
      <c r="I50">
        <v>121.6</v>
      </c>
      <c r="J50">
        <v>233.8</v>
      </c>
      <c r="K50">
        <v>307.5</v>
      </c>
    </row>
    <row r="51" spans="2:11" x14ac:dyDescent="0.2">
      <c r="B51" s="3">
        <v>45688</v>
      </c>
      <c r="C51">
        <v>11.09675</v>
      </c>
      <c r="D51" s="3">
        <v>45688</v>
      </c>
      <c r="E51">
        <v>2670.5360000000001</v>
      </c>
      <c r="F51">
        <v>607.20000000000005</v>
      </c>
      <c r="G51">
        <v>1566</v>
      </c>
      <c r="H51">
        <v>83.86</v>
      </c>
      <c r="I51">
        <v>122.8</v>
      </c>
      <c r="J51">
        <v>238</v>
      </c>
      <c r="K51">
        <v>306.7</v>
      </c>
    </row>
    <row r="52" spans="2:11" x14ac:dyDescent="0.2">
      <c r="B52" s="3">
        <v>45687</v>
      </c>
      <c r="C52">
        <v>11.055999999999999</v>
      </c>
      <c r="D52" s="3">
        <v>45687</v>
      </c>
      <c r="E52">
        <v>2662.3119999999999</v>
      </c>
      <c r="F52">
        <v>606.6</v>
      </c>
      <c r="G52">
        <v>1556</v>
      </c>
      <c r="H52">
        <v>85.34</v>
      </c>
      <c r="I52">
        <v>123.7</v>
      </c>
      <c r="J52">
        <v>237.9</v>
      </c>
      <c r="K52">
        <v>313.3</v>
      </c>
    </row>
    <row r="53" spans="2:11" x14ac:dyDescent="0.2">
      <c r="B53" s="3">
        <v>45686</v>
      </c>
      <c r="C53">
        <v>11.0008</v>
      </c>
      <c r="D53" s="3">
        <v>45686</v>
      </c>
      <c r="E53">
        <v>2657.328</v>
      </c>
      <c r="F53">
        <v>618.79999999999995</v>
      </c>
      <c r="G53">
        <v>1540.5</v>
      </c>
      <c r="H53">
        <v>84.48</v>
      </c>
      <c r="I53">
        <v>124.35</v>
      </c>
      <c r="J53">
        <v>236.3</v>
      </c>
      <c r="K53">
        <v>309.8</v>
      </c>
    </row>
    <row r="54" spans="2:11" x14ac:dyDescent="0.2">
      <c r="B54" s="3">
        <v>45685</v>
      </c>
      <c r="C54">
        <v>10.9985</v>
      </c>
      <c r="D54" s="3">
        <v>45685</v>
      </c>
      <c r="E54">
        <v>2635.63</v>
      </c>
      <c r="F54">
        <v>608.6</v>
      </c>
      <c r="G54">
        <v>1536</v>
      </c>
      <c r="H54">
        <v>85.12</v>
      </c>
      <c r="I54">
        <v>123.35</v>
      </c>
      <c r="J54">
        <v>231.8</v>
      </c>
      <c r="K54">
        <v>287.60000000000002</v>
      </c>
    </row>
    <row r="55" spans="2:11" x14ac:dyDescent="0.2">
      <c r="B55" s="3">
        <v>45684</v>
      </c>
      <c r="C55">
        <v>10.9323</v>
      </c>
      <c r="D55" s="3">
        <v>45684</v>
      </c>
      <c r="E55">
        <v>2646.922</v>
      </c>
      <c r="F55">
        <v>619</v>
      </c>
      <c r="G55">
        <v>1532.5</v>
      </c>
      <c r="H55">
        <v>86.22</v>
      </c>
      <c r="I55">
        <v>123.3</v>
      </c>
      <c r="J55">
        <v>234.7</v>
      </c>
      <c r="K55">
        <v>292</v>
      </c>
    </row>
    <row r="56" spans="2:11" x14ac:dyDescent="0.2">
      <c r="B56" s="3">
        <v>45681</v>
      </c>
      <c r="C56">
        <v>10.92615</v>
      </c>
      <c r="D56" s="3">
        <v>45681</v>
      </c>
      <c r="E56">
        <v>2669.7339999999999</v>
      </c>
      <c r="F56">
        <v>650.6</v>
      </c>
      <c r="G56">
        <v>1511.5</v>
      </c>
      <c r="H56">
        <v>85.2</v>
      </c>
      <c r="I56">
        <v>123.3</v>
      </c>
      <c r="J56">
        <v>244.7</v>
      </c>
      <c r="K56">
        <v>293.3</v>
      </c>
    </row>
    <row r="57" spans="2:11" x14ac:dyDescent="0.2">
      <c r="B57" s="3">
        <v>45680</v>
      </c>
      <c r="C57">
        <v>11.0131</v>
      </c>
      <c r="D57" s="3">
        <v>45680</v>
      </c>
      <c r="E57">
        <v>2672.6529999999998</v>
      </c>
      <c r="F57">
        <v>649.4</v>
      </c>
      <c r="G57">
        <v>1505.5</v>
      </c>
      <c r="H57">
        <v>97.62</v>
      </c>
      <c r="I57">
        <v>124.95</v>
      </c>
      <c r="J57">
        <v>244.7</v>
      </c>
      <c r="K57">
        <v>291</v>
      </c>
    </row>
    <row r="58" spans="2:11" x14ac:dyDescent="0.2">
      <c r="B58" s="3">
        <v>45679</v>
      </c>
      <c r="C58">
        <v>11.006349999999999</v>
      </c>
      <c r="D58" s="3">
        <v>45679</v>
      </c>
      <c r="E58">
        <v>2647.99</v>
      </c>
      <c r="F58">
        <v>650.20000000000005</v>
      </c>
      <c r="G58">
        <v>1499</v>
      </c>
      <c r="H58">
        <v>96.64</v>
      </c>
      <c r="I58">
        <v>121.8</v>
      </c>
      <c r="J58">
        <v>243</v>
      </c>
      <c r="K58">
        <v>287.7</v>
      </c>
    </row>
    <row r="59" spans="2:11" x14ac:dyDescent="0.2">
      <c r="B59" s="3">
        <v>45678</v>
      </c>
      <c r="C59">
        <v>10.980449999999999</v>
      </c>
      <c r="D59" s="3">
        <v>45678</v>
      </c>
      <c r="E59">
        <v>2638.4180000000001</v>
      </c>
      <c r="F59">
        <v>626</v>
      </c>
      <c r="G59">
        <v>1499</v>
      </c>
      <c r="H59">
        <v>95.56</v>
      </c>
      <c r="I59">
        <v>122.1</v>
      </c>
      <c r="J59">
        <v>238.7</v>
      </c>
      <c r="K59">
        <v>289.10000000000002</v>
      </c>
    </row>
    <row r="60" spans="2:11" x14ac:dyDescent="0.2">
      <c r="B60" s="3">
        <v>45677</v>
      </c>
      <c r="C60">
        <v>11.0213</v>
      </c>
      <c r="D60" s="3">
        <v>45677</v>
      </c>
      <c r="E60">
        <v>2616.6849999999999</v>
      </c>
      <c r="F60">
        <v>617</v>
      </c>
      <c r="G60">
        <v>1471.5</v>
      </c>
      <c r="H60">
        <v>95.08</v>
      </c>
      <c r="I60">
        <v>120.55</v>
      </c>
      <c r="J60">
        <v>233.7</v>
      </c>
      <c r="K60">
        <v>288.10000000000002</v>
      </c>
    </row>
    <row r="61" spans="2:11" x14ac:dyDescent="0.2">
      <c r="B61" s="3">
        <v>45674</v>
      </c>
      <c r="C61">
        <v>11.19575</v>
      </c>
      <c r="D61" s="3">
        <v>45674</v>
      </c>
      <c r="E61">
        <v>2617.4070000000002</v>
      </c>
      <c r="F61">
        <v>617.79999999999995</v>
      </c>
      <c r="G61">
        <v>1492</v>
      </c>
      <c r="H61">
        <v>95.3</v>
      </c>
      <c r="I61">
        <v>121.35</v>
      </c>
      <c r="J61">
        <v>234</v>
      </c>
      <c r="K61">
        <v>288</v>
      </c>
    </row>
    <row r="62" spans="2:11" x14ac:dyDescent="0.2">
      <c r="B62" s="3">
        <v>45673</v>
      </c>
      <c r="C62">
        <v>11.153600000000001</v>
      </c>
      <c r="D62" s="3">
        <v>45673</v>
      </c>
      <c r="E62">
        <v>2585.86</v>
      </c>
      <c r="F62">
        <v>606.6</v>
      </c>
      <c r="G62">
        <v>1480</v>
      </c>
      <c r="H62">
        <v>94.36</v>
      </c>
      <c r="I62">
        <v>120.35</v>
      </c>
      <c r="J62">
        <v>232.4</v>
      </c>
      <c r="K62">
        <v>282.2</v>
      </c>
    </row>
    <row r="63" spans="2:11" x14ac:dyDescent="0.2">
      <c r="B63" s="3">
        <v>45672</v>
      </c>
      <c r="C63">
        <v>11.1591</v>
      </c>
      <c r="D63" s="3">
        <v>45672</v>
      </c>
      <c r="E63">
        <v>2570.8319999999999</v>
      </c>
      <c r="F63">
        <v>606.20000000000005</v>
      </c>
      <c r="G63">
        <v>1451.5</v>
      </c>
      <c r="H63">
        <v>95.02</v>
      </c>
      <c r="I63">
        <v>120.7</v>
      </c>
      <c r="J63">
        <v>231.5</v>
      </c>
      <c r="K63">
        <v>283.39999999999998</v>
      </c>
    </row>
    <row r="64" spans="2:11" x14ac:dyDescent="0.2">
      <c r="B64" s="3">
        <v>45671</v>
      </c>
      <c r="C64">
        <v>11.1691</v>
      </c>
      <c r="D64" s="3">
        <v>45671</v>
      </c>
      <c r="E64">
        <v>2521.2199999999998</v>
      </c>
      <c r="F64">
        <v>597.79999999999995</v>
      </c>
      <c r="G64">
        <v>1454.5</v>
      </c>
      <c r="H64">
        <v>91.46</v>
      </c>
      <c r="I64">
        <v>119.55</v>
      </c>
      <c r="J64">
        <v>224.9</v>
      </c>
      <c r="K64">
        <v>277.39999999999998</v>
      </c>
    </row>
    <row r="65" spans="2:11" x14ac:dyDescent="0.2">
      <c r="B65" s="3">
        <v>45670</v>
      </c>
      <c r="C65">
        <v>11.24775</v>
      </c>
      <c r="D65" s="3">
        <v>45670</v>
      </c>
      <c r="E65">
        <v>2514.8130000000001</v>
      </c>
      <c r="F65">
        <v>597</v>
      </c>
      <c r="G65">
        <v>1487</v>
      </c>
      <c r="H65">
        <v>89.66</v>
      </c>
      <c r="I65">
        <v>118.75</v>
      </c>
      <c r="J65">
        <v>225.1</v>
      </c>
      <c r="K65">
        <v>276.5</v>
      </c>
    </row>
    <row r="66" spans="2:11" x14ac:dyDescent="0.2">
      <c r="B66" s="3">
        <v>45667</v>
      </c>
      <c r="C66">
        <v>11.223000000000001</v>
      </c>
      <c r="D66" s="3">
        <v>45667</v>
      </c>
      <c r="E66">
        <v>2523.7260000000001</v>
      </c>
      <c r="F66">
        <v>602.6</v>
      </c>
      <c r="G66">
        <v>1508</v>
      </c>
      <c r="H66">
        <v>92.58</v>
      </c>
      <c r="I66">
        <v>118.05</v>
      </c>
      <c r="J66">
        <v>228.3</v>
      </c>
      <c r="K66">
        <v>279.2</v>
      </c>
    </row>
    <row r="67" spans="2:11" x14ac:dyDescent="0.2">
      <c r="B67" s="3">
        <v>45666</v>
      </c>
      <c r="C67">
        <v>11.1553</v>
      </c>
      <c r="D67" s="3">
        <v>45666</v>
      </c>
      <c r="E67">
        <v>2549.5790000000002</v>
      </c>
      <c r="F67">
        <v>610.6</v>
      </c>
      <c r="G67">
        <v>1508.5</v>
      </c>
      <c r="H67">
        <v>93.5</v>
      </c>
      <c r="I67">
        <v>117.85</v>
      </c>
      <c r="J67">
        <v>229</v>
      </c>
      <c r="K67">
        <v>286.39999999999998</v>
      </c>
    </row>
    <row r="68" spans="2:11" x14ac:dyDescent="0.2">
      <c r="B68" s="3">
        <v>45665</v>
      </c>
      <c r="C68">
        <v>11.150550000000001</v>
      </c>
      <c r="D68" s="3">
        <v>45665</v>
      </c>
      <c r="E68">
        <v>2541.2869999999998</v>
      </c>
      <c r="F68">
        <v>611</v>
      </c>
      <c r="G68">
        <v>1487</v>
      </c>
      <c r="H68">
        <v>92.02</v>
      </c>
      <c r="I68">
        <v>118.1</v>
      </c>
      <c r="J68">
        <v>229.6</v>
      </c>
      <c r="K68">
        <v>284.10000000000002</v>
      </c>
    </row>
    <row r="69" spans="2:11" x14ac:dyDescent="0.2">
      <c r="B69" s="3">
        <v>45664</v>
      </c>
      <c r="C69">
        <v>11.120799999999999</v>
      </c>
      <c r="D69" s="3">
        <v>45664</v>
      </c>
      <c r="E69">
        <v>2543.1509999999998</v>
      </c>
      <c r="F69">
        <v>603.6</v>
      </c>
      <c r="G69">
        <v>1482</v>
      </c>
      <c r="H69">
        <v>91.86</v>
      </c>
      <c r="I69">
        <v>117.75</v>
      </c>
      <c r="J69">
        <v>229.9</v>
      </c>
      <c r="K69">
        <v>285.10000000000002</v>
      </c>
    </row>
    <row r="70" spans="2:11" x14ac:dyDescent="0.2">
      <c r="B70" s="3">
        <v>45663</v>
      </c>
      <c r="C70">
        <v>11.04705</v>
      </c>
      <c r="D70" s="3">
        <v>45660</v>
      </c>
      <c r="E70">
        <v>2511.4160000000002</v>
      </c>
      <c r="F70">
        <v>600.4</v>
      </c>
      <c r="G70">
        <v>1475</v>
      </c>
      <c r="H70">
        <v>91</v>
      </c>
      <c r="I70">
        <v>116.75</v>
      </c>
      <c r="J70">
        <v>238.6</v>
      </c>
      <c r="K70">
        <v>268.7</v>
      </c>
    </row>
    <row r="71" spans="2:11" x14ac:dyDescent="0.2">
      <c r="B71" s="3">
        <v>45660</v>
      </c>
      <c r="C71">
        <v>11.1114</v>
      </c>
      <c r="D71" s="3">
        <v>45659</v>
      </c>
      <c r="E71">
        <v>2508.8290000000002</v>
      </c>
      <c r="F71">
        <v>593.20000000000005</v>
      </c>
      <c r="G71">
        <v>1475.5</v>
      </c>
      <c r="H71">
        <v>90.9</v>
      </c>
      <c r="I71">
        <v>116.1</v>
      </c>
      <c r="J71">
        <v>237.1</v>
      </c>
      <c r="K71">
        <v>269.8</v>
      </c>
    </row>
    <row r="72" spans="2:11" x14ac:dyDescent="0.2">
      <c r="B72" s="3">
        <v>45659</v>
      </c>
      <c r="C72">
        <v>11.162850000000001</v>
      </c>
      <c r="D72" s="3">
        <v>45656</v>
      </c>
      <c r="E72">
        <v>2483.123</v>
      </c>
      <c r="F72">
        <v>595.4</v>
      </c>
      <c r="G72">
        <v>1446.5</v>
      </c>
      <c r="H72">
        <v>89.88</v>
      </c>
      <c r="I72">
        <v>114.2</v>
      </c>
      <c r="J72">
        <v>232.7</v>
      </c>
      <c r="K72">
        <v>268.60000000000002</v>
      </c>
    </row>
    <row r="73" spans="2:11" x14ac:dyDescent="0.2">
      <c r="B73" s="3">
        <v>45658</v>
      </c>
      <c r="C73">
        <v>11.0649</v>
      </c>
      <c r="D73" s="3">
        <v>45653</v>
      </c>
      <c r="E73">
        <v>2490.1860000000001</v>
      </c>
      <c r="F73">
        <v>604.6</v>
      </c>
      <c r="G73">
        <v>1459</v>
      </c>
      <c r="H73">
        <v>89.8</v>
      </c>
      <c r="I73">
        <v>113.95</v>
      </c>
      <c r="J73">
        <v>232.2</v>
      </c>
      <c r="K73">
        <v>268.39999999999998</v>
      </c>
    </row>
    <row r="74" spans="2:11" x14ac:dyDescent="0.2">
      <c r="B74" s="3">
        <v>45657</v>
      </c>
      <c r="C74">
        <v>11.06915</v>
      </c>
      <c r="D74" s="3">
        <v>45649</v>
      </c>
      <c r="E74">
        <v>2469.87</v>
      </c>
      <c r="F74">
        <v>604</v>
      </c>
      <c r="G74">
        <v>1454</v>
      </c>
      <c r="H74">
        <v>89.22</v>
      </c>
      <c r="I74">
        <v>113.35</v>
      </c>
      <c r="J74">
        <v>231.2</v>
      </c>
      <c r="K74">
        <v>266.2</v>
      </c>
    </row>
    <row r="75" spans="2:11" x14ac:dyDescent="0.2">
      <c r="B75" s="3">
        <v>45656</v>
      </c>
      <c r="C75">
        <v>11.022349999999999</v>
      </c>
      <c r="D75" s="3">
        <v>45646</v>
      </c>
      <c r="E75">
        <v>2474.6480000000001</v>
      </c>
      <c r="F75">
        <v>603.6</v>
      </c>
      <c r="G75">
        <v>1433</v>
      </c>
      <c r="H75">
        <v>89.1</v>
      </c>
      <c r="I75">
        <v>112.05</v>
      </c>
      <c r="J75">
        <v>229.5</v>
      </c>
      <c r="K75">
        <v>267.7</v>
      </c>
    </row>
    <row r="76" spans="2:11" x14ac:dyDescent="0.2">
      <c r="B76" s="3">
        <v>45653</v>
      </c>
      <c r="C76">
        <v>11.004</v>
      </c>
      <c r="D76" s="3">
        <v>45645</v>
      </c>
      <c r="E76">
        <v>2481.096</v>
      </c>
      <c r="F76">
        <v>598.20000000000005</v>
      </c>
      <c r="G76">
        <v>1423</v>
      </c>
      <c r="H76">
        <v>89.22</v>
      </c>
      <c r="I76">
        <v>112.85</v>
      </c>
      <c r="J76">
        <v>229.7</v>
      </c>
      <c r="K76">
        <v>269.89999999999998</v>
      </c>
    </row>
    <row r="77" spans="2:11" x14ac:dyDescent="0.2">
      <c r="B77" s="3">
        <v>45652</v>
      </c>
      <c r="C77">
        <v>11.0473</v>
      </c>
      <c r="D77" s="3">
        <v>45644</v>
      </c>
      <c r="E77">
        <v>2537.6260000000002</v>
      </c>
      <c r="F77">
        <v>631.6</v>
      </c>
      <c r="G77">
        <v>1447</v>
      </c>
      <c r="H77">
        <v>90.7</v>
      </c>
      <c r="I77">
        <v>113.65</v>
      </c>
      <c r="J77">
        <v>234.4</v>
      </c>
      <c r="K77">
        <v>275.60000000000002</v>
      </c>
    </row>
    <row r="78" spans="2:11" x14ac:dyDescent="0.2">
      <c r="B78" s="3">
        <v>45651</v>
      </c>
      <c r="C78">
        <v>11.082800000000001</v>
      </c>
      <c r="D78" s="3">
        <v>45643</v>
      </c>
      <c r="E78">
        <v>2533.0700000000002</v>
      </c>
      <c r="F78">
        <v>634.6</v>
      </c>
      <c r="G78">
        <v>1465</v>
      </c>
      <c r="H78">
        <v>89.86</v>
      </c>
      <c r="I78">
        <v>113.4</v>
      </c>
      <c r="J78">
        <v>235</v>
      </c>
      <c r="K78">
        <v>275.7</v>
      </c>
    </row>
    <row r="79" spans="2:11" x14ac:dyDescent="0.2">
      <c r="B79" s="3">
        <v>45650</v>
      </c>
      <c r="C79">
        <v>11.097300000000001</v>
      </c>
      <c r="D79" s="3">
        <v>45642</v>
      </c>
      <c r="E79">
        <v>2544.6039999999998</v>
      </c>
      <c r="F79">
        <v>634.4</v>
      </c>
      <c r="G79">
        <v>1462.5</v>
      </c>
      <c r="H79">
        <v>90.7</v>
      </c>
      <c r="I79">
        <v>113.9</v>
      </c>
      <c r="J79">
        <v>237</v>
      </c>
      <c r="K79">
        <v>274.89999999999998</v>
      </c>
    </row>
    <row r="80" spans="2:11" x14ac:dyDescent="0.2">
      <c r="B80" s="3">
        <v>45649</v>
      </c>
      <c r="C80">
        <v>11.04485</v>
      </c>
      <c r="D80" s="3">
        <v>45639</v>
      </c>
      <c r="E80">
        <v>2556.3429999999998</v>
      </c>
      <c r="F80">
        <v>634</v>
      </c>
      <c r="G80">
        <v>1458.5</v>
      </c>
      <c r="H80">
        <v>90.82</v>
      </c>
      <c r="I80">
        <v>114.1</v>
      </c>
      <c r="J80">
        <v>236.7</v>
      </c>
      <c r="K80">
        <v>280.39999999999998</v>
      </c>
    </row>
    <row r="81" spans="2:11" x14ac:dyDescent="0.2">
      <c r="B81" s="3">
        <v>45646</v>
      </c>
      <c r="C81">
        <v>11.034050000000001</v>
      </c>
      <c r="D81" s="3">
        <v>45638</v>
      </c>
      <c r="E81">
        <v>2573.9760000000001</v>
      </c>
      <c r="F81">
        <v>641.20000000000005</v>
      </c>
      <c r="G81">
        <v>1480.5</v>
      </c>
      <c r="H81">
        <v>91</v>
      </c>
      <c r="I81">
        <v>114.05</v>
      </c>
      <c r="J81">
        <v>233.4</v>
      </c>
      <c r="K81">
        <v>283</v>
      </c>
    </row>
    <row r="82" spans="2:11" x14ac:dyDescent="0.2">
      <c r="B82" s="3">
        <v>45645</v>
      </c>
      <c r="C82">
        <v>11.03035</v>
      </c>
      <c r="D82" s="3">
        <v>45637</v>
      </c>
      <c r="E82">
        <v>2588.4389999999999</v>
      </c>
      <c r="F82">
        <v>645.20000000000005</v>
      </c>
      <c r="G82">
        <v>1482.5</v>
      </c>
      <c r="H82">
        <v>90.72</v>
      </c>
      <c r="I82">
        <v>114.75</v>
      </c>
      <c r="J82">
        <v>233.6</v>
      </c>
      <c r="K82">
        <v>284</v>
      </c>
    </row>
    <row r="83" spans="2:11" x14ac:dyDescent="0.2">
      <c r="B83" s="3">
        <v>45644</v>
      </c>
      <c r="C83">
        <v>11.12965</v>
      </c>
      <c r="D83" s="3">
        <v>45636</v>
      </c>
      <c r="E83">
        <v>2595.4859999999999</v>
      </c>
      <c r="F83">
        <v>638</v>
      </c>
      <c r="G83">
        <v>1475.5</v>
      </c>
      <c r="H83">
        <v>91.3</v>
      </c>
      <c r="I83">
        <v>116.6</v>
      </c>
      <c r="J83">
        <v>232.2</v>
      </c>
      <c r="K83">
        <v>284.89999999999998</v>
      </c>
    </row>
    <row r="84" spans="2:11" x14ac:dyDescent="0.2">
      <c r="B84" s="3">
        <v>45643</v>
      </c>
      <c r="C84">
        <v>10.96175</v>
      </c>
      <c r="D84" s="3">
        <v>45635</v>
      </c>
      <c r="E84">
        <v>2617.8000000000002</v>
      </c>
      <c r="F84">
        <v>646.79999999999995</v>
      </c>
      <c r="G84">
        <v>1493</v>
      </c>
      <c r="H84">
        <v>91.92</v>
      </c>
      <c r="I84">
        <v>116.7</v>
      </c>
      <c r="J84">
        <v>232.8</v>
      </c>
      <c r="K84">
        <v>287.89999999999998</v>
      </c>
    </row>
    <row r="85" spans="2:11" x14ac:dyDescent="0.2">
      <c r="B85" s="3">
        <v>45642</v>
      </c>
      <c r="C85">
        <v>10.885400000000001</v>
      </c>
      <c r="D85" s="3">
        <v>45632</v>
      </c>
      <c r="E85">
        <v>2614.268</v>
      </c>
      <c r="F85">
        <v>647</v>
      </c>
      <c r="G85">
        <v>1486.5</v>
      </c>
      <c r="H85">
        <v>91.36</v>
      </c>
      <c r="I85">
        <v>116.55</v>
      </c>
      <c r="J85">
        <v>235.2</v>
      </c>
      <c r="K85">
        <v>286.8</v>
      </c>
    </row>
    <row r="86" spans="2:11" x14ac:dyDescent="0.2">
      <c r="B86" s="3">
        <v>45639</v>
      </c>
      <c r="C86">
        <v>10.982799999999999</v>
      </c>
      <c r="D86" s="3">
        <v>45631</v>
      </c>
      <c r="E86">
        <v>2606.0830000000001</v>
      </c>
      <c r="F86">
        <v>642.6</v>
      </c>
      <c r="G86">
        <v>1470.5</v>
      </c>
      <c r="H86">
        <v>91.96</v>
      </c>
      <c r="I86">
        <v>118.1</v>
      </c>
      <c r="J86">
        <v>232.4</v>
      </c>
      <c r="K86">
        <v>287</v>
      </c>
    </row>
    <row r="87" spans="2:11" x14ac:dyDescent="0.2">
      <c r="B87" s="3">
        <v>45638</v>
      </c>
      <c r="C87">
        <v>11.0182</v>
      </c>
      <c r="D87" s="3">
        <v>45630</v>
      </c>
      <c r="E87">
        <v>2594.3780000000002</v>
      </c>
      <c r="F87">
        <v>644.20000000000005</v>
      </c>
      <c r="G87">
        <v>1461.5</v>
      </c>
      <c r="H87">
        <v>90.8</v>
      </c>
      <c r="I87">
        <v>116.65</v>
      </c>
      <c r="J87">
        <v>232.7</v>
      </c>
      <c r="K87">
        <v>285</v>
      </c>
    </row>
    <row r="88" spans="2:11" x14ac:dyDescent="0.2">
      <c r="B88" s="3">
        <v>45637</v>
      </c>
      <c r="C88">
        <v>10.9756</v>
      </c>
      <c r="D88" s="3">
        <v>45629</v>
      </c>
      <c r="E88">
        <v>2573.6950000000002</v>
      </c>
      <c r="F88">
        <v>637</v>
      </c>
      <c r="G88">
        <v>1507.5</v>
      </c>
      <c r="H88">
        <v>90.74</v>
      </c>
      <c r="I88">
        <v>117.3</v>
      </c>
      <c r="J88">
        <v>231.2</v>
      </c>
      <c r="K88">
        <v>279</v>
      </c>
    </row>
    <row r="89" spans="2:11" x14ac:dyDescent="0.2">
      <c r="B89" s="3">
        <v>45636</v>
      </c>
      <c r="C89">
        <v>10.969049999999999</v>
      </c>
      <c r="D89" s="3">
        <v>45628</v>
      </c>
      <c r="E89">
        <v>2548.1329999999998</v>
      </c>
      <c r="F89">
        <v>632.79999999999995</v>
      </c>
      <c r="G89">
        <v>1472.5</v>
      </c>
      <c r="H89">
        <v>90.02</v>
      </c>
      <c r="I89">
        <v>115.2</v>
      </c>
      <c r="J89">
        <v>229</v>
      </c>
      <c r="K89">
        <v>276.7</v>
      </c>
    </row>
    <row r="90" spans="2:11" x14ac:dyDescent="0.2">
      <c r="B90" s="3">
        <v>45635</v>
      </c>
      <c r="C90">
        <v>10.91455</v>
      </c>
      <c r="D90" s="3">
        <v>45625</v>
      </c>
      <c r="E90">
        <v>2513.846</v>
      </c>
      <c r="F90">
        <v>619.6</v>
      </c>
      <c r="G90">
        <v>1471</v>
      </c>
      <c r="H90">
        <v>88.68</v>
      </c>
      <c r="I90">
        <v>113.5</v>
      </c>
      <c r="J90">
        <v>227.5</v>
      </c>
      <c r="K90">
        <v>271.60000000000002</v>
      </c>
    </row>
    <row r="91" spans="2:11" x14ac:dyDescent="0.2">
      <c r="B91" s="3">
        <v>45632</v>
      </c>
      <c r="C91">
        <v>10.936500000000001</v>
      </c>
      <c r="D91" s="3">
        <v>45624</v>
      </c>
      <c r="E91">
        <v>2508.9229999999998</v>
      </c>
      <c r="F91">
        <v>611.20000000000005</v>
      </c>
      <c r="G91">
        <v>1472</v>
      </c>
      <c r="H91">
        <v>89.32</v>
      </c>
      <c r="I91">
        <v>113.8</v>
      </c>
      <c r="J91">
        <v>225.2</v>
      </c>
      <c r="K91">
        <v>272.39999999999998</v>
      </c>
    </row>
    <row r="92" spans="2:11" x14ac:dyDescent="0.2">
      <c r="B92" s="3">
        <v>45631</v>
      </c>
      <c r="C92">
        <v>10.852499999999999</v>
      </c>
      <c r="D92" s="3">
        <v>45623</v>
      </c>
      <c r="E92">
        <v>2497.6750000000002</v>
      </c>
      <c r="F92">
        <v>606</v>
      </c>
      <c r="G92">
        <v>1460</v>
      </c>
      <c r="H92">
        <v>89.28</v>
      </c>
      <c r="I92">
        <v>111.8</v>
      </c>
      <c r="J92">
        <v>221.1</v>
      </c>
      <c r="K92">
        <v>269.39999999999998</v>
      </c>
    </row>
    <row r="93" spans="2:11" x14ac:dyDescent="0.2">
      <c r="B93" s="3">
        <v>45630</v>
      </c>
      <c r="C93">
        <v>10.927300000000001</v>
      </c>
      <c r="D93" s="3">
        <v>45622</v>
      </c>
      <c r="E93">
        <v>2495.7959999999998</v>
      </c>
      <c r="F93">
        <v>612.4</v>
      </c>
      <c r="G93">
        <v>1454</v>
      </c>
      <c r="H93">
        <v>89.8</v>
      </c>
      <c r="I93">
        <v>110.35</v>
      </c>
      <c r="J93">
        <v>218.3</v>
      </c>
      <c r="K93">
        <v>267.60000000000002</v>
      </c>
    </row>
    <row r="94" spans="2:11" x14ac:dyDescent="0.2">
      <c r="B94" s="3">
        <v>45629</v>
      </c>
      <c r="C94">
        <v>11.00915</v>
      </c>
      <c r="D94" s="3">
        <v>45621</v>
      </c>
      <c r="E94">
        <v>2512.451</v>
      </c>
      <c r="F94">
        <v>617.6</v>
      </c>
      <c r="G94">
        <v>1449.5</v>
      </c>
      <c r="H94">
        <v>89.2</v>
      </c>
      <c r="I94">
        <v>110.95</v>
      </c>
      <c r="J94">
        <v>221.8</v>
      </c>
      <c r="K94">
        <v>269.7</v>
      </c>
    </row>
    <row r="95" spans="2:11" x14ac:dyDescent="0.2">
      <c r="B95" s="3">
        <v>45628</v>
      </c>
      <c r="C95">
        <v>10.99395</v>
      </c>
      <c r="D95" s="3">
        <v>45618</v>
      </c>
      <c r="E95">
        <v>2514.1019999999999</v>
      </c>
      <c r="F95">
        <v>621.4</v>
      </c>
      <c r="G95">
        <v>1462</v>
      </c>
      <c r="H95">
        <v>89.16</v>
      </c>
      <c r="I95">
        <v>110.8</v>
      </c>
      <c r="J95">
        <v>220.4</v>
      </c>
      <c r="K95">
        <v>271.5</v>
      </c>
    </row>
    <row r="96" spans="2:11" x14ac:dyDescent="0.2">
      <c r="B96" s="3">
        <v>45625</v>
      </c>
      <c r="C96">
        <v>10.9046</v>
      </c>
      <c r="D96" s="3">
        <v>45617</v>
      </c>
      <c r="E96">
        <v>2496.31</v>
      </c>
      <c r="F96">
        <v>618.6</v>
      </c>
      <c r="G96">
        <v>1413.5</v>
      </c>
      <c r="H96">
        <v>87.96</v>
      </c>
      <c r="I96">
        <v>110.6</v>
      </c>
      <c r="J96">
        <v>217.6</v>
      </c>
      <c r="K96">
        <v>269.39999999999998</v>
      </c>
    </row>
    <row r="97" spans="2:11" x14ac:dyDescent="0.2">
      <c r="B97" s="3">
        <v>45624</v>
      </c>
      <c r="C97">
        <v>10.922700000000001</v>
      </c>
      <c r="D97" s="3">
        <v>45616</v>
      </c>
      <c r="E97">
        <v>2484.4899999999998</v>
      </c>
      <c r="F97">
        <v>611</v>
      </c>
      <c r="G97">
        <v>1409</v>
      </c>
      <c r="H97">
        <v>87.86</v>
      </c>
      <c r="I97">
        <v>110.05</v>
      </c>
      <c r="J97">
        <v>219.4</v>
      </c>
      <c r="K97">
        <v>264.39999999999998</v>
      </c>
    </row>
    <row r="98" spans="2:11" x14ac:dyDescent="0.2">
      <c r="B98" s="3">
        <v>45623</v>
      </c>
      <c r="C98">
        <v>10.914849999999999</v>
      </c>
      <c r="D98" s="3">
        <v>45615</v>
      </c>
      <c r="E98">
        <v>2493.4760000000001</v>
      </c>
      <c r="F98">
        <v>606.79999999999995</v>
      </c>
      <c r="G98">
        <v>1398.5</v>
      </c>
      <c r="H98">
        <v>88.6</v>
      </c>
      <c r="I98">
        <v>110.5</v>
      </c>
      <c r="J98">
        <v>219.4</v>
      </c>
      <c r="K98">
        <v>266.7</v>
      </c>
    </row>
    <row r="99" spans="2:11" x14ac:dyDescent="0.2">
      <c r="B99" s="3">
        <v>45622</v>
      </c>
      <c r="C99">
        <v>10.99235</v>
      </c>
      <c r="D99" s="3">
        <v>45614</v>
      </c>
      <c r="E99">
        <v>2506.913</v>
      </c>
      <c r="F99">
        <v>609</v>
      </c>
      <c r="G99">
        <v>1386</v>
      </c>
      <c r="H99">
        <v>88.12</v>
      </c>
      <c r="I99">
        <v>112.1</v>
      </c>
      <c r="J99">
        <v>218.9</v>
      </c>
      <c r="K99">
        <v>271.2</v>
      </c>
    </row>
    <row r="100" spans="2:11" x14ac:dyDescent="0.2">
      <c r="B100" s="3">
        <v>45621</v>
      </c>
      <c r="C100">
        <v>10.984999999999999</v>
      </c>
      <c r="D100" s="3">
        <v>45611</v>
      </c>
      <c r="E100">
        <v>2509.9870000000001</v>
      </c>
      <c r="F100">
        <v>615</v>
      </c>
      <c r="G100">
        <v>1392.5</v>
      </c>
      <c r="H100">
        <v>87.42</v>
      </c>
      <c r="I100">
        <v>111.3</v>
      </c>
      <c r="J100">
        <v>223</v>
      </c>
      <c r="K100">
        <v>272.60000000000002</v>
      </c>
    </row>
    <row r="101" spans="2:11" x14ac:dyDescent="0.2">
      <c r="B101" s="3">
        <v>45618</v>
      </c>
      <c r="C101">
        <v>11.0375</v>
      </c>
      <c r="D101" s="3">
        <v>45610</v>
      </c>
      <c r="E101">
        <v>2531.3890000000001</v>
      </c>
      <c r="F101">
        <v>619.6</v>
      </c>
      <c r="G101">
        <v>1440</v>
      </c>
      <c r="H101">
        <v>88</v>
      </c>
      <c r="I101">
        <v>111.3</v>
      </c>
      <c r="J101">
        <v>223.4</v>
      </c>
      <c r="K101">
        <v>275.2</v>
      </c>
    </row>
    <row r="102" spans="2:11" x14ac:dyDescent="0.2">
      <c r="B102" s="3">
        <v>45617</v>
      </c>
      <c r="C102">
        <v>11.060700000000001</v>
      </c>
      <c r="D102" s="3">
        <v>45609</v>
      </c>
      <c r="E102">
        <v>2512.5630000000001</v>
      </c>
      <c r="F102">
        <v>616.79999999999995</v>
      </c>
      <c r="G102">
        <v>1426</v>
      </c>
      <c r="H102">
        <v>87.96</v>
      </c>
      <c r="I102">
        <v>110.4</v>
      </c>
      <c r="J102">
        <v>222.6</v>
      </c>
      <c r="K102">
        <v>273.7</v>
      </c>
    </row>
    <row r="103" spans="2:11" x14ac:dyDescent="0.2">
      <c r="B103" s="3">
        <v>45616</v>
      </c>
      <c r="C103">
        <v>11.02675</v>
      </c>
      <c r="D103" s="3">
        <v>45608</v>
      </c>
      <c r="E103">
        <v>2514.2310000000002</v>
      </c>
      <c r="F103">
        <v>611.6</v>
      </c>
      <c r="G103">
        <v>1409.5</v>
      </c>
      <c r="H103">
        <v>87.4</v>
      </c>
      <c r="I103">
        <v>110.95</v>
      </c>
      <c r="J103">
        <v>227.5</v>
      </c>
      <c r="K103">
        <v>277</v>
      </c>
    </row>
    <row r="104" spans="2:11" x14ac:dyDescent="0.2">
      <c r="B104" s="3">
        <v>45615</v>
      </c>
      <c r="C104">
        <v>10.921150000000001</v>
      </c>
      <c r="D104" s="3">
        <v>45607</v>
      </c>
      <c r="E104">
        <v>2576.4250000000002</v>
      </c>
      <c r="F104">
        <v>625.79999999999995</v>
      </c>
      <c r="G104">
        <v>1407</v>
      </c>
      <c r="H104">
        <v>88.48</v>
      </c>
      <c r="I104">
        <v>112.3</v>
      </c>
      <c r="J104">
        <v>229.2</v>
      </c>
      <c r="K104">
        <v>283.5</v>
      </c>
    </row>
    <row r="105" spans="2:11" x14ac:dyDescent="0.2">
      <c r="B105" s="3">
        <v>45614</v>
      </c>
      <c r="C105">
        <v>10.907</v>
      </c>
      <c r="D105" s="3">
        <v>45604</v>
      </c>
      <c r="E105">
        <v>2558.7440000000001</v>
      </c>
      <c r="F105">
        <v>618.6</v>
      </c>
      <c r="G105">
        <v>1397.5</v>
      </c>
      <c r="H105">
        <v>88.4</v>
      </c>
      <c r="I105">
        <v>111.3</v>
      </c>
      <c r="J105">
        <v>226.9</v>
      </c>
      <c r="K105">
        <v>283.60000000000002</v>
      </c>
    </row>
    <row r="106" spans="2:11" x14ac:dyDescent="0.2">
      <c r="B106" s="3">
        <v>45611</v>
      </c>
      <c r="C106">
        <v>10.98085</v>
      </c>
      <c r="D106" s="3">
        <v>45603</v>
      </c>
      <c r="E106">
        <v>2584.7240000000002</v>
      </c>
      <c r="F106">
        <v>616.20000000000005</v>
      </c>
      <c r="G106">
        <v>1372</v>
      </c>
      <c r="H106">
        <v>87.94</v>
      </c>
      <c r="I106">
        <v>112.1</v>
      </c>
      <c r="J106">
        <v>228.2</v>
      </c>
      <c r="K106">
        <v>291.7</v>
      </c>
    </row>
    <row r="107" spans="2:11" x14ac:dyDescent="0.2">
      <c r="B107" s="3">
        <v>45610</v>
      </c>
      <c r="C107">
        <v>11.000400000000001</v>
      </c>
      <c r="D107" s="3">
        <v>45602</v>
      </c>
      <c r="E107">
        <v>2553.1320000000001</v>
      </c>
      <c r="F107">
        <v>620.4</v>
      </c>
      <c r="G107">
        <v>1394</v>
      </c>
      <c r="H107">
        <v>88.74</v>
      </c>
      <c r="I107">
        <v>112.9</v>
      </c>
      <c r="J107">
        <v>220.2</v>
      </c>
      <c r="K107">
        <v>278.39999999999998</v>
      </c>
    </row>
    <row r="108" spans="2:11" x14ac:dyDescent="0.2">
      <c r="B108" s="3">
        <v>45609</v>
      </c>
      <c r="C108">
        <v>10.986549999999999</v>
      </c>
      <c r="D108" s="3">
        <v>45601</v>
      </c>
      <c r="E108">
        <v>2574.127</v>
      </c>
      <c r="F108">
        <v>611.79999999999995</v>
      </c>
      <c r="G108">
        <v>1412</v>
      </c>
      <c r="H108">
        <v>89.06</v>
      </c>
      <c r="I108">
        <v>114.25</v>
      </c>
      <c r="J108">
        <v>220</v>
      </c>
      <c r="K108">
        <v>278.8</v>
      </c>
    </row>
    <row r="109" spans="2:11" x14ac:dyDescent="0.2">
      <c r="B109" s="3">
        <v>45608</v>
      </c>
      <c r="C109">
        <v>10.8978</v>
      </c>
      <c r="D109" s="3">
        <v>45600</v>
      </c>
      <c r="E109">
        <v>2571.9839999999999</v>
      </c>
      <c r="F109">
        <v>598.20000000000005</v>
      </c>
      <c r="G109">
        <v>1531</v>
      </c>
      <c r="H109">
        <v>89.42</v>
      </c>
      <c r="I109">
        <v>113.8</v>
      </c>
      <c r="J109">
        <v>220</v>
      </c>
      <c r="K109">
        <v>275</v>
      </c>
    </row>
    <row r="110" spans="2:11" x14ac:dyDescent="0.2">
      <c r="B110" s="3">
        <v>45607</v>
      </c>
      <c r="C110">
        <v>10.844099999999999</v>
      </c>
      <c r="D110" s="3">
        <v>45597</v>
      </c>
      <c r="E110">
        <v>2557.2220000000002</v>
      </c>
      <c r="F110">
        <v>596.79999999999995</v>
      </c>
      <c r="G110">
        <v>1526</v>
      </c>
      <c r="H110">
        <v>89.5</v>
      </c>
      <c r="I110">
        <v>112.3</v>
      </c>
      <c r="J110">
        <v>217.5</v>
      </c>
      <c r="K110">
        <v>274.89999999999998</v>
      </c>
    </row>
    <row r="111" spans="2:11" x14ac:dyDescent="0.2">
      <c r="B111" s="3">
        <v>45604</v>
      </c>
      <c r="C111">
        <v>10.8185</v>
      </c>
      <c r="D111" s="3">
        <v>45596</v>
      </c>
      <c r="E111">
        <v>2542.4079999999999</v>
      </c>
      <c r="F111">
        <v>593</v>
      </c>
      <c r="G111">
        <v>1520.5</v>
      </c>
      <c r="H111">
        <v>88.98</v>
      </c>
      <c r="I111">
        <v>110.8</v>
      </c>
      <c r="J111">
        <v>216.2</v>
      </c>
      <c r="K111">
        <v>276.7</v>
      </c>
    </row>
    <row r="112" spans="2:11" x14ac:dyDescent="0.2">
      <c r="B112" s="3">
        <v>45603</v>
      </c>
      <c r="C112">
        <v>10.68295</v>
      </c>
      <c r="D112" s="3">
        <v>45595</v>
      </c>
      <c r="E112">
        <v>2578.3829999999998</v>
      </c>
      <c r="F112">
        <v>598.4</v>
      </c>
      <c r="G112">
        <v>1551.5</v>
      </c>
      <c r="H112">
        <v>90.62</v>
      </c>
      <c r="I112">
        <v>111.3</v>
      </c>
      <c r="J112">
        <v>218.1</v>
      </c>
      <c r="K112">
        <v>277.60000000000002</v>
      </c>
    </row>
    <row r="113" spans="2:11" x14ac:dyDescent="0.2">
      <c r="B113" s="3">
        <v>45602</v>
      </c>
      <c r="C113">
        <v>10.860799999999999</v>
      </c>
      <c r="D113" s="3">
        <v>45594</v>
      </c>
      <c r="E113">
        <v>2610.7649999999999</v>
      </c>
      <c r="F113">
        <v>598.4</v>
      </c>
      <c r="G113">
        <v>1600.5</v>
      </c>
      <c r="H113">
        <v>91.12</v>
      </c>
      <c r="I113">
        <v>112.3</v>
      </c>
      <c r="J113">
        <v>218.5</v>
      </c>
      <c r="K113">
        <v>279.8</v>
      </c>
    </row>
    <row r="114" spans="2:11" x14ac:dyDescent="0.2">
      <c r="B114" s="3">
        <v>45601</v>
      </c>
      <c r="C114">
        <v>10.702249999999999</v>
      </c>
      <c r="D114" s="3">
        <v>45593</v>
      </c>
      <c r="E114">
        <v>2624.085</v>
      </c>
      <c r="F114">
        <v>603.20000000000005</v>
      </c>
      <c r="G114">
        <v>1606</v>
      </c>
      <c r="H114">
        <v>91.02</v>
      </c>
      <c r="I114">
        <v>112.4</v>
      </c>
      <c r="J114">
        <v>220.8</v>
      </c>
      <c r="K114">
        <v>279.8</v>
      </c>
    </row>
    <row r="115" spans="2:11" x14ac:dyDescent="0.2">
      <c r="B115" s="3">
        <v>45600</v>
      </c>
      <c r="C115">
        <v>10.72315</v>
      </c>
      <c r="D115" s="3">
        <v>45590</v>
      </c>
      <c r="E115">
        <v>2592.2809999999999</v>
      </c>
      <c r="F115">
        <v>594.79999999999995</v>
      </c>
      <c r="G115">
        <v>1594.5</v>
      </c>
      <c r="H115">
        <v>89.94</v>
      </c>
      <c r="I115">
        <v>111.8</v>
      </c>
      <c r="J115">
        <v>216.9</v>
      </c>
      <c r="K115">
        <v>277.2</v>
      </c>
    </row>
    <row r="116" spans="2:11" x14ac:dyDescent="0.2">
      <c r="B116" s="3">
        <v>45597</v>
      </c>
      <c r="C116">
        <v>10.74775</v>
      </c>
      <c r="D116" s="3">
        <v>45589</v>
      </c>
      <c r="E116">
        <v>2578.0859999999998</v>
      </c>
      <c r="F116">
        <v>591.20000000000005</v>
      </c>
      <c r="G116">
        <v>1602.5</v>
      </c>
      <c r="H116">
        <v>89.58</v>
      </c>
      <c r="I116">
        <v>109.7</v>
      </c>
      <c r="J116">
        <v>216.8</v>
      </c>
      <c r="K116">
        <v>269.3</v>
      </c>
    </row>
    <row r="117" spans="2:11" x14ac:dyDescent="0.2">
      <c r="B117" s="3">
        <v>45596</v>
      </c>
      <c r="C117">
        <v>10.6464</v>
      </c>
      <c r="D117" s="3">
        <v>45588</v>
      </c>
      <c r="E117">
        <v>2581.328</v>
      </c>
      <c r="F117">
        <v>590.4</v>
      </c>
      <c r="G117">
        <v>1624</v>
      </c>
      <c r="H117">
        <v>89.4</v>
      </c>
      <c r="I117">
        <v>111.9</v>
      </c>
      <c r="J117">
        <v>217.2</v>
      </c>
      <c r="K117">
        <v>270.89999999999998</v>
      </c>
    </row>
    <row r="118" spans="2:11" x14ac:dyDescent="0.2">
      <c r="B118" s="3">
        <v>45595</v>
      </c>
      <c r="C118">
        <v>10.676349999999999</v>
      </c>
      <c r="D118" s="3">
        <v>45587</v>
      </c>
      <c r="E118">
        <v>2571.5129999999999</v>
      </c>
      <c r="F118">
        <v>597.79999999999995</v>
      </c>
      <c r="G118">
        <v>1618.5</v>
      </c>
      <c r="H118">
        <v>88.68</v>
      </c>
      <c r="I118">
        <v>103.65</v>
      </c>
      <c r="J118">
        <v>217</v>
      </c>
      <c r="K118">
        <v>269.8</v>
      </c>
    </row>
    <row r="119" spans="2:11" x14ac:dyDescent="0.2">
      <c r="B119" s="3">
        <v>45594</v>
      </c>
      <c r="C119">
        <v>10.638249999999999</v>
      </c>
      <c r="D119" s="3">
        <v>45586</v>
      </c>
      <c r="E119">
        <v>2576.2040000000002</v>
      </c>
      <c r="F119">
        <v>598</v>
      </c>
      <c r="G119">
        <v>1634.5</v>
      </c>
      <c r="H119">
        <v>89.26</v>
      </c>
      <c r="I119">
        <v>103.2</v>
      </c>
      <c r="J119">
        <v>217</v>
      </c>
      <c r="K119">
        <v>272.10000000000002</v>
      </c>
    </row>
    <row r="120" spans="2:11" x14ac:dyDescent="0.2">
      <c r="B120" s="3">
        <v>45593</v>
      </c>
      <c r="C120">
        <v>10.649900000000001</v>
      </c>
      <c r="D120" s="3">
        <v>45583</v>
      </c>
      <c r="E120">
        <v>2594.3040000000001</v>
      </c>
      <c r="F120">
        <v>602.79999999999995</v>
      </c>
      <c r="G120">
        <v>1638</v>
      </c>
      <c r="H120">
        <v>89.02</v>
      </c>
      <c r="I120">
        <v>102.8</v>
      </c>
      <c r="J120">
        <v>220.3</v>
      </c>
      <c r="K120">
        <v>274.3</v>
      </c>
    </row>
    <row r="121" spans="2:11" x14ac:dyDescent="0.2">
      <c r="B121" s="3">
        <v>45590</v>
      </c>
      <c r="C121">
        <v>10.6228</v>
      </c>
      <c r="D121" s="3">
        <v>45582</v>
      </c>
      <c r="E121">
        <v>2585.8130000000001</v>
      </c>
      <c r="F121">
        <v>611.6</v>
      </c>
      <c r="G121">
        <v>1643</v>
      </c>
      <c r="H121">
        <v>87.5</v>
      </c>
      <c r="I121">
        <v>103.1</v>
      </c>
      <c r="J121">
        <v>221.2</v>
      </c>
      <c r="K121">
        <v>265</v>
      </c>
    </row>
    <row r="122" spans="2:11" x14ac:dyDescent="0.2">
      <c r="B122" s="3">
        <v>45589</v>
      </c>
      <c r="C122">
        <v>10.556649999999999</v>
      </c>
      <c r="D122" s="3">
        <v>45581</v>
      </c>
      <c r="E122">
        <v>2580.0909999999999</v>
      </c>
      <c r="F122">
        <v>597.20000000000005</v>
      </c>
      <c r="G122">
        <v>1645.5</v>
      </c>
      <c r="H122">
        <v>88.36</v>
      </c>
      <c r="I122">
        <v>100.6</v>
      </c>
      <c r="J122">
        <v>219.2</v>
      </c>
      <c r="K122">
        <v>267.5</v>
      </c>
    </row>
    <row r="123" spans="2:11" x14ac:dyDescent="0.2">
      <c r="B123" s="3">
        <v>45588</v>
      </c>
      <c r="C123">
        <v>10.594900000000001</v>
      </c>
      <c r="D123" s="3">
        <v>45580</v>
      </c>
      <c r="E123">
        <v>2577.0650000000001</v>
      </c>
      <c r="F123">
        <v>597.20000000000005</v>
      </c>
      <c r="G123">
        <v>1613.5</v>
      </c>
      <c r="H123">
        <v>86.76</v>
      </c>
      <c r="I123">
        <v>101.5</v>
      </c>
      <c r="J123">
        <v>218.9</v>
      </c>
      <c r="K123">
        <v>267.10000000000002</v>
      </c>
    </row>
    <row r="124" spans="2:11" x14ac:dyDescent="0.2">
      <c r="B124" s="3">
        <v>45587</v>
      </c>
      <c r="C124">
        <v>10.545349999999999</v>
      </c>
      <c r="D124" s="3">
        <v>45579</v>
      </c>
      <c r="E124">
        <v>2598.2449999999999</v>
      </c>
      <c r="F124">
        <v>609</v>
      </c>
      <c r="G124">
        <v>1622.5</v>
      </c>
      <c r="H124">
        <v>78.319999999999993</v>
      </c>
      <c r="I124">
        <v>101.25</v>
      </c>
      <c r="J124">
        <v>220.5</v>
      </c>
      <c r="K124">
        <v>269.39999999999998</v>
      </c>
    </row>
    <row r="125" spans="2:11" x14ac:dyDescent="0.2">
      <c r="B125" s="3">
        <v>45586</v>
      </c>
      <c r="C125">
        <v>10.56265</v>
      </c>
      <c r="D125" s="3">
        <v>45576</v>
      </c>
      <c r="E125">
        <v>2588.7159999999999</v>
      </c>
      <c r="F125">
        <v>602.20000000000005</v>
      </c>
      <c r="G125">
        <v>1596</v>
      </c>
      <c r="H125">
        <v>77.62</v>
      </c>
      <c r="I125">
        <v>101.5</v>
      </c>
      <c r="J125">
        <v>220.6</v>
      </c>
      <c r="K125">
        <v>267.7</v>
      </c>
    </row>
    <row r="126" spans="2:11" x14ac:dyDescent="0.2">
      <c r="B126" s="3">
        <v>45583</v>
      </c>
      <c r="C126">
        <v>10.5207</v>
      </c>
      <c r="D126" s="3">
        <v>45575</v>
      </c>
      <c r="E126">
        <v>2573.9110000000001</v>
      </c>
      <c r="F126">
        <v>598.20000000000005</v>
      </c>
      <c r="G126">
        <v>1596.5</v>
      </c>
      <c r="H126">
        <v>77.459999999999994</v>
      </c>
      <c r="I126">
        <v>101.7</v>
      </c>
      <c r="J126">
        <v>219.7</v>
      </c>
      <c r="K126">
        <v>268.89999999999998</v>
      </c>
    </row>
    <row r="127" spans="2:11" x14ac:dyDescent="0.2">
      <c r="B127" s="3">
        <v>45582</v>
      </c>
      <c r="C127">
        <v>10.5403</v>
      </c>
      <c r="D127" s="3">
        <v>45574</v>
      </c>
      <c r="E127">
        <v>2594.9070000000002</v>
      </c>
      <c r="F127">
        <v>603</v>
      </c>
      <c r="G127">
        <v>1595</v>
      </c>
      <c r="H127">
        <v>77.66</v>
      </c>
      <c r="I127">
        <v>101.95</v>
      </c>
      <c r="J127">
        <v>222.5</v>
      </c>
      <c r="K127">
        <v>271</v>
      </c>
    </row>
    <row r="128" spans="2:11" x14ac:dyDescent="0.2">
      <c r="B128" s="3">
        <v>45581</v>
      </c>
      <c r="C128">
        <v>10.50455</v>
      </c>
      <c r="D128" s="3">
        <v>45573</v>
      </c>
      <c r="E128">
        <v>2587.89</v>
      </c>
      <c r="F128">
        <v>597.6</v>
      </c>
      <c r="G128">
        <v>1585</v>
      </c>
      <c r="H128">
        <v>77.38</v>
      </c>
      <c r="I128">
        <v>102.05</v>
      </c>
      <c r="J128">
        <v>220.3</v>
      </c>
      <c r="K128">
        <v>270.7</v>
      </c>
    </row>
    <row r="129" spans="2:11" x14ac:dyDescent="0.2">
      <c r="B129" s="3">
        <v>45580</v>
      </c>
      <c r="C129">
        <v>10.4133</v>
      </c>
      <c r="D129" s="3">
        <v>45572</v>
      </c>
      <c r="E129">
        <v>2602.6559999999999</v>
      </c>
      <c r="F129">
        <v>592</v>
      </c>
      <c r="G129">
        <v>1599</v>
      </c>
      <c r="H129">
        <v>77.040000000000006</v>
      </c>
      <c r="I129">
        <v>102.45</v>
      </c>
      <c r="J129">
        <v>223</v>
      </c>
      <c r="K129">
        <v>273</v>
      </c>
    </row>
    <row r="130" spans="2:11" x14ac:dyDescent="0.2">
      <c r="B130" s="3">
        <v>45579</v>
      </c>
      <c r="C130">
        <v>10.4262</v>
      </c>
      <c r="D130" s="3">
        <v>45569</v>
      </c>
      <c r="E130">
        <v>2603.7950000000001</v>
      </c>
      <c r="F130">
        <v>593.79999999999995</v>
      </c>
      <c r="G130">
        <v>1598.5</v>
      </c>
      <c r="H130">
        <v>76.459999999999994</v>
      </c>
      <c r="I130">
        <v>102</v>
      </c>
      <c r="J130">
        <v>220.3</v>
      </c>
      <c r="K130">
        <v>273.8</v>
      </c>
    </row>
    <row r="131" spans="2:11" x14ac:dyDescent="0.2">
      <c r="B131" s="3">
        <v>45576</v>
      </c>
      <c r="C131">
        <v>10.37105</v>
      </c>
      <c r="D131" s="3">
        <v>45568</v>
      </c>
      <c r="E131">
        <v>2594.498</v>
      </c>
      <c r="F131">
        <v>591.79999999999995</v>
      </c>
      <c r="G131">
        <v>1616</v>
      </c>
      <c r="H131">
        <v>75.680000000000007</v>
      </c>
      <c r="I131">
        <v>101.2</v>
      </c>
      <c r="J131">
        <v>215</v>
      </c>
      <c r="K131">
        <v>266.3</v>
      </c>
    </row>
    <row r="132" spans="2:11" x14ac:dyDescent="0.2">
      <c r="B132" s="3">
        <v>45575</v>
      </c>
      <c r="C132">
        <v>10.3902</v>
      </c>
      <c r="D132" s="3">
        <v>45567</v>
      </c>
      <c r="E132">
        <v>2620.6559999999999</v>
      </c>
      <c r="F132">
        <v>596.4</v>
      </c>
      <c r="G132">
        <v>1629.5</v>
      </c>
      <c r="H132">
        <v>76.66</v>
      </c>
      <c r="I132">
        <v>103.85</v>
      </c>
      <c r="J132">
        <v>213.3</v>
      </c>
      <c r="K132">
        <v>265.10000000000002</v>
      </c>
    </row>
    <row r="133" spans="2:11" x14ac:dyDescent="0.2">
      <c r="B133" s="3">
        <v>45574</v>
      </c>
      <c r="C133">
        <v>10.4017</v>
      </c>
      <c r="D133" s="3">
        <v>45566</v>
      </c>
      <c r="E133">
        <v>2611.3440000000001</v>
      </c>
      <c r="F133">
        <v>595</v>
      </c>
      <c r="G133">
        <v>1605.5</v>
      </c>
      <c r="H133">
        <v>75.64</v>
      </c>
      <c r="I133">
        <v>103.3</v>
      </c>
      <c r="J133">
        <v>211.7</v>
      </c>
      <c r="K133">
        <v>265.89999999999998</v>
      </c>
    </row>
    <row r="134" spans="2:11" x14ac:dyDescent="0.2">
      <c r="B134" s="3">
        <v>45573</v>
      </c>
      <c r="C134">
        <v>10.33405</v>
      </c>
      <c r="D134" s="3">
        <v>45565</v>
      </c>
      <c r="E134">
        <v>2626.4380000000001</v>
      </c>
      <c r="F134">
        <v>585.4</v>
      </c>
      <c r="G134">
        <v>1571.5</v>
      </c>
      <c r="H134">
        <v>76.72</v>
      </c>
      <c r="I134">
        <v>104.25</v>
      </c>
      <c r="J134">
        <v>211.8</v>
      </c>
      <c r="K134">
        <v>268.2</v>
      </c>
    </row>
    <row r="135" spans="2:11" x14ac:dyDescent="0.2">
      <c r="B135" s="3">
        <v>45572</v>
      </c>
      <c r="C135">
        <v>10.3543</v>
      </c>
      <c r="D135" s="3">
        <v>45562</v>
      </c>
      <c r="E135">
        <v>2639.4459999999999</v>
      </c>
      <c r="F135">
        <v>591.20000000000005</v>
      </c>
      <c r="G135">
        <v>1575</v>
      </c>
      <c r="H135">
        <v>77.819999999999993</v>
      </c>
      <c r="I135">
        <v>104.75</v>
      </c>
      <c r="J135">
        <v>212.5</v>
      </c>
      <c r="K135">
        <v>272.5</v>
      </c>
    </row>
    <row r="136" spans="2:11" x14ac:dyDescent="0.2">
      <c r="B136" s="3">
        <v>45569</v>
      </c>
      <c r="C136">
        <v>10.3696</v>
      </c>
      <c r="D136" s="3">
        <v>45561</v>
      </c>
      <c r="E136">
        <v>2642.4279999999999</v>
      </c>
      <c r="F136">
        <v>599</v>
      </c>
      <c r="G136">
        <v>1585</v>
      </c>
      <c r="H136">
        <v>78.7</v>
      </c>
      <c r="I136">
        <v>106.55</v>
      </c>
      <c r="J136">
        <v>216.7</v>
      </c>
      <c r="K136">
        <v>272.89999999999998</v>
      </c>
    </row>
    <row r="137" spans="2:11" x14ac:dyDescent="0.2">
      <c r="B137" s="3">
        <v>45568</v>
      </c>
      <c r="C137">
        <v>10.3065</v>
      </c>
      <c r="D137" s="3">
        <v>45560</v>
      </c>
      <c r="E137">
        <v>2610.9070000000002</v>
      </c>
      <c r="F137">
        <v>594.79999999999995</v>
      </c>
      <c r="G137">
        <v>1569</v>
      </c>
      <c r="H137">
        <v>78.38</v>
      </c>
      <c r="I137">
        <v>106.4</v>
      </c>
      <c r="J137">
        <v>214</v>
      </c>
      <c r="K137">
        <v>266.7</v>
      </c>
    </row>
    <row r="138" spans="2:11" x14ac:dyDescent="0.2">
      <c r="B138" s="3">
        <v>45567</v>
      </c>
      <c r="C138">
        <v>10.2666</v>
      </c>
      <c r="D138" s="3">
        <v>45559</v>
      </c>
      <c r="E138">
        <v>2590.0100000000002</v>
      </c>
      <c r="F138">
        <v>580.6</v>
      </c>
      <c r="G138">
        <v>1562</v>
      </c>
      <c r="H138">
        <v>77.88</v>
      </c>
      <c r="I138">
        <v>106.45</v>
      </c>
      <c r="J138">
        <v>214.8</v>
      </c>
      <c r="K138">
        <v>266</v>
      </c>
    </row>
    <row r="139" spans="2:11" x14ac:dyDescent="0.2">
      <c r="B139" s="3">
        <v>45566</v>
      </c>
      <c r="C139">
        <v>10.26125</v>
      </c>
      <c r="D139" s="3">
        <v>45558</v>
      </c>
      <c r="E139">
        <v>2583.846</v>
      </c>
      <c r="F139">
        <v>578.20000000000005</v>
      </c>
      <c r="G139">
        <v>1576.5</v>
      </c>
      <c r="H139">
        <v>77.84</v>
      </c>
      <c r="I139">
        <v>105.85</v>
      </c>
      <c r="J139">
        <v>214.1</v>
      </c>
      <c r="K139">
        <v>262.3</v>
      </c>
    </row>
    <row r="140" spans="2:11" x14ac:dyDescent="0.2">
      <c r="B140" s="3">
        <v>45565</v>
      </c>
      <c r="C140">
        <v>10.159750000000001</v>
      </c>
      <c r="D140" s="3">
        <v>45555</v>
      </c>
      <c r="E140">
        <v>2579.1509999999998</v>
      </c>
      <c r="F140">
        <v>577</v>
      </c>
      <c r="G140">
        <v>1601</v>
      </c>
      <c r="H140">
        <v>77.28</v>
      </c>
      <c r="I140">
        <v>106.8</v>
      </c>
      <c r="J140">
        <v>209.4</v>
      </c>
      <c r="K140">
        <v>261.5</v>
      </c>
    </row>
    <row r="141" spans="2:11" x14ac:dyDescent="0.2">
      <c r="B141" s="3">
        <v>45562</v>
      </c>
      <c r="C141">
        <v>10.089700000000001</v>
      </c>
      <c r="D141" s="3">
        <v>45554</v>
      </c>
      <c r="E141">
        <v>2592.913</v>
      </c>
      <c r="F141">
        <v>583.6</v>
      </c>
      <c r="G141">
        <v>1605</v>
      </c>
      <c r="H141">
        <v>76.3</v>
      </c>
      <c r="I141">
        <v>107.15</v>
      </c>
      <c r="J141">
        <v>210.9</v>
      </c>
      <c r="K141">
        <v>264.8</v>
      </c>
    </row>
    <row r="142" spans="2:11" x14ac:dyDescent="0.2">
      <c r="B142" s="3">
        <v>45561</v>
      </c>
      <c r="C142">
        <v>10.116</v>
      </c>
      <c r="D142" s="3">
        <v>45553</v>
      </c>
      <c r="E142">
        <v>2544.2449999999999</v>
      </c>
      <c r="F142">
        <v>573.6</v>
      </c>
      <c r="G142">
        <v>1598</v>
      </c>
      <c r="H142">
        <v>75.14</v>
      </c>
      <c r="I142">
        <v>105.4</v>
      </c>
      <c r="J142">
        <v>209.3</v>
      </c>
      <c r="K142">
        <v>261.60000000000002</v>
      </c>
    </row>
    <row r="143" spans="2:11" x14ac:dyDescent="0.2">
      <c r="B143" s="3">
        <v>45560</v>
      </c>
      <c r="C143">
        <v>10.180300000000001</v>
      </c>
      <c r="D143" s="3">
        <v>45552</v>
      </c>
      <c r="E143">
        <v>2555.9</v>
      </c>
      <c r="F143">
        <v>575.6</v>
      </c>
      <c r="G143">
        <v>1610</v>
      </c>
      <c r="H143">
        <v>74.959999999999994</v>
      </c>
      <c r="I143">
        <v>105.45</v>
      </c>
      <c r="J143">
        <v>207.1</v>
      </c>
      <c r="K143">
        <v>260.60000000000002</v>
      </c>
    </row>
    <row r="144" spans="2:11" x14ac:dyDescent="0.2">
      <c r="B144" s="3">
        <v>45559</v>
      </c>
      <c r="C144">
        <v>10.09825</v>
      </c>
      <c r="D144" s="3">
        <v>45551</v>
      </c>
      <c r="E144">
        <v>2529.7449999999999</v>
      </c>
      <c r="F144">
        <v>566.79999999999995</v>
      </c>
      <c r="G144">
        <v>1618.5</v>
      </c>
      <c r="H144">
        <v>75.3</v>
      </c>
      <c r="I144">
        <v>104.3</v>
      </c>
      <c r="J144">
        <v>205.9</v>
      </c>
      <c r="K144">
        <v>254.3</v>
      </c>
    </row>
    <row r="145" spans="2:11" x14ac:dyDescent="0.2">
      <c r="B145" s="3">
        <v>45558</v>
      </c>
      <c r="C145">
        <v>10.194800000000001</v>
      </c>
      <c r="D145" s="3">
        <v>45548</v>
      </c>
      <c r="E145">
        <v>2525.1799999999998</v>
      </c>
      <c r="F145">
        <v>566.20000000000005</v>
      </c>
      <c r="G145">
        <v>1600</v>
      </c>
      <c r="H145">
        <v>75.900000000000006</v>
      </c>
      <c r="I145">
        <v>102.95</v>
      </c>
      <c r="J145">
        <v>205.3</v>
      </c>
      <c r="K145">
        <v>254.8</v>
      </c>
    </row>
    <row r="146" spans="2:11" x14ac:dyDescent="0.2">
      <c r="B146" s="3">
        <v>45555</v>
      </c>
      <c r="C146">
        <v>10.173999999999999</v>
      </c>
      <c r="D146" s="3">
        <v>45547</v>
      </c>
      <c r="E146">
        <v>2510.5390000000002</v>
      </c>
      <c r="F146">
        <v>567.20000000000005</v>
      </c>
      <c r="G146">
        <v>1628</v>
      </c>
      <c r="H146">
        <v>75.2</v>
      </c>
      <c r="I146">
        <v>104.45</v>
      </c>
      <c r="J146">
        <v>203</v>
      </c>
      <c r="K146">
        <v>252</v>
      </c>
    </row>
    <row r="147" spans="2:11" x14ac:dyDescent="0.2">
      <c r="B147" s="3">
        <v>45554</v>
      </c>
      <c r="C147">
        <v>10.161849999999999</v>
      </c>
      <c r="D147" s="3">
        <v>45546</v>
      </c>
      <c r="E147">
        <v>2489.9549999999999</v>
      </c>
      <c r="F147">
        <v>562.20000000000005</v>
      </c>
      <c r="G147">
        <v>1663</v>
      </c>
      <c r="H147">
        <v>74.739999999999995</v>
      </c>
      <c r="I147">
        <v>104.15</v>
      </c>
      <c r="J147">
        <v>201.3</v>
      </c>
      <c r="K147">
        <v>249.9</v>
      </c>
    </row>
    <row r="148" spans="2:11" x14ac:dyDescent="0.2">
      <c r="B148" s="3">
        <v>45553</v>
      </c>
      <c r="C148">
        <v>10.2104</v>
      </c>
      <c r="D148" s="3">
        <v>45545</v>
      </c>
      <c r="E148">
        <v>2495.7600000000002</v>
      </c>
      <c r="F148">
        <v>565.20000000000005</v>
      </c>
      <c r="G148">
        <v>1684.5</v>
      </c>
      <c r="H148">
        <v>75.56</v>
      </c>
      <c r="I148">
        <v>104.75</v>
      </c>
      <c r="J148">
        <v>202</v>
      </c>
      <c r="K148">
        <v>248.7</v>
      </c>
    </row>
    <row r="149" spans="2:11" x14ac:dyDescent="0.2">
      <c r="B149" s="3">
        <v>45552</v>
      </c>
      <c r="C149">
        <v>10.1905</v>
      </c>
      <c r="D149" s="3">
        <v>45544</v>
      </c>
      <c r="E149">
        <v>2511.4430000000002</v>
      </c>
      <c r="F149">
        <v>563.79999999999995</v>
      </c>
      <c r="G149">
        <v>1720.5</v>
      </c>
      <c r="H149">
        <v>75.400000000000006</v>
      </c>
      <c r="I149">
        <v>106.05</v>
      </c>
      <c r="J149">
        <v>201.3</v>
      </c>
      <c r="K149">
        <v>254.9</v>
      </c>
    </row>
    <row r="150" spans="2:11" x14ac:dyDescent="0.2">
      <c r="B150" s="3">
        <v>45551</v>
      </c>
      <c r="C150">
        <v>10.17535</v>
      </c>
      <c r="D150" s="3">
        <v>45541</v>
      </c>
      <c r="E150">
        <v>2480.9920000000002</v>
      </c>
      <c r="F150">
        <v>551.4</v>
      </c>
      <c r="G150">
        <v>1706.5</v>
      </c>
      <c r="H150">
        <v>74.58</v>
      </c>
      <c r="I150">
        <v>105.15</v>
      </c>
      <c r="J150">
        <v>199.65</v>
      </c>
      <c r="K150">
        <v>254.7</v>
      </c>
    </row>
    <row r="151" spans="2:11" x14ac:dyDescent="0.2">
      <c r="B151" s="3">
        <v>45548</v>
      </c>
      <c r="C151">
        <v>10.233000000000001</v>
      </c>
      <c r="D151" s="3">
        <v>45540</v>
      </c>
      <c r="E151">
        <v>2509.3040000000001</v>
      </c>
      <c r="F151">
        <v>561.20000000000005</v>
      </c>
      <c r="G151">
        <v>1700</v>
      </c>
      <c r="H151">
        <v>75.8</v>
      </c>
      <c r="I151">
        <v>106.15</v>
      </c>
      <c r="J151">
        <v>201.6</v>
      </c>
      <c r="K151">
        <v>257.39999999999998</v>
      </c>
    </row>
    <row r="152" spans="2:11" x14ac:dyDescent="0.2">
      <c r="B152" s="3">
        <v>45547</v>
      </c>
      <c r="C152">
        <v>10.2844</v>
      </c>
      <c r="D152" s="3">
        <v>45539</v>
      </c>
      <c r="E152">
        <v>2531.7199999999998</v>
      </c>
      <c r="F152">
        <v>572.79999999999995</v>
      </c>
      <c r="G152">
        <v>1759</v>
      </c>
      <c r="H152">
        <v>76</v>
      </c>
      <c r="I152">
        <v>105.3</v>
      </c>
      <c r="J152">
        <v>203.3</v>
      </c>
      <c r="K152">
        <v>260.89999999999998</v>
      </c>
    </row>
    <row r="153" spans="2:11" x14ac:dyDescent="0.2">
      <c r="B153" s="3">
        <v>45546</v>
      </c>
      <c r="C153">
        <v>10.389200000000001</v>
      </c>
      <c r="D153" s="3">
        <v>45538</v>
      </c>
      <c r="E153">
        <v>2565.7779999999998</v>
      </c>
      <c r="F153">
        <v>584.6</v>
      </c>
      <c r="G153">
        <v>1781</v>
      </c>
      <c r="H153">
        <v>76.52</v>
      </c>
      <c r="I153">
        <v>105.15</v>
      </c>
      <c r="J153">
        <v>205.4</v>
      </c>
      <c r="K153">
        <v>265.89999999999998</v>
      </c>
    </row>
    <row r="154" spans="2:11" x14ac:dyDescent="0.2">
      <c r="B154" s="3">
        <v>45545</v>
      </c>
      <c r="C154">
        <v>10.3749</v>
      </c>
      <c r="D154" s="3">
        <v>45537</v>
      </c>
      <c r="E154">
        <v>2589.9810000000002</v>
      </c>
      <c r="F154">
        <v>590.4</v>
      </c>
      <c r="G154">
        <v>1785.5</v>
      </c>
      <c r="H154">
        <v>76.2</v>
      </c>
      <c r="I154">
        <v>106.45</v>
      </c>
      <c r="J154">
        <v>206.9</v>
      </c>
      <c r="K154">
        <v>269.2</v>
      </c>
    </row>
    <row r="155" spans="2:11" x14ac:dyDescent="0.2">
      <c r="B155" s="3">
        <v>45544</v>
      </c>
      <c r="C155">
        <v>10.37965</v>
      </c>
      <c r="D155" s="3">
        <v>45534</v>
      </c>
      <c r="E155">
        <v>2595.9580000000001</v>
      </c>
      <c r="F155">
        <v>587.20000000000005</v>
      </c>
      <c r="G155">
        <v>1783.5</v>
      </c>
      <c r="H155">
        <v>76.52</v>
      </c>
      <c r="I155">
        <v>105.9</v>
      </c>
      <c r="J155">
        <v>207.3</v>
      </c>
      <c r="K155">
        <v>272.60000000000002</v>
      </c>
    </row>
    <row r="156" spans="2:11" x14ac:dyDescent="0.2">
      <c r="B156" s="3">
        <v>45541</v>
      </c>
      <c r="C156">
        <v>10.30025</v>
      </c>
      <c r="D156" s="3">
        <v>45533</v>
      </c>
      <c r="E156">
        <v>2587.9009999999998</v>
      </c>
      <c r="F156">
        <v>584</v>
      </c>
      <c r="G156">
        <v>1787.5</v>
      </c>
      <c r="H156">
        <v>76.099999999999994</v>
      </c>
      <c r="I156">
        <v>105.45</v>
      </c>
      <c r="J156">
        <v>207.2</v>
      </c>
      <c r="K156">
        <v>269.5</v>
      </c>
    </row>
    <row r="157" spans="2:11" x14ac:dyDescent="0.2">
      <c r="B157" s="3">
        <v>45540</v>
      </c>
      <c r="C157">
        <v>10.25665</v>
      </c>
      <c r="D157" s="3">
        <v>45532</v>
      </c>
      <c r="E157">
        <v>2562.5360000000001</v>
      </c>
      <c r="F157">
        <v>579.79999999999995</v>
      </c>
      <c r="G157">
        <v>1773</v>
      </c>
      <c r="H157">
        <v>75.84</v>
      </c>
      <c r="I157">
        <v>105</v>
      </c>
      <c r="J157">
        <v>205.1</v>
      </c>
      <c r="K157">
        <v>266.7</v>
      </c>
    </row>
    <row r="158" spans="2:11" x14ac:dyDescent="0.2">
      <c r="B158" s="3">
        <v>45539</v>
      </c>
      <c r="C158">
        <v>10.27905</v>
      </c>
      <c r="D158" s="3">
        <v>45531</v>
      </c>
      <c r="E158">
        <v>2556.748</v>
      </c>
      <c r="F158">
        <v>577.4</v>
      </c>
      <c r="G158">
        <v>1770</v>
      </c>
      <c r="H158">
        <v>75.48</v>
      </c>
      <c r="I158">
        <v>105</v>
      </c>
      <c r="J158">
        <v>204.3</v>
      </c>
      <c r="K158">
        <v>266.2</v>
      </c>
    </row>
    <row r="159" spans="2:11" x14ac:dyDescent="0.2">
      <c r="B159" s="3">
        <v>45538</v>
      </c>
      <c r="C159">
        <v>10.30705</v>
      </c>
      <c r="D159" s="3">
        <v>45530</v>
      </c>
      <c r="E159">
        <v>2567.1239999999998</v>
      </c>
      <c r="F159">
        <v>578</v>
      </c>
      <c r="G159">
        <v>1763</v>
      </c>
      <c r="H159">
        <v>76</v>
      </c>
      <c r="I159">
        <v>104.95</v>
      </c>
      <c r="J159">
        <v>203.9</v>
      </c>
      <c r="K159">
        <v>268.5</v>
      </c>
    </row>
    <row r="160" spans="2:11" x14ac:dyDescent="0.2">
      <c r="B160" s="3">
        <v>45537</v>
      </c>
      <c r="C160">
        <v>10.2522</v>
      </c>
      <c r="D160" s="3">
        <v>45527</v>
      </c>
      <c r="E160">
        <v>2559.2730000000001</v>
      </c>
      <c r="F160">
        <v>574.20000000000005</v>
      </c>
      <c r="G160">
        <v>1758</v>
      </c>
      <c r="H160">
        <v>75.12</v>
      </c>
      <c r="I160">
        <v>104.65</v>
      </c>
      <c r="J160">
        <v>205.6</v>
      </c>
      <c r="K160">
        <v>268</v>
      </c>
    </row>
    <row r="161" spans="2:11" x14ac:dyDescent="0.2">
      <c r="B161" s="3">
        <v>45534</v>
      </c>
      <c r="C161">
        <v>10.2714</v>
      </c>
      <c r="D161" s="3">
        <v>45526</v>
      </c>
      <c r="E161">
        <v>2541.098</v>
      </c>
      <c r="F161">
        <v>577.20000000000005</v>
      </c>
      <c r="G161">
        <v>1745</v>
      </c>
      <c r="H161">
        <v>74.48</v>
      </c>
      <c r="I161">
        <v>103.65</v>
      </c>
      <c r="J161">
        <v>204.1</v>
      </c>
      <c r="K161">
        <v>264.5</v>
      </c>
    </row>
    <row r="162" spans="2:11" x14ac:dyDescent="0.2">
      <c r="B162" s="3">
        <v>45533</v>
      </c>
      <c r="C162">
        <v>10.23175</v>
      </c>
      <c r="D162" s="3">
        <v>45525</v>
      </c>
      <c r="E162">
        <v>2523.94</v>
      </c>
      <c r="F162">
        <v>572.79999999999995</v>
      </c>
      <c r="G162">
        <v>1731</v>
      </c>
      <c r="H162">
        <v>73.62</v>
      </c>
      <c r="I162">
        <v>103.1</v>
      </c>
      <c r="J162">
        <v>203.2</v>
      </c>
      <c r="K162">
        <v>263.2</v>
      </c>
    </row>
    <row r="163" spans="2:11" x14ac:dyDescent="0.2">
      <c r="B163" s="3">
        <v>45532</v>
      </c>
      <c r="C163">
        <v>10.19985</v>
      </c>
      <c r="D163" s="3">
        <v>45524</v>
      </c>
      <c r="E163">
        <v>2527.2930000000001</v>
      </c>
      <c r="F163">
        <v>573</v>
      </c>
      <c r="G163">
        <v>1749.5</v>
      </c>
      <c r="H163">
        <v>73.52</v>
      </c>
      <c r="I163">
        <v>102.2</v>
      </c>
      <c r="J163">
        <v>202.3</v>
      </c>
      <c r="K163">
        <v>264.2</v>
      </c>
    </row>
    <row r="164" spans="2:11" x14ac:dyDescent="0.2">
      <c r="B164" s="3">
        <v>45531</v>
      </c>
      <c r="C164">
        <v>10.150700000000001</v>
      </c>
      <c r="D164" s="3">
        <v>45523</v>
      </c>
      <c r="E164">
        <v>2540.826</v>
      </c>
      <c r="F164">
        <v>573.20000000000005</v>
      </c>
      <c r="G164">
        <v>1753</v>
      </c>
      <c r="H164">
        <v>74.12</v>
      </c>
      <c r="I164">
        <v>104.25</v>
      </c>
      <c r="J164">
        <v>201.6</v>
      </c>
      <c r="K164">
        <v>264.10000000000002</v>
      </c>
    </row>
    <row r="165" spans="2:11" x14ac:dyDescent="0.2">
      <c r="B165" s="3">
        <v>45530</v>
      </c>
      <c r="C165">
        <v>10.215350000000001</v>
      </c>
      <c r="D165" s="3">
        <v>45520</v>
      </c>
      <c r="E165">
        <v>2533.0929999999998</v>
      </c>
      <c r="F165">
        <v>571.79999999999995</v>
      </c>
      <c r="G165">
        <v>1773.5</v>
      </c>
      <c r="H165">
        <v>74.3</v>
      </c>
      <c r="I165">
        <v>103.75</v>
      </c>
      <c r="J165">
        <v>200.1</v>
      </c>
      <c r="K165">
        <v>264.39999999999998</v>
      </c>
    </row>
    <row r="166" spans="2:11" x14ac:dyDescent="0.2">
      <c r="B166" s="3">
        <v>45527</v>
      </c>
      <c r="C166">
        <v>10.1792</v>
      </c>
      <c r="D166" s="3">
        <v>45519</v>
      </c>
      <c r="E166">
        <v>2522.8119999999999</v>
      </c>
      <c r="F166">
        <v>570.20000000000005</v>
      </c>
      <c r="G166">
        <v>1784.5</v>
      </c>
      <c r="H166">
        <v>73.36</v>
      </c>
      <c r="I166">
        <v>103.45</v>
      </c>
      <c r="J166">
        <v>200.7</v>
      </c>
      <c r="K166">
        <v>263.60000000000002</v>
      </c>
    </row>
    <row r="167" spans="2:11" x14ac:dyDescent="0.2">
      <c r="B167" s="3">
        <v>45526</v>
      </c>
      <c r="C167">
        <v>10.2469</v>
      </c>
      <c r="D167" s="3">
        <v>45518</v>
      </c>
      <c r="E167">
        <v>2494.1849999999999</v>
      </c>
      <c r="F167">
        <v>561.4</v>
      </c>
      <c r="G167">
        <v>1733.5</v>
      </c>
      <c r="H167">
        <v>71.8</v>
      </c>
      <c r="I167">
        <v>103.3</v>
      </c>
      <c r="J167">
        <v>200.3</v>
      </c>
      <c r="K167">
        <v>259.39999999999998</v>
      </c>
    </row>
    <row r="168" spans="2:11" x14ac:dyDescent="0.2">
      <c r="B168" s="3">
        <v>45525</v>
      </c>
      <c r="C168">
        <v>10.18465</v>
      </c>
      <c r="D168" s="3">
        <v>45517</v>
      </c>
      <c r="E168">
        <v>2472.9560000000001</v>
      </c>
      <c r="F168">
        <v>557.6</v>
      </c>
      <c r="G168">
        <v>1745</v>
      </c>
      <c r="H168">
        <v>71.540000000000006</v>
      </c>
      <c r="I168">
        <v>102.55</v>
      </c>
      <c r="J168">
        <v>200.5</v>
      </c>
      <c r="K168">
        <v>257</v>
      </c>
    </row>
    <row r="169" spans="2:11" x14ac:dyDescent="0.2">
      <c r="B169" s="3">
        <v>45524</v>
      </c>
      <c r="C169">
        <v>10.2057</v>
      </c>
      <c r="D169" s="3">
        <v>45516</v>
      </c>
      <c r="E169">
        <v>2460.9029999999998</v>
      </c>
      <c r="F169">
        <v>553</v>
      </c>
      <c r="G169">
        <v>1724</v>
      </c>
      <c r="H169">
        <v>71.08</v>
      </c>
      <c r="I169">
        <v>102.15</v>
      </c>
      <c r="J169">
        <v>200.5</v>
      </c>
      <c r="K169">
        <v>255.7</v>
      </c>
    </row>
    <row r="170" spans="2:11" x14ac:dyDescent="0.2">
      <c r="B170" s="3">
        <v>45523</v>
      </c>
      <c r="C170">
        <v>10.312900000000001</v>
      </c>
      <c r="D170" s="3">
        <v>45513</v>
      </c>
      <c r="E170">
        <v>2458.5929999999998</v>
      </c>
      <c r="F170">
        <v>550.4</v>
      </c>
      <c r="G170">
        <v>1709</v>
      </c>
      <c r="H170">
        <v>70.28</v>
      </c>
      <c r="I170">
        <v>101.85</v>
      </c>
      <c r="J170">
        <v>199.3</v>
      </c>
      <c r="K170">
        <v>256</v>
      </c>
    </row>
    <row r="171" spans="2:11" x14ac:dyDescent="0.2">
      <c r="B171" s="3">
        <v>45520</v>
      </c>
      <c r="C171">
        <v>10.445650000000001</v>
      </c>
      <c r="D171" s="3">
        <v>45512</v>
      </c>
      <c r="E171">
        <v>2450.3939999999998</v>
      </c>
      <c r="F171">
        <v>549.79999999999995</v>
      </c>
      <c r="G171">
        <v>1695</v>
      </c>
      <c r="H171">
        <v>70.2</v>
      </c>
      <c r="I171">
        <v>101.15</v>
      </c>
      <c r="J171">
        <v>198.3</v>
      </c>
      <c r="K171">
        <v>256.39999999999998</v>
      </c>
    </row>
    <row r="172" spans="2:11" x14ac:dyDescent="0.2">
      <c r="B172" s="3">
        <v>45519</v>
      </c>
      <c r="C172">
        <v>10.5404</v>
      </c>
      <c r="D172" s="3">
        <v>45511</v>
      </c>
      <c r="E172">
        <v>2442.1320000000001</v>
      </c>
      <c r="F172">
        <v>544</v>
      </c>
      <c r="G172">
        <v>1686</v>
      </c>
      <c r="H172">
        <v>70.02</v>
      </c>
      <c r="I172">
        <v>100.65</v>
      </c>
      <c r="J172">
        <v>197.75</v>
      </c>
      <c r="K172">
        <v>254.1</v>
      </c>
    </row>
    <row r="173" spans="2:11" x14ac:dyDescent="0.2">
      <c r="B173" s="3">
        <v>45518</v>
      </c>
      <c r="C173">
        <v>10.4689</v>
      </c>
      <c r="D173" s="3">
        <v>45510</v>
      </c>
      <c r="E173">
        <v>2402.9560000000001</v>
      </c>
      <c r="F173">
        <v>537.6</v>
      </c>
      <c r="G173">
        <v>1666</v>
      </c>
      <c r="H173">
        <v>69.14</v>
      </c>
      <c r="I173">
        <v>98.82</v>
      </c>
      <c r="J173">
        <v>193</v>
      </c>
      <c r="K173">
        <v>250.2</v>
      </c>
    </row>
    <row r="174" spans="2:11" x14ac:dyDescent="0.2">
      <c r="B174" s="3">
        <v>45517</v>
      </c>
      <c r="C174">
        <v>10.46805</v>
      </c>
      <c r="D174" s="3">
        <v>45509</v>
      </c>
      <c r="E174">
        <v>2411.2559999999999</v>
      </c>
      <c r="F174">
        <v>540.6</v>
      </c>
      <c r="G174">
        <v>1669.5</v>
      </c>
      <c r="H174">
        <v>69.040000000000006</v>
      </c>
      <c r="I174">
        <v>100.15</v>
      </c>
      <c r="J174">
        <v>194.2</v>
      </c>
      <c r="K174">
        <v>251.8</v>
      </c>
    </row>
    <row r="175" spans="2:11" x14ac:dyDescent="0.2">
      <c r="B175" s="3">
        <v>45516</v>
      </c>
      <c r="C175">
        <v>10.523949999999999</v>
      </c>
      <c r="D175" s="3">
        <v>45506</v>
      </c>
      <c r="E175">
        <v>2467.0050000000001</v>
      </c>
      <c r="F175">
        <v>547.79999999999995</v>
      </c>
      <c r="G175">
        <v>1713</v>
      </c>
      <c r="H175">
        <v>71.36</v>
      </c>
      <c r="I175">
        <v>102.1</v>
      </c>
      <c r="J175">
        <v>198.05</v>
      </c>
      <c r="K175">
        <v>259.5</v>
      </c>
    </row>
    <row r="176" spans="2:11" x14ac:dyDescent="0.2">
      <c r="B176" s="3">
        <v>45513</v>
      </c>
      <c r="C176">
        <v>10.51985</v>
      </c>
      <c r="D176" s="3">
        <v>45505</v>
      </c>
      <c r="E176">
        <v>2547.1759999999999</v>
      </c>
      <c r="F176">
        <v>575</v>
      </c>
      <c r="G176">
        <v>1711.5</v>
      </c>
      <c r="H176">
        <v>73.319999999999993</v>
      </c>
      <c r="I176">
        <v>105.25</v>
      </c>
      <c r="J176">
        <v>203.1</v>
      </c>
      <c r="K176">
        <v>266.3</v>
      </c>
    </row>
    <row r="177" spans="2:11" x14ac:dyDescent="0.2">
      <c r="B177" s="3">
        <v>45512</v>
      </c>
      <c r="C177">
        <v>10.5161</v>
      </c>
      <c r="D177" s="3">
        <v>45504</v>
      </c>
      <c r="E177">
        <v>2609.328</v>
      </c>
      <c r="F177">
        <v>594.79999999999995</v>
      </c>
      <c r="G177">
        <v>1696.5</v>
      </c>
      <c r="H177">
        <v>73.260000000000005</v>
      </c>
      <c r="I177">
        <v>108.2</v>
      </c>
      <c r="J177">
        <v>209.1</v>
      </c>
      <c r="K177">
        <v>273.3</v>
      </c>
    </row>
    <row r="178" spans="2:11" x14ac:dyDescent="0.2">
      <c r="B178" s="3">
        <v>45511</v>
      </c>
      <c r="C178">
        <v>10.49385</v>
      </c>
      <c r="D178" s="3">
        <v>45503</v>
      </c>
      <c r="E178">
        <v>2595.248</v>
      </c>
      <c r="F178">
        <v>586.6</v>
      </c>
      <c r="G178">
        <v>1698</v>
      </c>
      <c r="H178">
        <v>73.400000000000006</v>
      </c>
      <c r="I178">
        <v>108.75</v>
      </c>
      <c r="J178">
        <v>210.8</v>
      </c>
      <c r="K178">
        <v>273.10000000000002</v>
      </c>
    </row>
    <row r="179" spans="2:11" x14ac:dyDescent="0.2">
      <c r="B179" s="3">
        <v>45510</v>
      </c>
      <c r="C179">
        <v>10.528600000000001</v>
      </c>
      <c r="D179" s="3">
        <v>45502</v>
      </c>
      <c r="E179">
        <v>2580.0010000000002</v>
      </c>
      <c r="F179">
        <v>583.4</v>
      </c>
      <c r="G179">
        <v>1718</v>
      </c>
      <c r="H179">
        <v>72.099999999999994</v>
      </c>
      <c r="I179">
        <v>108</v>
      </c>
      <c r="J179">
        <v>209.3</v>
      </c>
      <c r="K179">
        <v>271.10000000000002</v>
      </c>
    </row>
    <row r="180" spans="2:11" x14ac:dyDescent="0.2">
      <c r="B180" s="3">
        <v>45509</v>
      </c>
      <c r="C180">
        <v>10.5488</v>
      </c>
      <c r="D180" s="3">
        <v>45499</v>
      </c>
      <c r="E180">
        <v>2578.7489999999998</v>
      </c>
      <c r="F180">
        <v>589.79999999999995</v>
      </c>
      <c r="G180">
        <v>1697.5</v>
      </c>
      <c r="H180">
        <v>71.819999999999993</v>
      </c>
      <c r="I180">
        <v>107.45</v>
      </c>
      <c r="J180">
        <v>210.1</v>
      </c>
      <c r="K180">
        <v>272.39999999999998</v>
      </c>
    </row>
    <row r="181" spans="2:11" x14ac:dyDescent="0.2">
      <c r="B181" s="3">
        <v>45506</v>
      </c>
      <c r="C181">
        <v>10.58085</v>
      </c>
      <c r="D181" s="3">
        <v>45498</v>
      </c>
      <c r="E181">
        <v>2562.3719999999998</v>
      </c>
      <c r="F181">
        <v>579.20000000000005</v>
      </c>
      <c r="G181">
        <v>1667.5</v>
      </c>
      <c r="H181">
        <v>71.2</v>
      </c>
      <c r="I181">
        <v>106.7</v>
      </c>
      <c r="J181">
        <v>207.4</v>
      </c>
      <c r="K181">
        <v>270.39999999999998</v>
      </c>
    </row>
    <row r="182" spans="2:11" x14ac:dyDescent="0.2">
      <c r="B182" s="3">
        <v>45505</v>
      </c>
      <c r="C182">
        <v>10.732849999999999</v>
      </c>
      <c r="D182" s="3">
        <v>45497</v>
      </c>
      <c r="E182">
        <v>2570.9699999999998</v>
      </c>
      <c r="F182">
        <v>587.6</v>
      </c>
      <c r="G182">
        <v>1698</v>
      </c>
      <c r="H182">
        <v>71</v>
      </c>
      <c r="I182">
        <v>106.3</v>
      </c>
      <c r="J182">
        <v>209.1</v>
      </c>
      <c r="K182">
        <v>270.60000000000002</v>
      </c>
    </row>
    <row r="183" spans="2:11" x14ac:dyDescent="0.2">
      <c r="B183" s="3">
        <v>45504</v>
      </c>
      <c r="C183">
        <v>10.6982</v>
      </c>
      <c r="D183" s="3">
        <v>45496</v>
      </c>
      <c r="E183">
        <v>2596.4250000000002</v>
      </c>
      <c r="F183">
        <v>596.4</v>
      </c>
      <c r="G183">
        <v>1693.5</v>
      </c>
      <c r="H183">
        <v>71.72</v>
      </c>
      <c r="I183">
        <v>107</v>
      </c>
      <c r="J183">
        <v>212</v>
      </c>
      <c r="K183">
        <v>281.10000000000002</v>
      </c>
    </row>
    <row r="184" spans="2:11" x14ac:dyDescent="0.2">
      <c r="B184" s="3">
        <v>45503</v>
      </c>
      <c r="C184">
        <v>10.7605</v>
      </c>
      <c r="D184" s="3">
        <v>45495</v>
      </c>
      <c r="E184">
        <v>2593.4290000000001</v>
      </c>
      <c r="F184">
        <v>586.20000000000005</v>
      </c>
      <c r="G184">
        <v>1696.5</v>
      </c>
      <c r="H184">
        <v>71.7</v>
      </c>
      <c r="I184">
        <v>107.55</v>
      </c>
      <c r="J184">
        <v>212</v>
      </c>
      <c r="K184">
        <v>286.3</v>
      </c>
    </row>
    <row r="185" spans="2:11" x14ac:dyDescent="0.2">
      <c r="B185" s="3">
        <v>45502</v>
      </c>
      <c r="C185">
        <v>10.828849999999999</v>
      </c>
      <c r="D185" s="3">
        <v>45492</v>
      </c>
      <c r="E185">
        <v>2570.63</v>
      </c>
      <c r="F185">
        <v>579.79999999999995</v>
      </c>
      <c r="G185">
        <v>1672</v>
      </c>
      <c r="H185">
        <v>70.400000000000006</v>
      </c>
      <c r="I185">
        <v>106.95</v>
      </c>
      <c r="J185">
        <v>210</v>
      </c>
      <c r="K185">
        <v>281.39999999999998</v>
      </c>
    </row>
    <row r="186" spans="2:11" x14ac:dyDescent="0.2">
      <c r="B186" s="3">
        <v>45499</v>
      </c>
      <c r="C186">
        <v>10.811400000000001</v>
      </c>
      <c r="D186" s="3">
        <v>45491</v>
      </c>
      <c r="E186">
        <v>2597.7890000000002</v>
      </c>
      <c r="F186">
        <v>578</v>
      </c>
      <c r="G186">
        <v>1663</v>
      </c>
      <c r="H186">
        <v>71.38</v>
      </c>
      <c r="I186">
        <v>107.55</v>
      </c>
      <c r="J186">
        <v>209.3</v>
      </c>
      <c r="K186">
        <v>287.2</v>
      </c>
    </row>
    <row r="187" spans="2:11" x14ac:dyDescent="0.2">
      <c r="B187" s="3">
        <v>45498</v>
      </c>
      <c r="C187">
        <v>10.8337</v>
      </c>
      <c r="D187" s="3">
        <v>45490</v>
      </c>
      <c r="E187">
        <v>2597.5549999999998</v>
      </c>
      <c r="F187">
        <v>609.6</v>
      </c>
      <c r="G187">
        <v>1679</v>
      </c>
      <c r="H187">
        <v>71.12</v>
      </c>
      <c r="I187">
        <v>109.2</v>
      </c>
      <c r="J187">
        <v>206.2</v>
      </c>
      <c r="K187">
        <v>271.2</v>
      </c>
    </row>
    <row r="188" spans="2:11" x14ac:dyDescent="0.2">
      <c r="B188" s="3">
        <v>45497</v>
      </c>
      <c r="C188">
        <v>10.778700000000001</v>
      </c>
      <c r="D188" s="3">
        <v>45489</v>
      </c>
      <c r="E188">
        <v>2613.5830000000001</v>
      </c>
      <c r="F188">
        <v>613.79999999999995</v>
      </c>
      <c r="G188">
        <v>1661</v>
      </c>
      <c r="H188">
        <v>70.94</v>
      </c>
      <c r="I188">
        <v>102.05</v>
      </c>
      <c r="J188">
        <v>207.1</v>
      </c>
      <c r="K188">
        <v>275.5</v>
      </c>
    </row>
    <row r="189" spans="2:11" x14ac:dyDescent="0.2">
      <c r="B189" s="3">
        <v>45496</v>
      </c>
      <c r="C189">
        <v>10.767849999999999</v>
      </c>
      <c r="D189" s="3">
        <v>45488</v>
      </c>
      <c r="E189">
        <v>2605.2919999999999</v>
      </c>
      <c r="F189">
        <v>611.20000000000005</v>
      </c>
      <c r="G189">
        <v>1662</v>
      </c>
      <c r="H189">
        <v>68.900000000000006</v>
      </c>
      <c r="I189">
        <v>102.3</v>
      </c>
      <c r="J189">
        <v>202</v>
      </c>
      <c r="K189">
        <v>273.2</v>
      </c>
    </row>
    <row r="190" spans="2:11" x14ac:dyDescent="0.2">
      <c r="B190" s="3">
        <v>45495</v>
      </c>
      <c r="C190">
        <v>10.718299999999999</v>
      </c>
      <c r="D190" s="3">
        <v>45485</v>
      </c>
      <c r="E190">
        <v>2630.6089999999999</v>
      </c>
      <c r="F190">
        <v>610.6</v>
      </c>
      <c r="G190">
        <v>1676</v>
      </c>
      <c r="H190">
        <v>70.88</v>
      </c>
      <c r="I190">
        <v>103.25</v>
      </c>
      <c r="J190">
        <v>203</v>
      </c>
      <c r="K190">
        <v>275.89999999999998</v>
      </c>
    </row>
    <row r="191" spans="2:11" x14ac:dyDescent="0.2">
      <c r="B191" s="3">
        <v>45492</v>
      </c>
      <c r="C191">
        <v>10.680400000000001</v>
      </c>
      <c r="D191" s="3">
        <v>45484</v>
      </c>
      <c r="E191">
        <v>2574.2750000000001</v>
      </c>
      <c r="F191">
        <v>595.79999999999995</v>
      </c>
      <c r="G191">
        <v>1637</v>
      </c>
      <c r="H191">
        <v>67.92</v>
      </c>
      <c r="I191">
        <v>103</v>
      </c>
      <c r="J191">
        <v>199.15</v>
      </c>
      <c r="K191">
        <v>269.60000000000002</v>
      </c>
    </row>
    <row r="192" spans="2:11" x14ac:dyDescent="0.2">
      <c r="B192" s="3">
        <v>45491</v>
      </c>
      <c r="C192">
        <v>10.5783</v>
      </c>
      <c r="D192" s="3">
        <v>45483</v>
      </c>
      <c r="E192">
        <v>2548.3989999999999</v>
      </c>
      <c r="F192">
        <v>590.79999999999995</v>
      </c>
      <c r="G192">
        <v>1635.5</v>
      </c>
      <c r="H192">
        <v>67.94</v>
      </c>
      <c r="I192">
        <v>101.65</v>
      </c>
      <c r="J192">
        <v>196.1</v>
      </c>
      <c r="K192">
        <v>266.39999999999998</v>
      </c>
    </row>
    <row r="193" spans="2:11" x14ac:dyDescent="0.2">
      <c r="B193" s="3">
        <v>45490</v>
      </c>
      <c r="C193">
        <v>10.535</v>
      </c>
      <c r="D193" s="3">
        <v>45482</v>
      </c>
      <c r="E193">
        <v>2534.2150000000001</v>
      </c>
      <c r="F193">
        <v>588.4</v>
      </c>
      <c r="G193">
        <v>1616</v>
      </c>
      <c r="H193">
        <v>67.400000000000006</v>
      </c>
      <c r="I193">
        <v>100</v>
      </c>
      <c r="J193">
        <v>192.65</v>
      </c>
      <c r="K193">
        <v>263.2</v>
      </c>
    </row>
    <row r="194" spans="2:11" x14ac:dyDescent="0.2">
      <c r="B194" s="3">
        <v>45489</v>
      </c>
      <c r="C194">
        <v>10.5932</v>
      </c>
      <c r="D194" s="3">
        <v>45481</v>
      </c>
      <c r="E194">
        <v>2564.3029999999999</v>
      </c>
      <c r="F194">
        <v>589.79999999999995</v>
      </c>
      <c r="G194">
        <v>1628.5</v>
      </c>
      <c r="H194">
        <v>67.900000000000006</v>
      </c>
      <c r="I194">
        <v>100.95</v>
      </c>
      <c r="J194">
        <v>194.75</v>
      </c>
      <c r="K194">
        <v>266.5</v>
      </c>
    </row>
    <row r="195" spans="2:11" x14ac:dyDescent="0.2">
      <c r="B195" s="3">
        <v>45488</v>
      </c>
      <c r="C195">
        <v>10.60425</v>
      </c>
      <c r="D195" s="3">
        <v>45478</v>
      </c>
      <c r="E195">
        <v>2556.5349999999999</v>
      </c>
      <c r="F195">
        <v>581.4</v>
      </c>
      <c r="G195">
        <v>1617</v>
      </c>
      <c r="H195">
        <v>65.540000000000006</v>
      </c>
      <c r="I195">
        <v>102.45</v>
      </c>
      <c r="J195">
        <v>193.25</v>
      </c>
      <c r="K195">
        <v>266.39999999999998</v>
      </c>
    </row>
    <row r="196" spans="2:11" x14ac:dyDescent="0.2">
      <c r="B196" s="3">
        <v>45485</v>
      </c>
      <c r="C196">
        <v>10.493600000000001</v>
      </c>
      <c r="D196" s="3">
        <v>45477</v>
      </c>
      <c r="E196">
        <v>2571.8710000000001</v>
      </c>
      <c r="F196">
        <v>590</v>
      </c>
      <c r="G196">
        <v>1627.5</v>
      </c>
      <c r="H196">
        <v>65.22</v>
      </c>
      <c r="I196">
        <v>103.2</v>
      </c>
      <c r="J196">
        <v>192.1</v>
      </c>
      <c r="K196">
        <v>268.60000000000002</v>
      </c>
    </row>
    <row r="197" spans="2:11" x14ac:dyDescent="0.2">
      <c r="B197" s="3">
        <v>45484</v>
      </c>
      <c r="C197">
        <v>10.4979</v>
      </c>
      <c r="D197" s="3">
        <v>45476</v>
      </c>
      <c r="E197">
        <v>2565.2649999999999</v>
      </c>
      <c r="F197">
        <v>585.20000000000005</v>
      </c>
      <c r="G197">
        <v>1608.5</v>
      </c>
      <c r="H197">
        <v>66.02</v>
      </c>
      <c r="I197">
        <v>101.95</v>
      </c>
      <c r="J197">
        <v>188</v>
      </c>
      <c r="K197">
        <v>267.2</v>
      </c>
    </row>
    <row r="198" spans="2:11" x14ac:dyDescent="0.2">
      <c r="B198" s="3">
        <v>45483</v>
      </c>
      <c r="C198">
        <v>10.543850000000001</v>
      </c>
      <c r="D198" s="3">
        <v>45475</v>
      </c>
      <c r="E198">
        <v>2554.1239999999998</v>
      </c>
      <c r="F198">
        <v>584.79999999999995</v>
      </c>
      <c r="G198">
        <v>1631</v>
      </c>
      <c r="H198">
        <v>66.2</v>
      </c>
      <c r="I198">
        <v>100.95</v>
      </c>
      <c r="J198">
        <v>185.85</v>
      </c>
      <c r="K198">
        <v>266.5</v>
      </c>
    </row>
    <row r="199" spans="2:11" x14ac:dyDescent="0.2">
      <c r="B199" s="3">
        <v>45482</v>
      </c>
      <c r="C199">
        <v>10.556900000000001</v>
      </c>
      <c r="D199" s="3">
        <v>45474</v>
      </c>
      <c r="E199">
        <v>2584.8319999999999</v>
      </c>
      <c r="F199">
        <v>592.6</v>
      </c>
      <c r="G199">
        <v>1659.5</v>
      </c>
      <c r="H199">
        <v>67.099999999999994</v>
      </c>
      <c r="I199">
        <v>101.8</v>
      </c>
      <c r="J199">
        <v>189.4</v>
      </c>
      <c r="K199">
        <v>273.39999999999998</v>
      </c>
    </row>
    <row r="200" spans="2:11" x14ac:dyDescent="0.2">
      <c r="B200" s="3">
        <v>45481</v>
      </c>
      <c r="C200">
        <v>10.5838</v>
      </c>
      <c r="D200" s="3">
        <v>45471</v>
      </c>
      <c r="E200">
        <v>2569.4540000000002</v>
      </c>
      <c r="F200">
        <v>588</v>
      </c>
      <c r="G200">
        <v>1661</v>
      </c>
      <c r="H200">
        <v>65.8</v>
      </c>
      <c r="I200">
        <v>100.95</v>
      </c>
      <c r="J200">
        <v>190.8</v>
      </c>
      <c r="K200">
        <v>271.10000000000002</v>
      </c>
    </row>
    <row r="201" spans="2:11" x14ac:dyDescent="0.2">
      <c r="B201" s="3">
        <v>45478</v>
      </c>
      <c r="C201">
        <v>10.48095</v>
      </c>
      <c r="D201" s="3">
        <v>45470</v>
      </c>
      <c r="E201">
        <v>2557.8649999999998</v>
      </c>
      <c r="F201">
        <v>590.20000000000005</v>
      </c>
      <c r="G201">
        <v>1658.5</v>
      </c>
      <c r="H201">
        <v>65.400000000000006</v>
      </c>
      <c r="I201">
        <v>99.94</v>
      </c>
      <c r="J201">
        <v>189.6</v>
      </c>
      <c r="K201">
        <v>267.10000000000002</v>
      </c>
    </row>
    <row r="202" spans="2:11" x14ac:dyDescent="0.2">
      <c r="B202" s="3">
        <v>45477</v>
      </c>
      <c r="C202">
        <v>10.5046</v>
      </c>
      <c r="D202" s="3">
        <v>45469</v>
      </c>
      <c r="E202">
        <v>2572.2429999999999</v>
      </c>
      <c r="F202">
        <v>584</v>
      </c>
      <c r="G202">
        <v>1674</v>
      </c>
      <c r="H202">
        <v>64.599999999999994</v>
      </c>
      <c r="I202">
        <v>99.84</v>
      </c>
      <c r="J202">
        <v>191.4</v>
      </c>
      <c r="K202">
        <v>268.3</v>
      </c>
    </row>
    <row r="203" spans="2:11" x14ac:dyDescent="0.2">
      <c r="B203" s="3">
        <v>45476</v>
      </c>
      <c r="C203">
        <v>10.4923</v>
      </c>
      <c r="D203" s="3">
        <v>45468</v>
      </c>
      <c r="E203">
        <v>2561.5659999999998</v>
      </c>
      <c r="F203">
        <v>583.20000000000005</v>
      </c>
      <c r="G203">
        <v>1676</v>
      </c>
      <c r="H203">
        <v>64.36</v>
      </c>
      <c r="I203">
        <v>99.3</v>
      </c>
      <c r="J203">
        <v>193.15</v>
      </c>
      <c r="K203">
        <v>267.7</v>
      </c>
    </row>
    <row r="204" spans="2:11" x14ac:dyDescent="0.2">
      <c r="B204" s="3">
        <v>45475</v>
      </c>
      <c r="C204">
        <v>10.579750000000001</v>
      </c>
      <c r="D204" s="3">
        <v>45467</v>
      </c>
      <c r="E204">
        <v>2594.5439999999999</v>
      </c>
      <c r="F204">
        <v>587.79999999999995</v>
      </c>
      <c r="G204">
        <v>1662</v>
      </c>
      <c r="H204">
        <v>64.94</v>
      </c>
      <c r="I204">
        <v>100.65</v>
      </c>
      <c r="J204">
        <v>195.55</v>
      </c>
      <c r="K204">
        <v>271.3</v>
      </c>
    </row>
    <row r="205" spans="2:11" x14ac:dyDescent="0.2">
      <c r="B205" s="3">
        <v>45474</v>
      </c>
      <c r="C205">
        <v>10.613</v>
      </c>
      <c r="D205" s="3">
        <v>45463</v>
      </c>
      <c r="E205">
        <v>2573.7710000000002</v>
      </c>
      <c r="F205">
        <v>600.79999999999995</v>
      </c>
      <c r="G205">
        <v>1644</v>
      </c>
      <c r="H205">
        <v>63</v>
      </c>
      <c r="I205">
        <v>99.8</v>
      </c>
      <c r="J205">
        <v>196.1</v>
      </c>
      <c r="K205">
        <v>267.89999999999998</v>
      </c>
    </row>
    <row r="206" spans="2:11" x14ac:dyDescent="0.2">
      <c r="B206" s="3">
        <v>45471</v>
      </c>
      <c r="C206">
        <v>10.598800000000001</v>
      </c>
      <c r="D206" s="3">
        <v>45462</v>
      </c>
      <c r="E206">
        <v>2554.2060000000001</v>
      </c>
      <c r="F206">
        <v>599</v>
      </c>
      <c r="G206">
        <v>1641</v>
      </c>
      <c r="H206">
        <v>62.12</v>
      </c>
      <c r="I206">
        <v>98.98</v>
      </c>
      <c r="J206">
        <v>192.3</v>
      </c>
      <c r="K206">
        <v>264.89999999999998</v>
      </c>
    </row>
    <row r="207" spans="2:11" x14ac:dyDescent="0.2">
      <c r="B207" s="3">
        <v>45470</v>
      </c>
      <c r="C207">
        <v>10.6241</v>
      </c>
      <c r="D207" s="3">
        <v>45461</v>
      </c>
      <c r="E207">
        <v>2566.489</v>
      </c>
      <c r="F207">
        <v>603.6</v>
      </c>
      <c r="G207">
        <v>1647</v>
      </c>
      <c r="H207">
        <v>62.46</v>
      </c>
      <c r="I207">
        <v>99.3</v>
      </c>
      <c r="J207">
        <v>193.4</v>
      </c>
      <c r="K207">
        <v>265.10000000000002</v>
      </c>
    </row>
    <row r="208" spans="2:11" x14ac:dyDescent="0.2">
      <c r="B208" s="3">
        <v>45469</v>
      </c>
      <c r="C208">
        <v>10.575100000000001</v>
      </c>
      <c r="D208" s="3">
        <v>45460</v>
      </c>
      <c r="E208">
        <v>2558.5129999999999</v>
      </c>
      <c r="F208">
        <v>593</v>
      </c>
      <c r="G208">
        <v>1659.5</v>
      </c>
      <c r="H208">
        <v>61.96</v>
      </c>
      <c r="I208">
        <v>99.96</v>
      </c>
      <c r="J208">
        <v>190</v>
      </c>
      <c r="K208">
        <v>264.2</v>
      </c>
    </row>
    <row r="209" spans="2:11" x14ac:dyDescent="0.2">
      <c r="B209" s="3">
        <v>45468</v>
      </c>
      <c r="C209">
        <v>10.507999999999999</v>
      </c>
      <c r="D209" s="3">
        <v>45457</v>
      </c>
      <c r="E209">
        <v>2561.6</v>
      </c>
      <c r="F209">
        <v>589.79999999999995</v>
      </c>
      <c r="G209">
        <v>1675.5</v>
      </c>
      <c r="H209">
        <v>61.78</v>
      </c>
      <c r="I209">
        <v>100.25</v>
      </c>
      <c r="J209">
        <v>187.55</v>
      </c>
      <c r="K209">
        <v>263.60000000000002</v>
      </c>
    </row>
    <row r="210" spans="2:11" x14ac:dyDescent="0.2">
      <c r="B210" s="3">
        <v>45467</v>
      </c>
      <c r="C210">
        <v>10.475849999999999</v>
      </c>
      <c r="D210" s="3">
        <v>45456</v>
      </c>
      <c r="E210">
        <v>2587.1109999999999</v>
      </c>
      <c r="F210">
        <v>593</v>
      </c>
      <c r="G210">
        <v>1654</v>
      </c>
      <c r="H210">
        <v>62.18</v>
      </c>
      <c r="I210">
        <v>99.14</v>
      </c>
      <c r="J210">
        <v>189.2</v>
      </c>
      <c r="K210">
        <v>268.7</v>
      </c>
    </row>
    <row r="211" spans="2:11" x14ac:dyDescent="0.2">
      <c r="B211" s="3">
        <v>45464</v>
      </c>
      <c r="C211">
        <v>10.507199999999999</v>
      </c>
      <c r="D211" s="3">
        <v>45455</v>
      </c>
      <c r="E211">
        <v>2627.116</v>
      </c>
      <c r="F211">
        <v>596</v>
      </c>
      <c r="G211">
        <v>1652</v>
      </c>
      <c r="H211">
        <v>64</v>
      </c>
      <c r="I211">
        <v>101.15</v>
      </c>
      <c r="J211">
        <v>189.7</v>
      </c>
      <c r="K211">
        <v>274.10000000000002</v>
      </c>
    </row>
    <row r="212" spans="2:11" x14ac:dyDescent="0.2">
      <c r="B212" s="3">
        <v>45463</v>
      </c>
      <c r="C212">
        <v>10.497199999999999</v>
      </c>
      <c r="D212" s="3">
        <v>45454</v>
      </c>
      <c r="E212">
        <v>2586.9630000000002</v>
      </c>
      <c r="F212">
        <v>584.6</v>
      </c>
      <c r="G212">
        <v>1662</v>
      </c>
      <c r="H212">
        <v>64.040000000000006</v>
      </c>
      <c r="I212">
        <v>99.32</v>
      </c>
      <c r="J212">
        <v>185.7</v>
      </c>
      <c r="K212">
        <v>271.10000000000002</v>
      </c>
    </row>
    <row r="213" spans="2:11" x14ac:dyDescent="0.2">
      <c r="B213" s="3">
        <v>45462</v>
      </c>
      <c r="C213">
        <v>10.4413</v>
      </c>
      <c r="D213" s="3">
        <v>45453</v>
      </c>
      <c r="E213">
        <v>2600.7159999999999</v>
      </c>
      <c r="F213">
        <v>588.6</v>
      </c>
      <c r="G213">
        <v>1689.5</v>
      </c>
      <c r="H213">
        <v>65.12</v>
      </c>
      <c r="I213">
        <v>98.66</v>
      </c>
      <c r="J213">
        <v>182.2</v>
      </c>
      <c r="K213">
        <v>272.39999999999998</v>
      </c>
    </row>
    <row r="214" spans="2:11" x14ac:dyDescent="0.2">
      <c r="B214" s="3">
        <v>45461</v>
      </c>
      <c r="C214">
        <v>10.437099999999999</v>
      </c>
      <c r="D214" s="3">
        <v>45450</v>
      </c>
      <c r="E214">
        <v>2623.5889999999999</v>
      </c>
      <c r="F214">
        <v>591.6</v>
      </c>
      <c r="G214">
        <v>1690.5</v>
      </c>
      <c r="H214">
        <v>66.2</v>
      </c>
      <c r="I214">
        <v>100.2</v>
      </c>
      <c r="J214">
        <v>184.1</v>
      </c>
      <c r="K214">
        <v>275.2</v>
      </c>
    </row>
    <row r="215" spans="2:11" x14ac:dyDescent="0.2">
      <c r="B215" s="3">
        <v>45460</v>
      </c>
      <c r="C215">
        <v>10.477550000000001</v>
      </c>
      <c r="D215" s="3">
        <v>45448</v>
      </c>
      <c r="E215">
        <v>2609.7220000000002</v>
      </c>
      <c r="F215">
        <v>584.4</v>
      </c>
      <c r="G215">
        <v>1676.5</v>
      </c>
      <c r="H215">
        <v>65.8</v>
      </c>
      <c r="I215">
        <v>98.56</v>
      </c>
      <c r="J215">
        <v>185.9</v>
      </c>
      <c r="K215">
        <v>285.89999999999998</v>
      </c>
    </row>
    <row r="216" spans="2:11" x14ac:dyDescent="0.2">
      <c r="B216" s="3">
        <v>45457</v>
      </c>
      <c r="C216">
        <v>10.511100000000001</v>
      </c>
      <c r="D216" s="3">
        <v>45447</v>
      </c>
      <c r="E216">
        <v>2587.7020000000002</v>
      </c>
      <c r="F216">
        <v>577</v>
      </c>
      <c r="G216">
        <v>1663</v>
      </c>
      <c r="H216">
        <v>65.5</v>
      </c>
      <c r="I216">
        <v>98.4</v>
      </c>
      <c r="J216">
        <v>184.65</v>
      </c>
      <c r="K216">
        <v>278.60000000000002</v>
      </c>
    </row>
    <row r="217" spans="2:11" x14ac:dyDescent="0.2">
      <c r="B217" s="3">
        <v>45456</v>
      </c>
      <c r="C217">
        <v>10.47875</v>
      </c>
      <c r="D217" s="3">
        <v>45446</v>
      </c>
      <c r="E217">
        <v>2612.0160000000001</v>
      </c>
      <c r="F217">
        <v>577.4</v>
      </c>
      <c r="G217">
        <v>1652.5</v>
      </c>
      <c r="H217">
        <v>65.400000000000006</v>
      </c>
      <c r="I217">
        <v>99.54</v>
      </c>
      <c r="J217">
        <v>186.7</v>
      </c>
      <c r="K217">
        <v>285.2</v>
      </c>
    </row>
    <row r="218" spans="2:11" x14ac:dyDescent="0.2">
      <c r="B218" s="3">
        <v>45455</v>
      </c>
      <c r="C218">
        <v>10.363200000000001</v>
      </c>
      <c r="D218" s="3">
        <v>45443</v>
      </c>
      <c r="E218">
        <v>2604.1039999999998</v>
      </c>
      <c r="F218">
        <v>575.6</v>
      </c>
      <c r="G218">
        <v>1643</v>
      </c>
      <c r="H218">
        <v>64.58</v>
      </c>
      <c r="I218">
        <v>98.64</v>
      </c>
      <c r="J218">
        <v>185.25</v>
      </c>
      <c r="K218">
        <v>282</v>
      </c>
    </row>
    <row r="219" spans="2:11" x14ac:dyDescent="0.2">
      <c r="B219" s="3">
        <v>45454</v>
      </c>
      <c r="C219">
        <v>10.478400000000001</v>
      </c>
      <c r="D219" s="3">
        <v>45442</v>
      </c>
      <c r="E219">
        <v>2593.0749999999998</v>
      </c>
      <c r="F219">
        <v>577.79999999999995</v>
      </c>
      <c r="G219">
        <v>1625.5</v>
      </c>
      <c r="H219">
        <v>64.62</v>
      </c>
      <c r="I219">
        <v>97.62</v>
      </c>
      <c r="J219">
        <v>187.75</v>
      </c>
      <c r="K219">
        <v>283.60000000000002</v>
      </c>
    </row>
    <row r="220" spans="2:11" x14ac:dyDescent="0.2">
      <c r="B220" s="3">
        <v>45453</v>
      </c>
      <c r="C220">
        <v>10.49085</v>
      </c>
      <c r="D220" s="3">
        <v>45441</v>
      </c>
      <c r="E220">
        <v>2583.5</v>
      </c>
      <c r="F220">
        <v>575.20000000000005</v>
      </c>
      <c r="G220">
        <v>1617</v>
      </c>
      <c r="H220">
        <v>62.98</v>
      </c>
      <c r="I220">
        <v>97.36</v>
      </c>
      <c r="J220">
        <v>186.65</v>
      </c>
      <c r="K220">
        <v>281.8</v>
      </c>
    </row>
    <row r="221" spans="2:11" x14ac:dyDescent="0.2">
      <c r="B221" s="3">
        <v>45450</v>
      </c>
      <c r="C221">
        <v>10.5413</v>
      </c>
      <c r="D221" s="3">
        <v>45440</v>
      </c>
      <c r="E221">
        <v>2616.2860000000001</v>
      </c>
      <c r="F221">
        <v>573.79999999999995</v>
      </c>
      <c r="G221">
        <v>1620.5</v>
      </c>
      <c r="H221">
        <v>63.46</v>
      </c>
      <c r="I221">
        <v>98.96</v>
      </c>
      <c r="J221">
        <v>189.55</v>
      </c>
      <c r="K221">
        <v>284.5</v>
      </c>
    </row>
    <row r="222" spans="2:11" x14ac:dyDescent="0.2">
      <c r="B222" s="3">
        <v>45449</v>
      </c>
      <c r="C222">
        <v>10.3926</v>
      </c>
      <c r="D222" s="3">
        <v>45439</v>
      </c>
      <c r="E222">
        <v>2630.2959999999998</v>
      </c>
      <c r="F222">
        <v>578.20000000000005</v>
      </c>
      <c r="G222">
        <v>1660</v>
      </c>
      <c r="H222">
        <v>63.34</v>
      </c>
      <c r="I222">
        <v>98.2</v>
      </c>
      <c r="J222">
        <v>192.45</v>
      </c>
      <c r="K222">
        <v>285.5</v>
      </c>
    </row>
    <row r="223" spans="2:11" x14ac:dyDescent="0.2">
      <c r="B223" s="3">
        <v>45448</v>
      </c>
      <c r="C223">
        <v>10.392799999999999</v>
      </c>
      <c r="D223" s="3">
        <v>45436</v>
      </c>
      <c r="E223">
        <v>2624.5</v>
      </c>
      <c r="F223">
        <v>573.4</v>
      </c>
      <c r="G223">
        <v>1672.5</v>
      </c>
      <c r="H223">
        <v>63.44</v>
      </c>
      <c r="I223">
        <v>97.7</v>
      </c>
      <c r="J223">
        <v>191.15</v>
      </c>
      <c r="K223">
        <v>286.39999999999998</v>
      </c>
    </row>
    <row r="224" spans="2:11" x14ac:dyDescent="0.2">
      <c r="B224" s="3">
        <v>45447</v>
      </c>
      <c r="C224">
        <v>10.4421</v>
      </c>
      <c r="D224" s="3">
        <v>45435</v>
      </c>
      <c r="E224">
        <v>2641.4670000000001</v>
      </c>
      <c r="F224">
        <v>575</v>
      </c>
      <c r="G224">
        <v>1695</v>
      </c>
      <c r="H224">
        <v>63.62</v>
      </c>
      <c r="I224">
        <v>98.52</v>
      </c>
      <c r="J224">
        <v>189.85</v>
      </c>
      <c r="K224">
        <v>286.39999999999998</v>
      </c>
    </row>
    <row r="225" spans="2:11" x14ac:dyDescent="0.2">
      <c r="B225" s="3">
        <v>45446</v>
      </c>
      <c r="C225">
        <v>10.4129</v>
      </c>
      <c r="D225" s="3">
        <v>45434</v>
      </c>
      <c r="E225">
        <v>2634.5059999999999</v>
      </c>
      <c r="F225">
        <v>563.79999999999995</v>
      </c>
      <c r="G225">
        <v>1683</v>
      </c>
      <c r="H225">
        <v>63.94</v>
      </c>
      <c r="I225">
        <v>98.02</v>
      </c>
      <c r="J225">
        <v>191.05</v>
      </c>
      <c r="K225">
        <v>285.3</v>
      </c>
    </row>
    <row r="226" spans="2:11" x14ac:dyDescent="0.2">
      <c r="B226" s="3">
        <v>45443</v>
      </c>
      <c r="C226">
        <v>10.52755</v>
      </c>
      <c r="D226" s="3">
        <v>45433</v>
      </c>
      <c r="E226">
        <v>2631.4920000000002</v>
      </c>
      <c r="F226">
        <v>567.4</v>
      </c>
      <c r="G226">
        <v>1688.5</v>
      </c>
      <c r="H226">
        <v>62.4</v>
      </c>
      <c r="I226">
        <v>97.84</v>
      </c>
      <c r="J226">
        <v>192.8</v>
      </c>
      <c r="K226">
        <v>284.7</v>
      </c>
    </row>
    <row r="227" spans="2:11" x14ac:dyDescent="0.2">
      <c r="B227" s="3">
        <v>45442</v>
      </c>
      <c r="C227">
        <v>10.59895</v>
      </c>
      <c r="D227" s="3">
        <v>45432</v>
      </c>
      <c r="E227">
        <v>2632.17</v>
      </c>
      <c r="F227">
        <v>559.4</v>
      </c>
      <c r="G227">
        <v>1642.5</v>
      </c>
      <c r="H227">
        <v>62</v>
      </c>
      <c r="I227">
        <v>99.4</v>
      </c>
      <c r="J227">
        <v>195.1</v>
      </c>
      <c r="K227">
        <v>287.39999999999998</v>
      </c>
    </row>
    <row r="228" spans="2:11" x14ac:dyDescent="0.2">
      <c r="B228" s="3">
        <v>45441</v>
      </c>
      <c r="C228">
        <v>10.670999999999999</v>
      </c>
      <c r="D228" s="3">
        <v>45429</v>
      </c>
      <c r="E228">
        <v>2602.1990000000001</v>
      </c>
      <c r="F228">
        <v>558.4</v>
      </c>
      <c r="G228">
        <v>1643.5</v>
      </c>
      <c r="H228">
        <v>61.46</v>
      </c>
      <c r="I228">
        <v>98.84</v>
      </c>
      <c r="J228">
        <v>196.1</v>
      </c>
      <c r="K228">
        <v>284.2</v>
      </c>
    </row>
    <row r="229" spans="2:11" x14ac:dyDescent="0.2">
      <c r="B229" s="3">
        <v>45440</v>
      </c>
      <c r="C229">
        <v>10.574299999999999</v>
      </c>
      <c r="D229" s="3">
        <v>45428</v>
      </c>
      <c r="E229">
        <v>2608.817</v>
      </c>
      <c r="F229">
        <v>563.4</v>
      </c>
      <c r="G229">
        <v>1644.5</v>
      </c>
      <c r="H229">
        <v>61</v>
      </c>
      <c r="I229">
        <v>98.62</v>
      </c>
      <c r="J229">
        <v>196.6</v>
      </c>
      <c r="K229">
        <v>283.89999999999998</v>
      </c>
    </row>
    <row r="230" spans="2:11" x14ac:dyDescent="0.2">
      <c r="B230" s="3">
        <v>45439</v>
      </c>
      <c r="C230">
        <v>10.61495</v>
      </c>
      <c r="D230" s="3">
        <v>45427</v>
      </c>
      <c r="E230">
        <v>2627.5189999999998</v>
      </c>
      <c r="F230">
        <v>570.6</v>
      </c>
      <c r="G230">
        <v>1649</v>
      </c>
      <c r="H230">
        <v>60.06</v>
      </c>
      <c r="I230">
        <v>98.88</v>
      </c>
      <c r="J230">
        <v>193.75</v>
      </c>
      <c r="K230">
        <v>286.89999999999998</v>
      </c>
    </row>
    <row r="231" spans="2:11" x14ac:dyDescent="0.2">
      <c r="B231" s="3">
        <v>45436</v>
      </c>
      <c r="C231">
        <v>10.6684</v>
      </c>
      <c r="D231" s="3">
        <v>45426</v>
      </c>
      <c r="E231">
        <v>2632.8530000000001</v>
      </c>
      <c r="F231">
        <v>568.6</v>
      </c>
      <c r="G231">
        <v>1669</v>
      </c>
      <c r="H231">
        <v>61.92</v>
      </c>
      <c r="I231">
        <v>98.88</v>
      </c>
      <c r="J231">
        <v>190.05</v>
      </c>
      <c r="K231">
        <v>284</v>
      </c>
    </row>
    <row r="232" spans="2:11" x14ac:dyDescent="0.2">
      <c r="B232" s="3">
        <v>45435</v>
      </c>
      <c r="C232">
        <v>10.7399</v>
      </c>
      <c r="D232" s="3">
        <v>45425</v>
      </c>
      <c r="E232">
        <v>2624.7579999999998</v>
      </c>
      <c r="F232">
        <v>569.4</v>
      </c>
      <c r="G232">
        <v>1675</v>
      </c>
      <c r="H232">
        <v>58.84</v>
      </c>
      <c r="I232">
        <v>97.9</v>
      </c>
      <c r="J232">
        <v>188.35</v>
      </c>
      <c r="K232">
        <v>283</v>
      </c>
    </row>
    <row r="233" spans="2:11" x14ac:dyDescent="0.2">
      <c r="B233" s="3">
        <v>45434</v>
      </c>
      <c r="C233">
        <v>10.7372</v>
      </c>
      <c r="D233" s="3">
        <v>45422</v>
      </c>
      <c r="E233">
        <v>2627.8679999999999</v>
      </c>
      <c r="F233">
        <v>562.79999999999995</v>
      </c>
      <c r="G233">
        <v>1679.5</v>
      </c>
      <c r="H233">
        <v>58.2</v>
      </c>
      <c r="I233">
        <v>98.3</v>
      </c>
      <c r="J233">
        <v>192.3</v>
      </c>
      <c r="K233">
        <v>282.60000000000002</v>
      </c>
    </row>
    <row r="234" spans="2:11" x14ac:dyDescent="0.2">
      <c r="B234" s="3">
        <v>45433</v>
      </c>
      <c r="C234">
        <v>10.6937</v>
      </c>
      <c r="D234" s="3">
        <v>45420</v>
      </c>
      <c r="E234">
        <v>2589.1019999999999</v>
      </c>
      <c r="F234">
        <v>556</v>
      </c>
      <c r="G234">
        <v>1675</v>
      </c>
      <c r="H234">
        <v>58.06</v>
      </c>
      <c r="I234">
        <v>95.8</v>
      </c>
      <c r="J234">
        <v>195.5</v>
      </c>
      <c r="K234">
        <v>277</v>
      </c>
    </row>
    <row r="235" spans="2:11" x14ac:dyDescent="0.2">
      <c r="B235" s="3">
        <v>45432</v>
      </c>
      <c r="C235">
        <v>10.6899</v>
      </c>
      <c r="D235" s="3">
        <v>45419</v>
      </c>
      <c r="E235">
        <v>2593.172</v>
      </c>
      <c r="F235">
        <v>547</v>
      </c>
      <c r="G235">
        <v>1647</v>
      </c>
      <c r="H235">
        <v>58.38</v>
      </c>
      <c r="I235">
        <v>97.9</v>
      </c>
      <c r="J235">
        <v>201.6</v>
      </c>
      <c r="K235">
        <v>277.7</v>
      </c>
    </row>
    <row r="236" spans="2:11" x14ac:dyDescent="0.2">
      <c r="B236" s="3">
        <v>45429</v>
      </c>
      <c r="C236">
        <v>10.713749999999999</v>
      </c>
      <c r="D236" s="3">
        <v>45418</v>
      </c>
      <c r="E236">
        <v>2563.7890000000002</v>
      </c>
      <c r="F236">
        <v>542</v>
      </c>
      <c r="G236">
        <v>1634</v>
      </c>
      <c r="H236">
        <v>57.32</v>
      </c>
      <c r="I236">
        <v>97.8</v>
      </c>
      <c r="J236">
        <v>198.4</v>
      </c>
      <c r="K236">
        <v>274.7</v>
      </c>
    </row>
    <row r="237" spans="2:11" x14ac:dyDescent="0.2">
      <c r="B237" s="3">
        <v>45428</v>
      </c>
      <c r="C237">
        <v>10.715249999999999</v>
      </c>
      <c r="D237" s="3">
        <v>45415</v>
      </c>
      <c r="E237">
        <v>2540.0770000000002</v>
      </c>
      <c r="F237">
        <v>537.79999999999995</v>
      </c>
      <c r="G237">
        <v>1634</v>
      </c>
      <c r="H237">
        <v>56.78</v>
      </c>
      <c r="I237">
        <v>96</v>
      </c>
      <c r="J237">
        <v>196.6</v>
      </c>
      <c r="K237">
        <v>271.5</v>
      </c>
    </row>
    <row r="238" spans="2:11" x14ac:dyDescent="0.2">
      <c r="B238" s="3">
        <v>45427</v>
      </c>
      <c r="C238">
        <v>10.67</v>
      </c>
      <c r="D238" s="3">
        <v>45414</v>
      </c>
      <c r="E238">
        <v>2525.2089999999998</v>
      </c>
      <c r="F238">
        <v>537.79999999999995</v>
      </c>
      <c r="G238">
        <v>1654</v>
      </c>
      <c r="H238">
        <v>55.94</v>
      </c>
      <c r="I238">
        <v>95.64</v>
      </c>
      <c r="J238">
        <v>194.05</v>
      </c>
      <c r="K238">
        <v>277.5</v>
      </c>
    </row>
    <row r="239" spans="2:11" x14ac:dyDescent="0.2">
      <c r="B239" s="3">
        <v>45426</v>
      </c>
      <c r="C239">
        <v>10.8033</v>
      </c>
      <c r="D239" s="3">
        <v>45412</v>
      </c>
      <c r="E239">
        <v>2556.3980000000001</v>
      </c>
      <c r="F239">
        <v>544.20000000000005</v>
      </c>
      <c r="G239">
        <v>1671.5</v>
      </c>
      <c r="H239">
        <v>56.22</v>
      </c>
      <c r="I239">
        <v>96.18</v>
      </c>
      <c r="J239">
        <v>191.85</v>
      </c>
      <c r="K239">
        <v>283.39999999999998</v>
      </c>
    </row>
    <row r="240" spans="2:11" x14ac:dyDescent="0.2">
      <c r="B240" s="3">
        <v>45425</v>
      </c>
      <c r="C240">
        <v>10.840999999999999</v>
      </c>
      <c r="D240" s="3">
        <v>45411</v>
      </c>
      <c r="E240">
        <v>2566.8069999999998</v>
      </c>
      <c r="F240">
        <v>543.4</v>
      </c>
      <c r="G240">
        <v>1655.5</v>
      </c>
      <c r="H240">
        <v>56.48</v>
      </c>
      <c r="I240">
        <v>95.54</v>
      </c>
      <c r="J240">
        <v>192.25</v>
      </c>
      <c r="K240">
        <v>284.5</v>
      </c>
    </row>
    <row r="241" spans="2:11" x14ac:dyDescent="0.2">
      <c r="B241" s="3">
        <v>45422</v>
      </c>
      <c r="C241">
        <v>10.8406</v>
      </c>
      <c r="D241" s="3">
        <v>45408</v>
      </c>
      <c r="E241">
        <v>2557.6950000000002</v>
      </c>
      <c r="F241">
        <v>539.4</v>
      </c>
      <c r="G241">
        <v>1646</v>
      </c>
      <c r="H241">
        <v>57.4</v>
      </c>
      <c r="I241">
        <v>96.42</v>
      </c>
      <c r="J241">
        <v>191.2</v>
      </c>
      <c r="K241">
        <v>281.3</v>
      </c>
    </row>
    <row r="242" spans="2:11" x14ac:dyDescent="0.2">
      <c r="B242" s="3">
        <v>45421</v>
      </c>
      <c r="C242">
        <v>10.847950000000001</v>
      </c>
      <c r="D242" s="3">
        <v>45407</v>
      </c>
      <c r="E242">
        <v>2525.3989999999999</v>
      </c>
      <c r="F242">
        <v>532.20000000000005</v>
      </c>
      <c r="G242">
        <v>1641.5</v>
      </c>
      <c r="H242">
        <v>57.38</v>
      </c>
      <c r="I242">
        <v>96.44</v>
      </c>
      <c r="J242">
        <v>185.75</v>
      </c>
      <c r="K242">
        <v>277.10000000000002</v>
      </c>
    </row>
    <row r="243" spans="2:11" x14ac:dyDescent="0.2">
      <c r="B243" s="3">
        <v>45420</v>
      </c>
      <c r="C243">
        <v>10.896800000000001</v>
      </c>
      <c r="D243" s="3">
        <v>45406</v>
      </c>
      <c r="E243">
        <v>2543.2109999999998</v>
      </c>
      <c r="F243">
        <v>532</v>
      </c>
      <c r="G243">
        <v>1543.5</v>
      </c>
      <c r="H243">
        <v>57.36</v>
      </c>
      <c r="I243">
        <v>99.5</v>
      </c>
      <c r="J243">
        <v>191.45</v>
      </c>
      <c r="K243">
        <v>282.7</v>
      </c>
    </row>
    <row r="244" spans="2:11" x14ac:dyDescent="0.2">
      <c r="B244" s="3">
        <v>45419</v>
      </c>
      <c r="C244">
        <v>10.845599999999999</v>
      </c>
      <c r="D244" s="3">
        <v>45405</v>
      </c>
      <c r="E244">
        <v>2546.3319999999999</v>
      </c>
      <c r="F244">
        <v>528.79999999999995</v>
      </c>
      <c r="G244">
        <v>1522</v>
      </c>
      <c r="H244">
        <v>57.94</v>
      </c>
      <c r="I244">
        <v>113.15</v>
      </c>
      <c r="J244">
        <v>194.4</v>
      </c>
      <c r="K244">
        <v>282.60000000000002</v>
      </c>
    </row>
    <row r="245" spans="2:11" x14ac:dyDescent="0.2">
      <c r="B245" s="3">
        <v>45418</v>
      </c>
      <c r="C245">
        <v>10.816750000000001</v>
      </c>
      <c r="D245" s="3">
        <v>45404</v>
      </c>
      <c r="E245">
        <v>2511.4059999999999</v>
      </c>
      <c r="F245">
        <v>528.6</v>
      </c>
      <c r="G245">
        <v>1529.5</v>
      </c>
      <c r="H245">
        <v>57.2</v>
      </c>
      <c r="I245">
        <v>110.7</v>
      </c>
      <c r="J245">
        <v>191.85</v>
      </c>
      <c r="K245">
        <v>282.60000000000002</v>
      </c>
    </row>
    <row r="246" spans="2:11" x14ac:dyDescent="0.2">
      <c r="B246" s="3">
        <v>45415</v>
      </c>
      <c r="C246">
        <v>10.8225</v>
      </c>
      <c r="D246" s="3">
        <v>45401</v>
      </c>
      <c r="E246">
        <v>2502.0700000000002</v>
      </c>
      <c r="F246">
        <v>535.79999999999995</v>
      </c>
      <c r="G246">
        <v>1494.5</v>
      </c>
      <c r="H246">
        <v>56.3</v>
      </c>
      <c r="I246">
        <v>109</v>
      </c>
      <c r="J246">
        <v>189.25</v>
      </c>
      <c r="K246">
        <v>280.2</v>
      </c>
    </row>
    <row r="247" spans="2:11" x14ac:dyDescent="0.2">
      <c r="B247" s="3">
        <v>45414</v>
      </c>
      <c r="C247">
        <v>10.871600000000001</v>
      </c>
      <c r="D247" s="3">
        <v>45400</v>
      </c>
      <c r="E247">
        <v>2517.6860000000001</v>
      </c>
      <c r="F247">
        <v>532</v>
      </c>
      <c r="G247">
        <v>1497</v>
      </c>
      <c r="H247">
        <v>55.86</v>
      </c>
      <c r="I247">
        <v>109.45</v>
      </c>
      <c r="J247">
        <v>189.4</v>
      </c>
      <c r="K247">
        <v>292.3</v>
      </c>
    </row>
    <row r="248" spans="2:11" x14ac:dyDescent="0.2">
      <c r="B248" s="3">
        <v>45413</v>
      </c>
      <c r="C248">
        <v>10.928599999999999</v>
      </c>
      <c r="D248" s="3">
        <v>45399</v>
      </c>
      <c r="E248">
        <v>2505.2739999999999</v>
      </c>
      <c r="F248">
        <v>501.8</v>
      </c>
      <c r="G248">
        <v>1503</v>
      </c>
      <c r="H248">
        <v>54.9</v>
      </c>
      <c r="I248">
        <v>108.2</v>
      </c>
      <c r="J248">
        <v>188.95</v>
      </c>
      <c r="K248">
        <v>288.10000000000002</v>
      </c>
    </row>
    <row r="249" spans="2:11" x14ac:dyDescent="0.2">
      <c r="B249" s="3">
        <v>45412</v>
      </c>
      <c r="C249">
        <v>11.02515</v>
      </c>
      <c r="D249" s="3">
        <v>45398</v>
      </c>
      <c r="E249">
        <v>2491.7559999999999</v>
      </c>
      <c r="F249">
        <v>496.4</v>
      </c>
      <c r="G249">
        <v>1492.5</v>
      </c>
      <c r="H249">
        <v>54.54</v>
      </c>
      <c r="I249">
        <v>107.6</v>
      </c>
      <c r="J249">
        <v>189.2</v>
      </c>
      <c r="K249">
        <v>282.5</v>
      </c>
    </row>
    <row r="250" spans="2:11" x14ac:dyDescent="0.2">
      <c r="B250" s="3">
        <v>45411</v>
      </c>
      <c r="C250">
        <v>10.924149999999999</v>
      </c>
      <c r="D250" s="3">
        <v>45397</v>
      </c>
      <c r="E250">
        <v>2523.395</v>
      </c>
      <c r="F250">
        <v>502</v>
      </c>
      <c r="G250">
        <v>1502.5</v>
      </c>
      <c r="H250">
        <v>53.6</v>
      </c>
      <c r="I250">
        <v>109.9</v>
      </c>
      <c r="J250">
        <v>193.2</v>
      </c>
      <c r="K250">
        <v>287</v>
      </c>
    </row>
    <row r="251" spans="2:11" x14ac:dyDescent="0.2">
      <c r="B251" s="3">
        <v>45408</v>
      </c>
      <c r="C251">
        <v>10.923299999999999</v>
      </c>
      <c r="D251" s="3">
        <v>45394</v>
      </c>
      <c r="E251">
        <v>2506.991</v>
      </c>
      <c r="F251">
        <v>500.2</v>
      </c>
      <c r="G251">
        <v>1508</v>
      </c>
      <c r="H251">
        <v>54.02</v>
      </c>
      <c r="I251">
        <v>109.5</v>
      </c>
      <c r="J251">
        <v>192.4</v>
      </c>
      <c r="K251">
        <v>284.39999999999998</v>
      </c>
    </row>
    <row r="252" spans="2:11" x14ac:dyDescent="0.2">
      <c r="B252" s="3">
        <v>45407</v>
      </c>
      <c r="C252">
        <v>10.89005</v>
      </c>
      <c r="D252" s="3">
        <v>45393</v>
      </c>
      <c r="E252">
        <v>2499.7040000000002</v>
      </c>
      <c r="F252">
        <v>497.6</v>
      </c>
      <c r="G252">
        <v>1489</v>
      </c>
      <c r="H252">
        <v>54.66</v>
      </c>
      <c r="I252">
        <v>107.8</v>
      </c>
      <c r="J252">
        <v>191.45</v>
      </c>
      <c r="K252">
        <v>283</v>
      </c>
    </row>
    <row r="253" spans="2:11" x14ac:dyDescent="0.2">
      <c r="B253" s="3">
        <v>45406</v>
      </c>
      <c r="C253">
        <v>10.8787</v>
      </c>
      <c r="D253" s="3">
        <v>45392</v>
      </c>
      <c r="E253">
        <v>2519.0549999999998</v>
      </c>
      <c r="F253">
        <v>497.4</v>
      </c>
      <c r="G253">
        <v>1451</v>
      </c>
      <c r="H253">
        <v>54.96</v>
      </c>
      <c r="I253">
        <v>109.5</v>
      </c>
      <c r="J253">
        <v>192.8</v>
      </c>
      <c r="K253">
        <v>291.39999999999998</v>
      </c>
    </row>
    <row r="254" spans="2:11" x14ac:dyDescent="0.2">
      <c r="B254" s="3">
        <v>45405</v>
      </c>
      <c r="C254">
        <v>10.8139</v>
      </c>
      <c r="D254" s="3">
        <v>45391</v>
      </c>
      <c r="E254">
        <v>2513.5039999999999</v>
      </c>
      <c r="F254">
        <v>490.2</v>
      </c>
      <c r="G254">
        <v>1437.5</v>
      </c>
      <c r="H254">
        <v>55.52</v>
      </c>
      <c r="I254">
        <v>110.1</v>
      </c>
      <c r="J254">
        <v>194.1</v>
      </c>
      <c r="K254">
        <v>291.10000000000002</v>
      </c>
    </row>
    <row r="255" spans="2:11" x14ac:dyDescent="0.2">
      <c r="B255" s="3">
        <v>45404</v>
      </c>
      <c r="C255">
        <v>10.88795</v>
      </c>
      <c r="D255" s="3">
        <v>45390</v>
      </c>
      <c r="E255">
        <v>2522.3589999999999</v>
      </c>
      <c r="F255">
        <v>491.3</v>
      </c>
      <c r="G255">
        <v>1426</v>
      </c>
      <c r="H255">
        <v>55.08</v>
      </c>
      <c r="I255">
        <v>110.7</v>
      </c>
      <c r="J255">
        <v>195.45</v>
      </c>
      <c r="K255">
        <v>293.7</v>
      </c>
    </row>
    <row r="256" spans="2:11" x14ac:dyDescent="0.2">
      <c r="B256" s="3">
        <v>45401</v>
      </c>
      <c r="C256">
        <v>10.922750000000001</v>
      </c>
      <c r="D256" s="3">
        <v>45387</v>
      </c>
      <c r="E256">
        <v>2504.799</v>
      </c>
      <c r="F256">
        <v>493.4</v>
      </c>
      <c r="G256">
        <v>1432</v>
      </c>
      <c r="H256">
        <v>54.6</v>
      </c>
      <c r="I256">
        <v>108.45</v>
      </c>
      <c r="J256">
        <v>192.05</v>
      </c>
      <c r="K256">
        <v>290.60000000000002</v>
      </c>
    </row>
    <row r="257" spans="2:11" x14ac:dyDescent="0.2">
      <c r="B257" s="3">
        <v>45400</v>
      </c>
      <c r="C257">
        <v>10.9674</v>
      </c>
      <c r="D257" s="3">
        <v>45386</v>
      </c>
      <c r="E257">
        <v>2521.8620000000001</v>
      </c>
      <c r="F257">
        <v>494.6</v>
      </c>
      <c r="G257">
        <v>1443.5</v>
      </c>
      <c r="H257">
        <v>56.32</v>
      </c>
      <c r="I257">
        <v>108.2</v>
      </c>
      <c r="J257">
        <v>194</v>
      </c>
      <c r="K257">
        <v>290.5</v>
      </c>
    </row>
    <row r="258" spans="2:11" x14ac:dyDescent="0.2">
      <c r="B258" s="3">
        <v>45399</v>
      </c>
      <c r="C258">
        <v>10.939349999999999</v>
      </c>
      <c r="D258" s="3">
        <v>45385</v>
      </c>
      <c r="E258">
        <v>2513.5189999999998</v>
      </c>
      <c r="F258">
        <v>494.1</v>
      </c>
      <c r="G258">
        <v>1428</v>
      </c>
      <c r="H258">
        <v>58.38</v>
      </c>
      <c r="I258">
        <v>108.4</v>
      </c>
      <c r="J258">
        <v>193.85</v>
      </c>
      <c r="K258">
        <v>287.60000000000002</v>
      </c>
    </row>
    <row r="259" spans="2:11" x14ac:dyDescent="0.2">
      <c r="B259" s="3">
        <v>45398</v>
      </c>
      <c r="C259">
        <v>10.962949999999999</v>
      </c>
      <c r="D259" s="3">
        <v>45384</v>
      </c>
      <c r="E259">
        <v>2508.65</v>
      </c>
      <c r="F259">
        <v>492.3</v>
      </c>
      <c r="G259">
        <v>1439.5</v>
      </c>
      <c r="H259">
        <v>57.72</v>
      </c>
      <c r="I259">
        <v>108.05</v>
      </c>
      <c r="J259">
        <v>187.3</v>
      </c>
      <c r="K259">
        <v>292.39999999999998</v>
      </c>
    </row>
    <row r="260" spans="2:11" x14ac:dyDescent="0.2">
      <c r="B260" s="3">
        <v>45397</v>
      </c>
      <c r="C260">
        <v>10.88705</v>
      </c>
      <c r="D260" s="3">
        <v>45379</v>
      </c>
      <c r="E260">
        <v>2518.2750000000001</v>
      </c>
      <c r="F260">
        <v>494.6</v>
      </c>
      <c r="G260">
        <v>1452.5</v>
      </c>
      <c r="H260">
        <v>57.64</v>
      </c>
      <c r="I260">
        <v>108.25</v>
      </c>
      <c r="J260">
        <v>190.5</v>
      </c>
      <c r="K260">
        <v>290.10000000000002</v>
      </c>
    </row>
    <row r="261" spans="2:11" x14ac:dyDescent="0.2">
      <c r="B261" s="3">
        <v>45394</v>
      </c>
      <c r="C261">
        <v>10.875400000000001</v>
      </c>
      <c r="D261" s="3">
        <v>45378</v>
      </c>
      <c r="E261">
        <v>2537.3739999999998</v>
      </c>
      <c r="F261">
        <v>493.9</v>
      </c>
      <c r="G261">
        <v>1448.5</v>
      </c>
      <c r="H261">
        <v>58.03</v>
      </c>
      <c r="I261">
        <v>108.5</v>
      </c>
      <c r="J261">
        <v>197.2</v>
      </c>
      <c r="K261">
        <v>317.95</v>
      </c>
    </row>
    <row r="262" spans="2:11" x14ac:dyDescent="0.2">
      <c r="B262" s="3">
        <v>45393</v>
      </c>
      <c r="C262">
        <v>10.725899999999999</v>
      </c>
      <c r="D262" s="3">
        <v>45377</v>
      </c>
      <c r="E262">
        <v>2547.971</v>
      </c>
      <c r="F262">
        <v>495</v>
      </c>
      <c r="G262">
        <v>1403</v>
      </c>
      <c r="H262">
        <v>57.44</v>
      </c>
      <c r="I262">
        <v>112.55</v>
      </c>
      <c r="J262">
        <v>195.3</v>
      </c>
      <c r="K262">
        <v>318</v>
      </c>
    </row>
    <row r="263" spans="2:11" x14ac:dyDescent="0.2">
      <c r="B263" s="3">
        <v>45392</v>
      </c>
      <c r="C263">
        <v>10.7103</v>
      </c>
      <c r="D263" s="3">
        <v>45376</v>
      </c>
      <c r="E263">
        <v>2526.067</v>
      </c>
      <c r="F263">
        <v>491.4</v>
      </c>
      <c r="G263">
        <v>1399</v>
      </c>
      <c r="H263">
        <v>56.8</v>
      </c>
      <c r="I263">
        <v>109.05</v>
      </c>
      <c r="J263">
        <v>193.95</v>
      </c>
      <c r="K263">
        <v>314.85000000000002</v>
      </c>
    </row>
    <row r="264" spans="2:11" x14ac:dyDescent="0.2">
      <c r="B264" s="3">
        <v>45391</v>
      </c>
      <c r="C264">
        <v>10.553050000000001</v>
      </c>
      <c r="D264" s="3">
        <v>45373</v>
      </c>
      <c r="E264">
        <v>2534.3420000000001</v>
      </c>
      <c r="F264">
        <v>503.6</v>
      </c>
      <c r="G264">
        <v>1404.5</v>
      </c>
      <c r="H264">
        <v>57.4</v>
      </c>
      <c r="I264">
        <v>109.05</v>
      </c>
      <c r="J264">
        <v>193.85</v>
      </c>
      <c r="K264">
        <v>314.95</v>
      </c>
    </row>
    <row r="265" spans="2:11" x14ac:dyDescent="0.2">
      <c r="B265" s="3">
        <v>45390</v>
      </c>
      <c r="C265">
        <v>10.5624</v>
      </c>
      <c r="D265" s="3">
        <v>45372</v>
      </c>
      <c r="E265">
        <v>2550.5010000000002</v>
      </c>
      <c r="F265">
        <v>499.7</v>
      </c>
      <c r="G265">
        <v>1394.5</v>
      </c>
      <c r="H265">
        <v>57.58</v>
      </c>
      <c r="I265">
        <v>110.4</v>
      </c>
      <c r="J265">
        <v>193.95</v>
      </c>
      <c r="K265">
        <v>312.25</v>
      </c>
    </row>
    <row r="266" spans="2:11" x14ac:dyDescent="0.2">
      <c r="B266" s="3">
        <v>45387</v>
      </c>
      <c r="C266">
        <v>10.6424</v>
      </c>
      <c r="D266" s="3">
        <v>45371</v>
      </c>
      <c r="E266">
        <v>2510.4409999999998</v>
      </c>
      <c r="F266">
        <v>497.4</v>
      </c>
      <c r="G266">
        <v>1369</v>
      </c>
      <c r="H266">
        <v>57.02</v>
      </c>
      <c r="I266">
        <v>122.3</v>
      </c>
      <c r="J266">
        <v>189.85</v>
      </c>
      <c r="K266">
        <v>306.89999999999998</v>
      </c>
    </row>
    <row r="267" spans="2:11" x14ac:dyDescent="0.2">
      <c r="B267" s="3">
        <v>45386</v>
      </c>
      <c r="C267">
        <v>10.6502</v>
      </c>
      <c r="D267" s="3">
        <v>45370</v>
      </c>
      <c r="E267">
        <v>2514.9250000000002</v>
      </c>
      <c r="F267">
        <v>492.5</v>
      </c>
      <c r="G267">
        <v>1370</v>
      </c>
      <c r="H267">
        <v>56.58</v>
      </c>
      <c r="I267">
        <v>121.75</v>
      </c>
      <c r="J267">
        <v>194.8</v>
      </c>
      <c r="K267">
        <v>306.2</v>
      </c>
    </row>
    <row r="268" spans="2:11" x14ac:dyDescent="0.2">
      <c r="B268" s="3">
        <v>45385</v>
      </c>
      <c r="C268">
        <v>10.6462</v>
      </c>
      <c r="D268" s="3">
        <v>45369</v>
      </c>
      <c r="E268">
        <v>2504.8009999999999</v>
      </c>
      <c r="F268">
        <v>498.8</v>
      </c>
      <c r="G268">
        <v>1380.5</v>
      </c>
      <c r="H268">
        <v>56.14</v>
      </c>
      <c r="I268">
        <v>120.35</v>
      </c>
      <c r="J268">
        <v>193.5</v>
      </c>
      <c r="K268">
        <v>305.75</v>
      </c>
    </row>
    <row r="269" spans="2:11" x14ac:dyDescent="0.2">
      <c r="B269" s="3">
        <v>45384</v>
      </c>
      <c r="C269">
        <v>10.73695</v>
      </c>
      <c r="D269" s="3">
        <v>45366</v>
      </c>
      <c r="E269">
        <v>2533.62</v>
      </c>
      <c r="F269">
        <v>497.2</v>
      </c>
      <c r="G269">
        <v>1370.5</v>
      </c>
      <c r="H269">
        <v>59.35</v>
      </c>
      <c r="I269">
        <v>120.35</v>
      </c>
      <c r="J269">
        <v>195</v>
      </c>
      <c r="K269">
        <v>307.85000000000002</v>
      </c>
    </row>
    <row r="270" spans="2:11" x14ac:dyDescent="0.2">
      <c r="B270" s="3">
        <v>45383</v>
      </c>
      <c r="C270">
        <v>10.80035</v>
      </c>
      <c r="D270" s="3">
        <v>45365</v>
      </c>
      <c r="E270">
        <v>2527.8530000000001</v>
      </c>
      <c r="F270">
        <v>494.9</v>
      </c>
      <c r="G270">
        <v>1384</v>
      </c>
      <c r="H270">
        <v>58.59</v>
      </c>
      <c r="I270">
        <v>123.3</v>
      </c>
      <c r="J270">
        <v>196</v>
      </c>
      <c r="K270">
        <v>305.10000000000002</v>
      </c>
    </row>
    <row r="271" spans="2:11" x14ac:dyDescent="0.2">
      <c r="B271" s="3">
        <v>45380</v>
      </c>
      <c r="C271">
        <v>10.6523</v>
      </c>
      <c r="D271" s="3">
        <v>45364</v>
      </c>
      <c r="E271">
        <v>2527.4650000000001</v>
      </c>
      <c r="F271">
        <v>490.1</v>
      </c>
      <c r="G271">
        <v>1381.5</v>
      </c>
      <c r="H271">
        <v>58.51</v>
      </c>
      <c r="I271">
        <v>123.3</v>
      </c>
      <c r="J271">
        <v>197.5</v>
      </c>
      <c r="K271">
        <v>304.25</v>
      </c>
    </row>
    <row r="272" spans="2:11" x14ac:dyDescent="0.2">
      <c r="B272" s="3">
        <v>45379</v>
      </c>
      <c r="C272">
        <v>10.6982</v>
      </c>
      <c r="D272" s="3">
        <v>45363</v>
      </c>
      <c r="E272">
        <v>2521.9070000000002</v>
      </c>
      <c r="F272">
        <v>484.4</v>
      </c>
      <c r="G272">
        <v>1381</v>
      </c>
      <c r="H272">
        <v>58.23</v>
      </c>
      <c r="I272">
        <v>123.8</v>
      </c>
      <c r="J272">
        <v>196.65</v>
      </c>
      <c r="K272">
        <v>302.64999999999998</v>
      </c>
    </row>
    <row r="273" spans="2:11" x14ac:dyDescent="0.2">
      <c r="B273" s="3">
        <v>45378</v>
      </c>
      <c r="C273">
        <v>10.6113</v>
      </c>
      <c r="D273" s="3">
        <v>45362</v>
      </c>
      <c r="E273">
        <v>2479.355</v>
      </c>
      <c r="F273">
        <v>477.8</v>
      </c>
      <c r="G273">
        <v>1378</v>
      </c>
      <c r="H273">
        <v>57.3</v>
      </c>
      <c r="I273">
        <v>122.4</v>
      </c>
      <c r="J273">
        <v>194.95</v>
      </c>
      <c r="K273">
        <v>296.35000000000002</v>
      </c>
    </row>
    <row r="274" spans="2:11" x14ac:dyDescent="0.2">
      <c r="B274" s="3">
        <v>45377</v>
      </c>
      <c r="C274">
        <v>10.5913</v>
      </c>
      <c r="D274" s="3">
        <v>45359</v>
      </c>
      <c r="E274">
        <v>2487.6950000000002</v>
      </c>
      <c r="F274">
        <v>477.3</v>
      </c>
      <c r="G274">
        <v>1350</v>
      </c>
      <c r="H274">
        <v>56.99</v>
      </c>
      <c r="I274">
        <v>122.95</v>
      </c>
      <c r="J274">
        <v>194.95</v>
      </c>
      <c r="K274">
        <v>298</v>
      </c>
    </row>
    <row r="275" spans="2:11" x14ac:dyDescent="0.2">
      <c r="B275" s="3">
        <v>45376</v>
      </c>
      <c r="C275">
        <v>10.575200000000001</v>
      </c>
      <c r="D275" s="3">
        <v>45358</v>
      </c>
      <c r="E275">
        <v>2471.5740000000001</v>
      </c>
      <c r="F275">
        <v>475.6</v>
      </c>
      <c r="G275">
        <v>1353</v>
      </c>
      <c r="H275">
        <v>56.98</v>
      </c>
      <c r="I275">
        <v>122.1</v>
      </c>
      <c r="J275">
        <v>191</v>
      </c>
      <c r="K275">
        <v>294.60000000000002</v>
      </c>
    </row>
    <row r="276" spans="2:11" x14ac:dyDescent="0.2">
      <c r="B276" s="3">
        <v>45373</v>
      </c>
      <c r="C276">
        <v>10.56795</v>
      </c>
      <c r="D276" s="3">
        <v>45357</v>
      </c>
      <c r="E276">
        <v>2460.8139999999999</v>
      </c>
      <c r="F276">
        <v>473.8</v>
      </c>
      <c r="G276">
        <v>1342.5</v>
      </c>
      <c r="H276">
        <v>57.13</v>
      </c>
      <c r="I276">
        <v>122.35</v>
      </c>
      <c r="J276">
        <v>189.15</v>
      </c>
      <c r="K276">
        <v>294.35000000000002</v>
      </c>
    </row>
    <row r="277" spans="2:11" x14ac:dyDescent="0.2">
      <c r="B277" s="3">
        <v>45372</v>
      </c>
      <c r="C277">
        <v>10.4674</v>
      </c>
      <c r="D277" s="3">
        <v>45356</v>
      </c>
      <c r="E277">
        <v>2449.0360000000001</v>
      </c>
      <c r="F277">
        <v>473.6</v>
      </c>
      <c r="G277">
        <v>1344</v>
      </c>
      <c r="H277">
        <v>56.39</v>
      </c>
      <c r="I277">
        <v>122.9</v>
      </c>
      <c r="J277">
        <v>189.3</v>
      </c>
      <c r="K277">
        <v>293</v>
      </c>
    </row>
    <row r="278" spans="2:11" x14ac:dyDescent="0.2">
      <c r="B278" s="3">
        <v>45371</v>
      </c>
      <c r="C278">
        <v>10.38475</v>
      </c>
      <c r="D278" s="3">
        <v>45355</v>
      </c>
      <c r="E278">
        <v>2455.3629999999998</v>
      </c>
      <c r="F278">
        <v>477.3</v>
      </c>
      <c r="G278">
        <v>1334</v>
      </c>
      <c r="H278">
        <v>56.56</v>
      </c>
      <c r="I278">
        <v>124.95</v>
      </c>
      <c r="J278">
        <v>190.15</v>
      </c>
      <c r="K278">
        <v>289.45</v>
      </c>
    </row>
    <row r="279" spans="2:11" x14ac:dyDescent="0.2">
      <c r="B279" s="3">
        <v>45370</v>
      </c>
      <c r="C279">
        <v>10.441050000000001</v>
      </c>
      <c r="D279" s="3">
        <v>45352</v>
      </c>
      <c r="E279">
        <v>2461.4899999999998</v>
      </c>
      <c r="F279">
        <v>475.1</v>
      </c>
      <c r="G279">
        <v>1330.5</v>
      </c>
      <c r="H279">
        <v>56.32</v>
      </c>
      <c r="I279">
        <v>124.7</v>
      </c>
      <c r="J279">
        <v>192.45</v>
      </c>
      <c r="K279">
        <v>289.95</v>
      </c>
    </row>
    <row r="280" spans="2:11" x14ac:dyDescent="0.2">
      <c r="B280" s="3">
        <v>45369</v>
      </c>
      <c r="C280">
        <v>10.4261</v>
      </c>
      <c r="D280" s="3">
        <v>45351</v>
      </c>
      <c r="E280">
        <v>2452.8049999999998</v>
      </c>
      <c r="F280">
        <v>478.6</v>
      </c>
      <c r="G280">
        <v>1327.5</v>
      </c>
      <c r="H280">
        <v>56.23</v>
      </c>
      <c r="I280">
        <v>123.8</v>
      </c>
      <c r="J280">
        <v>191</v>
      </c>
      <c r="K280">
        <v>285.10000000000002</v>
      </c>
    </row>
    <row r="281" spans="2:11" x14ac:dyDescent="0.2">
      <c r="B281" s="3">
        <v>45366</v>
      </c>
      <c r="C281">
        <v>10.3536</v>
      </c>
      <c r="D281" s="3">
        <v>45350</v>
      </c>
      <c r="E281">
        <v>2447.2139999999999</v>
      </c>
      <c r="F281">
        <v>474.1</v>
      </c>
      <c r="G281">
        <v>1348.5</v>
      </c>
      <c r="H281">
        <v>56.03</v>
      </c>
      <c r="I281">
        <v>123.5</v>
      </c>
      <c r="J281">
        <v>189.4</v>
      </c>
      <c r="K281">
        <v>285.7</v>
      </c>
    </row>
    <row r="282" spans="2:11" x14ac:dyDescent="0.2">
      <c r="B282" s="3">
        <v>45365</v>
      </c>
      <c r="C282">
        <v>10.3391</v>
      </c>
      <c r="D282" s="3">
        <v>45349</v>
      </c>
      <c r="E282">
        <v>2442.2220000000002</v>
      </c>
      <c r="F282">
        <v>471.6</v>
      </c>
      <c r="G282">
        <v>1363.5</v>
      </c>
      <c r="H282">
        <v>56.6</v>
      </c>
      <c r="I282">
        <v>122</v>
      </c>
      <c r="J282">
        <v>188.5</v>
      </c>
      <c r="K282">
        <v>281.35000000000002</v>
      </c>
    </row>
    <row r="283" spans="2:11" x14ac:dyDescent="0.2">
      <c r="B283" s="3">
        <v>45364</v>
      </c>
      <c r="C283">
        <v>10.228</v>
      </c>
      <c r="D283" s="3">
        <v>45348</v>
      </c>
      <c r="E283">
        <v>2438.636</v>
      </c>
      <c r="F283">
        <v>472.6</v>
      </c>
      <c r="G283">
        <v>1354.5</v>
      </c>
      <c r="H283">
        <v>56.12</v>
      </c>
      <c r="I283">
        <v>121.85</v>
      </c>
      <c r="J283">
        <v>185.6</v>
      </c>
      <c r="K283">
        <v>280.5</v>
      </c>
    </row>
    <row r="284" spans="2:11" x14ac:dyDescent="0.2">
      <c r="B284" s="3">
        <v>45363</v>
      </c>
      <c r="C284">
        <v>10.243</v>
      </c>
      <c r="D284" s="3">
        <v>45345</v>
      </c>
      <c r="E284">
        <v>2435.4459999999999</v>
      </c>
      <c r="F284">
        <v>473.3</v>
      </c>
      <c r="G284">
        <v>1354</v>
      </c>
      <c r="H284">
        <v>56.45</v>
      </c>
      <c r="I284">
        <v>121.3</v>
      </c>
      <c r="J284">
        <v>185.15</v>
      </c>
      <c r="K284">
        <v>280.8</v>
      </c>
    </row>
    <row r="285" spans="2:11" x14ac:dyDescent="0.2">
      <c r="B285" s="3">
        <v>45362</v>
      </c>
      <c r="C285">
        <v>10.2409</v>
      </c>
      <c r="D285" s="3">
        <v>45344</v>
      </c>
      <c r="E285">
        <v>2426.3789999999999</v>
      </c>
      <c r="F285">
        <v>477.5</v>
      </c>
      <c r="G285">
        <v>1324</v>
      </c>
      <c r="H285">
        <v>56.06</v>
      </c>
      <c r="I285">
        <v>122.05</v>
      </c>
      <c r="J285">
        <v>185</v>
      </c>
      <c r="K285">
        <v>278.3</v>
      </c>
    </row>
    <row r="286" spans="2:11" x14ac:dyDescent="0.2">
      <c r="B286" s="3">
        <v>45359</v>
      </c>
      <c r="C286">
        <v>10.2044</v>
      </c>
      <c r="D286" s="3">
        <v>45343</v>
      </c>
      <c r="E286">
        <v>2414.9740000000002</v>
      </c>
      <c r="F286">
        <v>473.9</v>
      </c>
      <c r="G286">
        <v>1337</v>
      </c>
      <c r="H286">
        <v>55.25</v>
      </c>
      <c r="I286">
        <v>123.65</v>
      </c>
      <c r="J286">
        <v>184.1</v>
      </c>
      <c r="K286">
        <v>276.2</v>
      </c>
    </row>
    <row r="287" spans="2:11" x14ac:dyDescent="0.2">
      <c r="B287" s="3">
        <v>45358</v>
      </c>
      <c r="C287">
        <v>10.224500000000001</v>
      </c>
      <c r="D287" s="3">
        <v>45342</v>
      </c>
      <c r="E287">
        <v>2414.788</v>
      </c>
      <c r="F287">
        <v>472.3</v>
      </c>
      <c r="G287">
        <v>1350</v>
      </c>
      <c r="H287">
        <v>56.04</v>
      </c>
      <c r="I287">
        <v>124.35</v>
      </c>
      <c r="J287">
        <v>184.35</v>
      </c>
      <c r="K287">
        <v>274</v>
      </c>
    </row>
    <row r="288" spans="2:11" x14ac:dyDescent="0.2">
      <c r="B288" s="3">
        <v>45357</v>
      </c>
      <c r="C288">
        <v>10.297750000000001</v>
      </c>
      <c r="D288" s="3">
        <v>45341</v>
      </c>
      <c r="E288">
        <v>2410.326</v>
      </c>
      <c r="F288">
        <v>473.2</v>
      </c>
      <c r="G288">
        <v>1377.5</v>
      </c>
      <c r="H288">
        <v>56.09</v>
      </c>
      <c r="I288">
        <v>123.5</v>
      </c>
      <c r="J288">
        <v>185</v>
      </c>
      <c r="K288">
        <v>270.85000000000002</v>
      </c>
    </row>
    <row r="289" spans="2:11" x14ac:dyDescent="0.2">
      <c r="B289" s="3">
        <v>45356</v>
      </c>
      <c r="C289">
        <v>10.3782</v>
      </c>
      <c r="D289" s="3">
        <v>45338</v>
      </c>
      <c r="E289">
        <v>2408.9169999999999</v>
      </c>
      <c r="F289">
        <v>475.2</v>
      </c>
      <c r="G289">
        <v>1340</v>
      </c>
      <c r="H289">
        <v>55.63</v>
      </c>
      <c r="I289">
        <v>122.75</v>
      </c>
      <c r="J289">
        <v>186.75</v>
      </c>
      <c r="K289">
        <v>270</v>
      </c>
    </row>
    <row r="290" spans="2:11" x14ac:dyDescent="0.2">
      <c r="B290" s="3">
        <v>45355</v>
      </c>
      <c r="C290">
        <v>10.37445</v>
      </c>
      <c r="D290" s="3">
        <v>45337</v>
      </c>
      <c r="E290">
        <v>2385.2420000000002</v>
      </c>
      <c r="F290">
        <v>468.7</v>
      </c>
      <c r="G290">
        <v>1308.5</v>
      </c>
      <c r="H290">
        <v>55.9</v>
      </c>
      <c r="I290">
        <v>122.2</v>
      </c>
      <c r="J290">
        <v>188.9</v>
      </c>
      <c r="K290">
        <v>269.25</v>
      </c>
    </row>
    <row r="291" spans="2:11" x14ac:dyDescent="0.2">
      <c r="B291" s="3">
        <v>45352</v>
      </c>
      <c r="C291">
        <v>10.3186</v>
      </c>
      <c r="D291" s="3">
        <v>45336</v>
      </c>
      <c r="E291">
        <v>2362.0709999999999</v>
      </c>
      <c r="F291">
        <v>463.1</v>
      </c>
      <c r="G291">
        <v>1298</v>
      </c>
      <c r="H291">
        <v>55.25</v>
      </c>
      <c r="I291">
        <v>121.6</v>
      </c>
      <c r="J291">
        <v>186.8</v>
      </c>
      <c r="K291">
        <v>265.85000000000002</v>
      </c>
    </row>
    <row r="292" spans="2:11" x14ac:dyDescent="0.2">
      <c r="B292" s="3">
        <v>45351</v>
      </c>
      <c r="C292">
        <v>10.37355</v>
      </c>
      <c r="D292" s="3">
        <v>45335</v>
      </c>
      <c r="E292">
        <v>2352.7669999999998</v>
      </c>
      <c r="F292">
        <v>454.2</v>
      </c>
      <c r="G292">
        <v>1292</v>
      </c>
      <c r="H292">
        <v>55.53</v>
      </c>
      <c r="I292">
        <v>122.65</v>
      </c>
      <c r="J292">
        <v>184.95</v>
      </c>
      <c r="K292">
        <v>264.55</v>
      </c>
    </row>
    <row r="293" spans="2:11" x14ac:dyDescent="0.2">
      <c r="B293" s="3">
        <v>45350</v>
      </c>
      <c r="C293">
        <v>10.3377</v>
      </c>
      <c r="D293" s="3">
        <v>45334</v>
      </c>
      <c r="E293">
        <v>2367.498</v>
      </c>
      <c r="F293">
        <v>457.7</v>
      </c>
      <c r="G293">
        <v>1268</v>
      </c>
      <c r="H293">
        <v>56.99</v>
      </c>
      <c r="I293">
        <v>120.75</v>
      </c>
      <c r="J293">
        <v>186.45</v>
      </c>
      <c r="K293">
        <v>263.2</v>
      </c>
    </row>
    <row r="294" spans="2:11" x14ac:dyDescent="0.2">
      <c r="B294" s="3">
        <v>45349</v>
      </c>
      <c r="C294">
        <v>10.30875</v>
      </c>
      <c r="D294" s="3">
        <v>45331</v>
      </c>
      <c r="E294">
        <v>2352.4189999999999</v>
      </c>
      <c r="F294">
        <v>456</v>
      </c>
      <c r="G294">
        <v>1306</v>
      </c>
      <c r="H294">
        <v>57.17</v>
      </c>
      <c r="I294">
        <v>120.1</v>
      </c>
      <c r="J294">
        <v>189.25</v>
      </c>
      <c r="K294">
        <v>260.55</v>
      </c>
    </row>
    <row r="295" spans="2:11" x14ac:dyDescent="0.2">
      <c r="B295" s="3">
        <v>45348</v>
      </c>
      <c r="C295">
        <v>10.283300000000001</v>
      </c>
      <c r="D295" s="3">
        <v>45330</v>
      </c>
      <c r="E295">
        <v>2358.4949999999999</v>
      </c>
      <c r="F295">
        <v>457</v>
      </c>
      <c r="G295">
        <v>1312.5</v>
      </c>
      <c r="H295">
        <v>56.59</v>
      </c>
      <c r="I295">
        <v>119.4</v>
      </c>
      <c r="J295">
        <v>180</v>
      </c>
      <c r="K295">
        <v>260.89999999999998</v>
      </c>
    </row>
    <row r="296" spans="2:11" x14ac:dyDescent="0.2">
      <c r="B296" s="3">
        <v>45345</v>
      </c>
      <c r="C296">
        <v>10.325900000000001</v>
      </c>
      <c r="D296" s="3">
        <v>45329</v>
      </c>
      <c r="E296">
        <v>2356.4319999999998</v>
      </c>
      <c r="F296">
        <v>454.7</v>
      </c>
      <c r="G296">
        <v>1396</v>
      </c>
      <c r="H296">
        <v>55.77</v>
      </c>
      <c r="I296">
        <v>119.1</v>
      </c>
      <c r="J296">
        <v>177.75</v>
      </c>
      <c r="K296">
        <v>259.2</v>
      </c>
    </row>
    <row r="297" spans="2:11" x14ac:dyDescent="0.2">
      <c r="B297" s="3">
        <v>45344</v>
      </c>
      <c r="C297">
        <v>10.32865</v>
      </c>
      <c r="D297" s="3">
        <v>45328</v>
      </c>
      <c r="E297">
        <v>2357.5230000000001</v>
      </c>
      <c r="F297">
        <v>455.4</v>
      </c>
      <c r="G297">
        <v>1401.5</v>
      </c>
      <c r="H297">
        <v>56.48</v>
      </c>
      <c r="I297">
        <v>113.35</v>
      </c>
      <c r="J297">
        <v>177.3</v>
      </c>
      <c r="K297">
        <v>257.8</v>
      </c>
    </row>
    <row r="298" spans="2:11" x14ac:dyDescent="0.2">
      <c r="B298" s="3">
        <v>45343</v>
      </c>
      <c r="C298">
        <v>10.366199999999999</v>
      </c>
      <c r="D298" s="3">
        <v>45327</v>
      </c>
      <c r="E298">
        <v>2339.8850000000002</v>
      </c>
      <c r="F298">
        <v>453</v>
      </c>
      <c r="G298">
        <v>1386.5</v>
      </c>
      <c r="H298">
        <v>56.74</v>
      </c>
      <c r="I298">
        <v>111.3</v>
      </c>
      <c r="J298">
        <v>176.5</v>
      </c>
      <c r="K298">
        <v>252.9</v>
      </c>
    </row>
    <row r="299" spans="2:11" x14ac:dyDescent="0.2">
      <c r="B299" s="3">
        <v>45342</v>
      </c>
      <c r="C299">
        <v>10.3681</v>
      </c>
      <c r="D299" s="3">
        <v>45324</v>
      </c>
      <c r="E299">
        <v>2367.8980000000001</v>
      </c>
      <c r="F299">
        <v>457.3</v>
      </c>
      <c r="G299">
        <v>1380</v>
      </c>
      <c r="H299">
        <v>56.82</v>
      </c>
      <c r="I299">
        <v>112.4</v>
      </c>
      <c r="J299">
        <v>178.2</v>
      </c>
      <c r="K299">
        <v>257.35000000000002</v>
      </c>
    </row>
    <row r="300" spans="2:11" x14ac:dyDescent="0.2">
      <c r="B300" s="3">
        <v>45341</v>
      </c>
      <c r="C300">
        <v>10.4278</v>
      </c>
      <c r="D300" s="3">
        <v>45323</v>
      </c>
      <c r="E300">
        <v>2364.8119999999999</v>
      </c>
      <c r="F300">
        <v>451.5</v>
      </c>
      <c r="G300">
        <v>1379.5</v>
      </c>
      <c r="H300">
        <v>56.97</v>
      </c>
      <c r="I300">
        <v>111.35</v>
      </c>
      <c r="J300">
        <v>181.7</v>
      </c>
      <c r="K300">
        <v>253.25</v>
      </c>
    </row>
    <row r="301" spans="2:11" x14ac:dyDescent="0.2">
      <c r="B301" s="3">
        <v>45338</v>
      </c>
      <c r="C301">
        <v>10.43515</v>
      </c>
      <c r="D301" s="3">
        <v>45322</v>
      </c>
      <c r="E301">
        <v>2356.6010000000001</v>
      </c>
      <c r="F301">
        <v>441.8</v>
      </c>
      <c r="G301">
        <v>1393</v>
      </c>
      <c r="H301">
        <v>57.73</v>
      </c>
      <c r="I301">
        <v>112.55</v>
      </c>
      <c r="J301">
        <v>181.15</v>
      </c>
      <c r="K301">
        <v>249.9</v>
      </c>
    </row>
    <row r="302" spans="2:11" x14ac:dyDescent="0.2">
      <c r="B302" s="3">
        <v>45337</v>
      </c>
      <c r="C302">
        <v>10.452999999999999</v>
      </c>
      <c r="D302" s="3">
        <v>45321</v>
      </c>
      <c r="E302">
        <v>2368.364</v>
      </c>
      <c r="F302">
        <v>450.2</v>
      </c>
      <c r="G302">
        <v>1401</v>
      </c>
      <c r="H302">
        <v>59.16</v>
      </c>
      <c r="I302">
        <v>113.65</v>
      </c>
      <c r="J302">
        <v>180</v>
      </c>
      <c r="K302">
        <v>249.05</v>
      </c>
    </row>
    <row r="303" spans="2:11" x14ac:dyDescent="0.2">
      <c r="B303" s="3">
        <v>45336</v>
      </c>
      <c r="C303">
        <v>10.5303</v>
      </c>
      <c r="D303" s="3">
        <v>45320</v>
      </c>
      <c r="E303">
        <v>2368.0610000000001</v>
      </c>
      <c r="F303">
        <v>448.1</v>
      </c>
      <c r="G303">
        <v>1406</v>
      </c>
      <c r="H303">
        <v>60.39</v>
      </c>
      <c r="I303">
        <v>113.3</v>
      </c>
      <c r="J303">
        <v>173.05</v>
      </c>
      <c r="K303">
        <v>247.15</v>
      </c>
    </row>
    <row r="304" spans="2:11" x14ac:dyDescent="0.2">
      <c r="B304" s="3">
        <v>45335</v>
      </c>
      <c r="C304">
        <v>10.585850000000001</v>
      </c>
      <c r="D304" s="3">
        <v>45317</v>
      </c>
      <c r="E304">
        <v>2370.13</v>
      </c>
      <c r="F304">
        <v>443.8</v>
      </c>
      <c r="G304">
        <v>1404</v>
      </c>
      <c r="H304">
        <v>60.67</v>
      </c>
      <c r="I304">
        <v>114.4</v>
      </c>
      <c r="J304">
        <v>172.75</v>
      </c>
      <c r="K304">
        <v>253.4</v>
      </c>
    </row>
    <row r="305" spans="2:11" x14ac:dyDescent="0.2">
      <c r="B305" s="3">
        <v>45334</v>
      </c>
      <c r="C305">
        <v>10.4</v>
      </c>
      <c r="D305" s="3">
        <v>45316</v>
      </c>
      <c r="E305">
        <v>2362.7260000000001</v>
      </c>
      <c r="F305">
        <v>439.6</v>
      </c>
      <c r="G305">
        <v>1390.5</v>
      </c>
      <c r="H305">
        <v>60.72</v>
      </c>
      <c r="I305">
        <v>115.6</v>
      </c>
      <c r="J305">
        <v>172.95</v>
      </c>
      <c r="K305">
        <v>250.95</v>
      </c>
    </row>
    <row r="306" spans="2:11" x14ac:dyDescent="0.2">
      <c r="B306" s="3">
        <v>45331</v>
      </c>
      <c r="C306">
        <v>10.459250000000001</v>
      </c>
      <c r="D306" s="3">
        <v>45315</v>
      </c>
      <c r="E306">
        <v>2351.0990000000002</v>
      </c>
      <c r="F306">
        <v>437.1</v>
      </c>
      <c r="G306">
        <v>1390</v>
      </c>
      <c r="H306">
        <v>60.4</v>
      </c>
      <c r="I306">
        <v>110.8</v>
      </c>
      <c r="J306">
        <v>173</v>
      </c>
      <c r="K306">
        <v>250.1</v>
      </c>
    </row>
    <row r="307" spans="2:11" x14ac:dyDescent="0.2">
      <c r="B307" s="3">
        <v>45330</v>
      </c>
      <c r="C307">
        <v>10.4772</v>
      </c>
      <c r="D307" s="3">
        <v>45314</v>
      </c>
      <c r="E307">
        <v>2337.4830000000002</v>
      </c>
      <c r="F307">
        <v>433.1</v>
      </c>
      <c r="G307">
        <v>1391</v>
      </c>
      <c r="H307">
        <v>63.53</v>
      </c>
      <c r="I307">
        <v>109.65</v>
      </c>
      <c r="J307">
        <v>170.05</v>
      </c>
      <c r="K307">
        <v>247.05</v>
      </c>
    </row>
    <row r="308" spans="2:11" x14ac:dyDescent="0.2">
      <c r="B308" s="3">
        <v>45329</v>
      </c>
      <c r="C308">
        <v>10.473100000000001</v>
      </c>
      <c r="D308" s="3">
        <v>45313</v>
      </c>
      <c r="E308">
        <v>2330.549</v>
      </c>
      <c r="F308">
        <v>434.9</v>
      </c>
      <c r="G308">
        <v>1408</v>
      </c>
      <c r="H308">
        <v>61.27</v>
      </c>
      <c r="I308">
        <v>110.1</v>
      </c>
      <c r="J308">
        <v>169.25</v>
      </c>
      <c r="K308">
        <v>245.6</v>
      </c>
    </row>
    <row r="309" spans="2:11" x14ac:dyDescent="0.2">
      <c r="B309" s="3">
        <v>45328</v>
      </c>
      <c r="C309">
        <v>10.50305</v>
      </c>
      <c r="D309" s="3">
        <v>45310</v>
      </c>
      <c r="E309">
        <v>2297.9560000000001</v>
      </c>
      <c r="F309">
        <v>424</v>
      </c>
      <c r="G309">
        <v>1397.5</v>
      </c>
      <c r="H309">
        <v>61.66</v>
      </c>
      <c r="I309">
        <v>107.85</v>
      </c>
      <c r="J309">
        <v>167.35</v>
      </c>
      <c r="K309">
        <v>245.4</v>
      </c>
    </row>
    <row r="310" spans="2:11" x14ac:dyDescent="0.2">
      <c r="B310" s="3">
        <v>45327</v>
      </c>
      <c r="C310">
        <v>10.602449999999999</v>
      </c>
      <c r="D310" s="3">
        <v>45309</v>
      </c>
      <c r="E310">
        <v>2309.951</v>
      </c>
      <c r="F310">
        <v>441.5</v>
      </c>
      <c r="G310">
        <v>1388.5</v>
      </c>
      <c r="H310">
        <v>64.22</v>
      </c>
      <c r="I310">
        <v>107.9</v>
      </c>
      <c r="J310">
        <v>170.3</v>
      </c>
      <c r="K310">
        <v>247.3</v>
      </c>
    </row>
    <row r="311" spans="2:11" x14ac:dyDescent="0.2">
      <c r="B311" s="3">
        <v>45324</v>
      </c>
      <c r="C311">
        <v>10.499000000000001</v>
      </c>
      <c r="D311" s="3">
        <v>45308</v>
      </c>
      <c r="E311">
        <v>2297.8470000000002</v>
      </c>
      <c r="F311">
        <v>435.9</v>
      </c>
      <c r="G311">
        <v>1392</v>
      </c>
      <c r="H311">
        <v>63.51</v>
      </c>
      <c r="I311">
        <v>107.55</v>
      </c>
      <c r="J311">
        <v>168.35</v>
      </c>
      <c r="K311">
        <v>246.65</v>
      </c>
    </row>
    <row r="312" spans="2:11" x14ac:dyDescent="0.2">
      <c r="B312" s="3">
        <v>45323</v>
      </c>
      <c r="C312">
        <v>10.382300000000001</v>
      </c>
      <c r="D312" s="3">
        <v>45307</v>
      </c>
      <c r="E312">
        <v>2323.7849999999999</v>
      </c>
      <c r="F312">
        <v>438.9</v>
      </c>
      <c r="G312">
        <v>1404.5</v>
      </c>
      <c r="H312">
        <v>63.95</v>
      </c>
      <c r="I312">
        <v>107.25</v>
      </c>
      <c r="J312">
        <v>170.55</v>
      </c>
      <c r="K312">
        <v>247.7</v>
      </c>
    </row>
    <row r="313" spans="2:11" x14ac:dyDescent="0.2">
      <c r="B313" s="3">
        <v>45322</v>
      </c>
      <c r="C313">
        <v>10.389200000000001</v>
      </c>
      <c r="D313" s="3">
        <v>45306</v>
      </c>
      <c r="E313">
        <v>2340.4670000000001</v>
      </c>
      <c r="F313">
        <v>438.9</v>
      </c>
      <c r="G313">
        <v>1424.5</v>
      </c>
      <c r="H313">
        <v>64.05</v>
      </c>
      <c r="I313">
        <v>110.4</v>
      </c>
      <c r="J313">
        <v>173.55</v>
      </c>
      <c r="K313">
        <v>248.25</v>
      </c>
    </row>
    <row r="314" spans="2:11" x14ac:dyDescent="0.2">
      <c r="B314" s="3">
        <v>45321</v>
      </c>
      <c r="C314">
        <v>10.410600000000001</v>
      </c>
      <c r="D314" s="3">
        <v>45303</v>
      </c>
      <c r="E314">
        <v>2355.9650000000001</v>
      </c>
      <c r="F314">
        <v>440.7</v>
      </c>
      <c r="G314">
        <v>1423.5</v>
      </c>
      <c r="H314">
        <v>64.17</v>
      </c>
      <c r="I314">
        <v>110.65</v>
      </c>
      <c r="J314">
        <v>175.6</v>
      </c>
      <c r="K314">
        <v>249.9</v>
      </c>
    </row>
    <row r="315" spans="2:11" x14ac:dyDescent="0.2">
      <c r="B315" s="3">
        <v>45320</v>
      </c>
      <c r="C315">
        <v>10.443300000000001</v>
      </c>
      <c r="D315" s="3">
        <v>45302</v>
      </c>
      <c r="E315">
        <v>2336.2449999999999</v>
      </c>
      <c r="F315">
        <v>436.4</v>
      </c>
      <c r="G315">
        <v>1423</v>
      </c>
      <c r="H315">
        <v>63.1</v>
      </c>
      <c r="I315">
        <v>109.55</v>
      </c>
      <c r="J315">
        <v>174</v>
      </c>
      <c r="K315">
        <v>247.05</v>
      </c>
    </row>
    <row r="316" spans="2:11" x14ac:dyDescent="0.2">
      <c r="B316" s="3">
        <v>45317</v>
      </c>
      <c r="C316">
        <v>10.444800000000001</v>
      </c>
      <c r="D316" s="3">
        <v>45301</v>
      </c>
      <c r="E316">
        <v>2341.9369999999999</v>
      </c>
      <c r="F316">
        <v>437</v>
      </c>
      <c r="G316">
        <v>1421</v>
      </c>
      <c r="H316">
        <v>63.2</v>
      </c>
      <c r="I316">
        <v>109.2</v>
      </c>
      <c r="J316">
        <v>174.45</v>
      </c>
      <c r="K316">
        <v>248.35</v>
      </c>
    </row>
    <row r="317" spans="2:11" x14ac:dyDescent="0.2">
      <c r="B317" s="3">
        <v>45316</v>
      </c>
      <c r="C317">
        <v>10.444699999999999</v>
      </c>
      <c r="D317" s="3">
        <v>45300</v>
      </c>
      <c r="E317">
        <v>2344.723</v>
      </c>
      <c r="F317">
        <v>435.9</v>
      </c>
      <c r="G317">
        <v>1423.5</v>
      </c>
      <c r="H317">
        <v>62.61</v>
      </c>
      <c r="I317">
        <v>109.65</v>
      </c>
      <c r="J317">
        <v>176.6</v>
      </c>
      <c r="K317">
        <v>248.15</v>
      </c>
    </row>
    <row r="318" spans="2:11" x14ac:dyDescent="0.2">
      <c r="B318" s="3">
        <v>45315</v>
      </c>
      <c r="C318">
        <v>10.437799999999999</v>
      </c>
      <c r="D318" s="3">
        <v>45299</v>
      </c>
      <c r="E318">
        <v>2357.7719999999999</v>
      </c>
      <c r="F318">
        <v>438.1</v>
      </c>
      <c r="G318">
        <v>1407.5</v>
      </c>
      <c r="H318">
        <v>62.81</v>
      </c>
      <c r="I318">
        <v>110.5</v>
      </c>
      <c r="J318">
        <v>179.3</v>
      </c>
      <c r="K318">
        <v>250</v>
      </c>
    </row>
    <row r="319" spans="2:11" x14ac:dyDescent="0.2">
      <c r="B319" s="3">
        <v>45314</v>
      </c>
      <c r="C319">
        <v>10.484999999999999</v>
      </c>
      <c r="D319" s="3">
        <v>45296</v>
      </c>
      <c r="E319">
        <v>2337.864</v>
      </c>
      <c r="F319">
        <v>431.2</v>
      </c>
      <c r="G319">
        <v>1410.5</v>
      </c>
      <c r="H319">
        <v>62.65</v>
      </c>
      <c r="I319">
        <v>110.45</v>
      </c>
      <c r="J319">
        <v>176.5</v>
      </c>
      <c r="K319">
        <v>247.65</v>
      </c>
    </row>
    <row r="320" spans="2:11" x14ac:dyDescent="0.2">
      <c r="B320" s="3">
        <v>45313</v>
      </c>
      <c r="C320">
        <v>10.464399999999999</v>
      </c>
      <c r="D320" s="3">
        <v>45295</v>
      </c>
      <c r="E320">
        <v>2361.8989999999999</v>
      </c>
      <c r="F320">
        <v>438.3</v>
      </c>
      <c r="G320">
        <v>1415.5</v>
      </c>
      <c r="H320">
        <v>63.19</v>
      </c>
      <c r="I320">
        <v>110.9</v>
      </c>
      <c r="J320">
        <v>178.6</v>
      </c>
      <c r="K320">
        <v>250.15</v>
      </c>
    </row>
    <row r="321" spans="2:11" x14ac:dyDescent="0.2">
      <c r="B321" s="3">
        <v>45310</v>
      </c>
      <c r="C321">
        <v>10.465199999999999</v>
      </c>
      <c r="D321" s="3">
        <v>45294</v>
      </c>
      <c r="E321">
        <v>2356.6390000000001</v>
      </c>
      <c r="F321">
        <v>435.6</v>
      </c>
      <c r="G321">
        <v>1399.5</v>
      </c>
      <c r="H321">
        <v>62.92</v>
      </c>
      <c r="I321">
        <v>108.25</v>
      </c>
      <c r="J321">
        <v>177.85</v>
      </c>
      <c r="K321">
        <v>255.45</v>
      </c>
    </row>
    <row r="322" spans="2:11" x14ac:dyDescent="0.2">
      <c r="B322" s="3">
        <v>45309</v>
      </c>
      <c r="C322">
        <v>10.4857</v>
      </c>
      <c r="D322" s="3">
        <v>45293</v>
      </c>
      <c r="E322">
        <v>2394.9290000000001</v>
      </c>
      <c r="F322">
        <v>444.7</v>
      </c>
      <c r="G322">
        <v>1390</v>
      </c>
      <c r="H322">
        <v>63.77</v>
      </c>
      <c r="I322">
        <v>110</v>
      </c>
      <c r="J322">
        <v>183.5</v>
      </c>
      <c r="K322">
        <v>260.25</v>
      </c>
    </row>
    <row r="323" spans="2:11" x14ac:dyDescent="0.2">
      <c r="B323" s="3">
        <v>45308</v>
      </c>
      <c r="C323">
        <v>10.44595</v>
      </c>
      <c r="D323" s="3">
        <v>45289</v>
      </c>
      <c r="E323">
        <v>2396.067</v>
      </c>
      <c r="F323">
        <v>445.3</v>
      </c>
      <c r="G323">
        <v>1353.5</v>
      </c>
      <c r="H323">
        <v>63.11</v>
      </c>
      <c r="I323">
        <v>109.45</v>
      </c>
      <c r="J323">
        <v>182.35</v>
      </c>
      <c r="K323">
        <v>261.7</v>
      </c>
    </row>
    <row r="324" spans="2:11" x14ac:dyDescent="0.2">
      <c r="B324" s="3">
        <v>45307</v>
      </c>
      <c r="C324">
        <v>10.437900000000001</v>
      </c>
      <c r="D324" s="3">
        <v>45288</v>
      </c>
      <c r="E324">
        <v>2389.0070000000001</v>
      </c>
      <c r="F324">
        <v>440.5</v>
      </c>
      <c r="G324">
        <v>1348.5</v>
      </c>
      <c r="H324">
        <v>63.28</v>
      </c>
      <c r="I324">
        <v>109.05</v>
      </c>
      <c r="J324">
        <v>183.15</v>
      </c>
      <c r="K324">
        <v>261.55</v>
      </c>
    </row>
    <row r="325" spans="2:11" x14ac:dyDescent="0.2">
      <c r="B325" s="3">
        <v>45306</v>
      </c>
      <c r="C325">
        <v>10.317600000000001</v>
      </c>
      <c r="D325" s="3">
        <v>45287</v>
      </c>
      <c r="E325">
        <v>2390.2759999999998</v>
      </c>
      <c r="F325">
        <v>438.2</v>
      </c>
      <c r="G325">
        <v>1338</v>
      </c>
      <c r="H325">
        <v>63.2</v>
      </c>
      <c r="I325">
        <v>109.55</v>
      </c>
      <c r="J325">
        <v>182.65</v>
      </c>
      <c r="K325">
        <v>261.89999999999998</v>
      </c>
    </row>
    <row r="326" spans="2:11" x14ac:dyDescent="0.2">
      <c r="B326" s="3">
        <v>45303</v>
      </c>
      <c r="C326">
        <v>10.2821</v>
      </c>
      <c r="D326" s="3">
        <v>45282</v>
      </c>
      <c r="E326">
        <v>2377.0459999999998</v>
      </c>
      <c r="F326">
        <v>435.9</v>
      </c>
      <c r="G326">
        <v>1337.5</v>
      </c>
      <c r="H326">
        <v>62.7</v>
      </c>
      <c r="I326">
        <v>108.15</v>
      </c>
      <c r="J326">
        <v>182.05</v>
      </c>
      <c r="K326">
        <v>259.75</v>
      </c>
    </row>
    <row r="327" spans="2:11" x14ac:dyDescent="0.2">
      <c r="B327" s="3">
        <v>45302</v>
      </c>
      <c r="C327">
        <v>10.2563</v>
      </c>
      <c r="D327" s="3">
        <v>45281</v>
      </c>
      <c r="E327">
        <v>2375.1370000000002</v>
      </c>
      <c r="F327">
        <v>438.8</v>
      </c>
      <c r="G327">
        <v>1348.5</v>
      </c>
      <c r="H327">
        <v>61.96</v>
      </c>
      <c r="I327">
        <v>107.45</v>
      </c>
      <c r="J327">
        <v>180.15</v>
      </c>
      <c r="K327">
        <v>259.64999999999998</v>
      </c>
    </row>
    <row r="328" spans="2:11" x14ac:dyDescent="0.2">
      <c r="B328" s="3">
        <v>45301</v>
      </c>
      <c r="C328">
        <v>10.226699999999999</v>
      </c>
      <c r="D328" s="3">
        <v>45280</v>
      </c>
      <c r="E328">
        <v>2390.8440000000001</v>
      </c>
      <c r="F328">
        <v>441.6</v>
      </c>
      <c r="G328">
        <v>1352.5</v>
      </c>
      <c r="H328">
        <v>62.6</v>
      </c>
      <c r="I328">
        <v>108.15</v>
      </c>
      <c r="J328">
        <v>180.6</v>
      </c>
      <c r="K328">
        <v>261.45</v>
      </c>
    </row>
    <row r="329" spans="2:11" x14ac:dyDescent="0.2">
      <c r="B329" s="3">
        <v>45300</v>
      </c>
      <c r="C329">
        <v>10.25365</v>
      </c>
      <c r="D329" s="3">
        <v>45279</v>
      </c>
      <c r="E329">
        <v>2384.5410000000002</v>
      </c>
      <c r="F329">
        <v>443.2</v>
      </c>
      <c r="G329">
        <v>1347</v>
      </c>
      <c r="H329">
        <v>61.6</v>
      </c>
      <c r="I329">
        <v>107.95</v>
      </c>
      <c r="J329">
        <v>179.8</v>
      </c>
      <c r="K329">
        <v>259.7</v>
      </c>
    </row>
    <row r="330" spans="2:11" x14ac:dyDescent="0.2">
      <c r="B330" s="3">
        <v>45299</v>
      </c>
      <c r="C330">
        <v>10.2315</v>
      </c>
      <c r="D330" s="3">
        <v>45278</v>
      </c>
      <c r="E330">
        <v>2374.17</v>
      </c>
      <c r="F330">
        <v>441</v>
      </c>
      <c r="G330">
        <v>1344</v>
      </c>
      <c r="H330">
        <v>61.1</v>
      </c>
      <c r="I330">
        <v>108.65</v>
      </c>
      <c r="J330">
        <v>180.15</v>
      </c>
      <c r="K330">
        <v>259.55</v>
      </c>
    </row>
    <row r="331" spans="2:11" x14ac:dyDescent="0.2">
      <c r="B331" s="3">
        <v>45296</v>
      </c>
      <c r="C331">
        <v>10.253399999999999</v>
      </c>
      <c r="D331" s="3">
        <v>45275</v>
      </c>
      <c r="E331">
        <v>2386.433</v>
      </c>
      <c r="F331">
        <v>446.8</v>
      </c>
      <c r="G331">
        <v>1332</v>
      </c>
      <c r="H331">
        <v>61.62</v>
      </c>
      <c r="I331">
        <v>107.5</v>
      </c>
      <c r="J331">
        <v>181.2</v>
      </c>
      <c r="K331">
        <v>261</v>
      </c>
    </row>
    <row r="332" spans="2:11" x14ac:dyDescent="0.2">
      <c r="B332" s="3">
        <v>45295</v>
      </c>
      <c r="C332">
        <v>10.2187</v>
      </c>
      <c r="D332" s="3">
        <v>45274</v>
      </c>
      <c r="E332">
        <v>2365.2530000000002</v>
      </c>
      <c r="F332">
        <v>442</v>
      </c>
      <c r="G332">
        <v>1361.5</v>
      </c>
      <c r="H332">
        <v>61.75</v>
      </c>
      <c r="I332">
        <v>106.5</v>
      </c>
      <c r="J332">
        <v>181.35</v>
      </c>
      <c r="K332">
        <v>258.14999999999998</v>
      </c>
    </row>
    <row r="333" spans="2:11" x14ac:dyDescent="0.2">
      <c r="B333" s="3">
        <v>45294</v>
      </c>
      <c r="C333">
        <v>10.295949999999999</v>
      </c>
      <c r="D333" s="3">
        <v>45273</v>
      </c>
      <c r="E333">
        <v>2322.7550000000001</v>
      </c>
      <c r="F333">
        <v>441.4</v>
      </c>
      <c r="G333">
        <v>1362</v>
      </c>
      <c r="H333">
        <v>59.26</v>
      </c>
      <c r="I333">
        <v>103.9</v>
      </c>
      <c r="J333">
        <v>172.35</v>
      </c>
      <c r="K333">
        <v>253</v>
      </c>
    </row>
    <row r="334" spans="2:11" x14ac:dyDescent="0.2">
      <c r="B334" s="3">
        <v>45293</v>
      </c>
      <c r="C334">
        <v>10.2195</v>
      </c>
      <c r="D334" s="3">
        <v>45272</v>
      </c>
      <c r="E334">
        <v>2334.7280000000001</v>
      </c>
      <c r="F334">
        <v>440.5</v>
      </c>
      <c r="G334">
        <v>1340</v>
      </c>
      <c r="H334">
        <v>60</v>
      </c>
      <c r="I334">
        <v>103.75</v>
      </c>
      <c r="J334">
        <v>172.65</v>
      </c>
      <c r="K334">
        <v>255.15</v>
      </c>
    </row>
    <row r="335" spans="2:11" x14ac:dyDescent="0.2">
      <c r="B335" s="3">
        <v>45292</v>
      </c>
      <c r="C335">
        <v>10.075049999999999</v>
      </c>
      <c r="D335" s="3">
        <v>45271</v>
      </c>
      <c r="E335">
        <v>2339.7840000000001</v>
      </c>
      <c r="F335">
        <v>442.3</v>
      </c>
      <c r="G335">
        <v>1336</v>
      </c>
      <c r="H335">
        <v>59.55</v>
      </c>
      <c r="I335">
        <v>103.9</v>
      </c>
      <c r="J335">
        <v>175.25</v>
      </c>
      <c r="K335">
        <v>254.9</v>
      </c>
    </row>
    <row r="336" spans="2:11" x14ac:dyDescent="0.2">
      <c r="B336" s="3">
        <v>45289</v>
      </c>
      <c r="C336">
        <v>10.0685</v>
      </c>
      <c r="D336" s="3">
        <v>45268</v>
      </c>
      <c r="E336">
        <v>2313.011</v>
      </c>
      <c r="F336">
        <v>428.1</v>
      </c>
      <c r="G336">
        <v>1331</v>
      </c>
      <c r="H336">
        <v>59.3</v>
      </c>
      <c r="I336">
        <v>102.35</v>
      </c>
      <c r="J336">
        <v>173.25</v>
      </c>
      <c r="K336">
        <v>252.7</v>
      </c>
    </row>
    <row r="337" spans="2:11" x14ac:dyDescent="0.2">
      <c r="B337" s="3">
        <v>45288</v>
      </c>
      <c r="C337">
        <v>9.9885999999999999</v>
      </c>
      <c r="D337" s="3">
        <v>45267</v>
      </c>
      <c r="E337">
        <v>2287.1350000000002</v>
      </c>
      <c r="F337">
        <v>421.6</v>
      </c>
      <c r="G337">
        <v>1326</v>
      </c>
      <c r="H337">
        <v>57.88</v>
      </c>
      <c r="I337">
        <v>102.3</v>
      </c>
      <c r="J337">
        <v>174.5</v>
      </c>
      <c r="K337">
        <v>250.1</v>
      </c>
    </row>
    <row r="338" spans="2:11" x14ac:dyDescent="0.2">
      <c r="B338" s="3">
        <v>45287</v>
      </c>
      <c r="C338">
        <v>9.9404500000000002</v>
      </c>
      <c r="D338" s="3">
        <v>45266</v>
      </c>
      <c r="E338">
        <v>2289.636</v>
      </c>
      <c r="F338">
        <v>424.2</v>
      </c>
      <c r="G338">
        <v>1342.5</v>
      </c>
      <c r="H338">
        <v>58.33</v>
      </c>
      <c r="I338">
        <v>101.1</v>
      </c>
      <c r="J338">
        <v>173.4</v>
      </c>
      <c r="K338">
        <v>252</v>
      </c>
    </row>
    <row r="339" spans="2:11" x14ac:dyDescent="0.2">
      <c r="B339" s="3">
        <v>45286</v>
      </c>
      <c r="C339">
        <v>9.9968000000000004</v>
      </c>
      <c r="D339" s="3">
        <v>45265</v>
      </c>
      <c r="E339">
        <v>2267.7979999999998</v>
      </c>
      <c r="F339">
        <v>424.2</v>
      </c>
      <c r="G339">
        <v>1347.5</v>
      </c>
      <c r="H339">
        <v>57.6</v>
      </c>
      <c r="I339">
        <v>100.6</v>
      </c>
      <c r="J339">
        <v>171.05</v>
      </c>
      <c r="K339">
        <v>250.1</v>
      </c>
    </row>
    <row r="340" spans="2:11" x14ac:dyDescent="0.2">
      <c r="B340" s="3">
        <v>45285</v>
      </c>
      <c r="C340">
        <v>10.03745</v>
      </c>
      <c r="D340" s="3">
        <v>45264</v>
      </c>
      <c r="E340">
        <v>2253.8000000000002</v>
      </c>
      <c r="F340">
        <v>417.6</v>
      </c>
      <c r="G340">
        <v>1361.5</v>
      </c>
      <c r="H340">
        <v>54.3</v>
      </c>
      <c r="I340">
        <v>99.8</v>
      </c>
      <c r="J340">
        <v>169.5</v>
      </c>
      <c r="K340">
        <v>244.55</v>
      </c>
    </row>
    <row r="341" spans="2:11" x14ac:dyDescent="0.2">
      <c r="B341" s="3">
        <v>45282</v>
      </c>
      <c r="C341">
        <v>10.002000000000001</v>
      </c>
      <c r="D341" s="3">
        <v>45261</v>
      </c>
      <c r="E341">
        <v>2250.2139999999999</v>
      </c>
      <c r="F341">
        <v>420</v>
      </c>
      <c r="G341">
        <v>1348.5</v>
      </c>
      <c r="H341">
        <v>51.91</v>
      </c>
      <c r="I341">
        <v>99.46</v>
      </c>
      <c r="J341">
        <v>170.6</v>
      </c>
      <c r="K341">
        <v>245.05</v>
      </c>
    </row>
    <row r="342" spans="2:11" x14ac:dyDescent="0.2">
      <c r="B342" s="3">
        <v>45281</v>
      </c>
      <c r="C342">
        <v>10.087999999999999</v>
      </c>
      <c r="D342" s="3">
        <v>45260</v>
      </c>
      <c r="E342">
        <v>2232.462</v>
      </c>
      <c r="F342">
        <v>417.1</v>
      </c>
      <c r="G342">
        <v>1340.5</v>
      </c>
      <c r="H342">
        <v>51.96</v>
      </c>
      <c r="I342">
        <v>99.4</v>
      </c>
      <c r="J342">
        <v>168.5</v>
      </c>
      <c r="K342">
        <v>243.25</v>
      </c>
    </row>
    <row r="343" spans="2:11" x14ac:dyDescent="0.2">
      <c r="B343" s="3">
        <v>45280</v>
      </c>
      <c r="C343">
        <v>10.17685</v>
      </c>
      <c r="D343" s="3">
        <v>45259</v>
      </c>
      <c r="E343">
        <v>2232.9989999999998</v>
      </c>
      <c r="F343">
        <v>403.6</v>
      </c>
      <c r="G343">
        <v>1326.5</v>
      </c>
      <c r="H343">
        <v>52.58</v>
      </c>
      <c r="I343">
        <v>99.24</v>
      </c>
      <c r="J343">
        <v>168.2</v>
      </c>
      <c r="K343">
        <v>242.2</v>
      </c>
    </row>
    <row r="344" spans="2:11" x14ac:dyDescent="0.2">
      <c r="B344" s="3">
        <v>45279</v>
      </c>
      <c r="C344">
        <v>10.1571</v>
      </c>
      <c r="D344" s="3">
        <v>45258</v>
      </c>
      <c r="E344">
        <v>2214.806</v>
      </c>
      <c r="F344">
        <v>400.3</v>
      </c>
      <c r="G344">
        <v>1311.5</v>
      </c>
      <c r="H344">
        <v>51.75</v>
      </c>
      <c r="I344">
        <v>98.98</v>
      </c>
      <c r="J344">
        <v>165.2</v>
      </c>
      <c r="K344">
        <v>238.5</v>
      </c>
    </row>
    <row r="345" spans="2:11" x14ac:dyDescent="0.2">
      <c r="B345" s="3">
        <v>45278</v>
      </c>
      <c r="C345">
        <v>10.2096</v>
      </c>
      <c r="D345" s="3">
        <v>45257</v>
      </c>
      <c r="E345">
        <v>2226.8530000000001</v>
      </c>
      <c r="F345">
        <v>401.8</v>
      </c>
      <c r="G345">
        <v>1331.5</v>
      </c>
      <c r="H345">
        <v>52.26</v>
      </c>
      <c r="I345">
        <v>100.1</v>
      </c>
      <c r="J345">
        <v>167</v>
      </c>
      <c r="K345">
        <v>238.9</v>
      </c>
    </row>
    <row r="346" spans="2:11" x14ac:dyDescent="0.2">
      <c r="B346" s="3">
        <v>45275</v>
      </c>
      <c r="C346">
        <v>10.274699999999999</v>
      </c>
      <c r="D346" s="3">
        <v>45254</v>
      </c>
      <c r="E346">
        <v>2229.3719999999998</v>
      </c>
      <c r="F346">
        <v>403.6</v>
      </c>
      <c r="G346">
        <v>1351</v>
      </c>
      <c r="H346">
        <v>52.51</v>
      </c>
      <c r="I346">
        <v>100.85</v>
      </c>
      <c r="J346">
        <v>166.95</v>
      </c>
      <c r="K346">
        <v>238.65</v>
      </c>
    </row>
    <row r="347" spans="2:11" x14ac:dyDescent="0.2">
      <c r="B347" s="3">
        <v>45274</v>
      </c>
      <c r="C347">
        <v>10.24245</v>
      </c>
      <c r="D347" s="3">
        <v>45253</v>
      </c>
      <c r="E347">
        <v>2226.3440000000001</v>
      </c>
      <c r="F347">
        <v>402.4</v>
      </c>
      <c r="G347">
        <v>1352</v>
      </c>
      <c r="H347">
        <v>52.27</v>
      </c>
      <c r="I347">
        <v>100.3</v>
      </c>
      <c r="J347">
        <v>165.55</v>
      </c>
      <c r="K347">
        <v>237.9</v>
      </c>
    </row>
    <row r="348" spans="2:11" x14ac:dyDescent="0.2">
      <c r="B348" s="3">
        <v>45273</v>
      </c>
      <c r="C348">
        <v>10.33175</v>
      </c>
      <c r="D348" s="3">
        <v>45252</v>
      </c>
      <c r="E348">
        <v>2213.183</v>
      </c>
      <c r="F348">
        <v>402.9</v>
      </c>
      <c r="G348">
        <v>1333</v>
      </c>
      <c r="H348">
        <v>52.32</v>
      </c>
      <c r="I348">
        <v>98.78</v>
      </c>
      <c r="J348">
        <v>164.85</v>
      </c>
      <c r="K348">
        <v>236.95</v>
      </c>
    </row>
    <row r="349" spans="2:11" x14ac:dyDescent="0.2">
      <c r="B349" s="3">
        <v>45272</v>
      </c>
      <c r="C349">
        <v>10.436400000000001</v>
      </c>
      <c r="D349" s="3">
        <v>45251</v>
      </c>
      <c r="E349">
        <v>2197.0839999999998</v>
      </c>
      <c r="F349">
        <v>399.2</v>
      </c>
      <c r="G349">
        <v>1339.5</v>
      </c>
      <c r="H349">
        <v>52.35</v>
      </c>
      <c r="I349">
        <v>98.62</v>
      </c>
      <c r="J349">
        <v>163</v>
      </c>
      <c r="K349">
        <v>233.85</v>
      </c>
    </row>
    <row r="350" spans="2:11" x14ac:dyDescent="0.2">
      <c r="B350" s="3">
        <v>45271</v>
      </c>
      <c r="C350">
        <v>10.49145</v>
      </c>
      <c r="D350" s="3">
        <v>45250</v>
      </c>
      <c r="E350">
        <v>2206.3409999999999</v>
      </c>
      <c r="F350">
        <v>397.9</v>
      </c>
      <c r="G350">
        <v>1330.5</v>
      </c>
      <c r="H350">
        <v>52.82</v>
      </c>
      <c r="I350">
        <v>98.94</v>
      </c>
      <c r="J350">
        <v>165.8</v>
      </c>
      <c r="K350">
        <v>234.1</v>
      </c>
    </row>
    <row r="351" spans="2:11" x14ac:dyDescent="0.2">
      <c r="B351" s="3">
        <v>45268</v>
      </c>
      <c r="C351">
        <v>10.4665</v>
      </c>
      <c r="D351" s="3">
        <v>45247</v>
      </c>
      <c r="E351">
        <v>2198.826</v>
      </c>
      <c r="F351">
        <v>402</v>
      </c>
      <c r="G351">
        <v>1353.5</v>
      </c>
      <c r="H351">
        <v>52.21</v>
      </c>
      <c r="I351">
        <v>98.5</v>
      </c>
      <c r="J351">
        <v>166.6</v>
      </c>
      <c r="K351">
        <v>232.7</v>
      </c>
    </row>
    <row r="352" spans="2:11" x14ac:dyDescent="0.2">
      <c r="B352" s="3">
        <v>45267</v>
      </c>
      <c r="C352">
        <v>10.389699999999999</v>
      </c>
      <c r="D352" s="3">
        <v>45246</v>
      </c>
      <c r="E352">
        <v>2171.5349999999999</v>
      </c>
      <c r="F352">
        <v>402.4</v>
      </c>
      <c r="G352">
        <v>1349.5</v>
      </c>
      <c r="H352">
        <v>51.53</v>
      </c>
      <c r="I352">
        <v>97.46</v>
      </c>
      <c r="J352">
        <v>161.9</v>
      </c>
      <c r="K352">
        <v>230.95</v>
      </c>
    </row>
    <row r="353" spans="2:11" x14ac:dyDescent="0.2">
      <c r="B353" s="3">
        <v>45266</v>
      </c>
      <c r="C353">
        <v>10.47655</v>
      </c>
      <c r="D353" s="3">
        <v>45245</v>
      </c>
      <c r="E353">
        <v>2192.9650000000001</v>
      </c>
      <c r="F353">
        <v>399</v>
      </c>
      <c r="G353">
        <v>1335</v>
      </c>
      <c r="H353">
        <v>51.98</v>
      </c>
      <c r="I353">
        <v>98.36</v>
      </c>
      <c r="J353">
        <v>163.44999999999999</v>
      </c>
      <c r="K353">
        <v>233</v>
      </c>
    </row>
    <row r="354" spans="2:11" x14ac:dyDescent="0.2">
      <c r="B354" s="3">
        <v>45265</v>
      </c>
      <c r="C354">
        <v>10.4887</v>
      </c>
      <c r="D354" s="3">
        <v>45244</v>
      </c>
      <c r="E354">
        <v>2169.9789999999998</v>
      </c>
      <c r="F354">
        <v>397.2</v>
      </c>
      <c r="G354">
        <v>1368.5</v>
      </c>
      <c r="H354">
        <v>51.38</v>
      </c>
      <c r="I354">
        <v>97.5</v>
      </c>
      <c r="J354">
        <v>163.55000000000001</v>
      </c>
      <c r="K354">
        <v>227.05</v>
      </c>
    </row>
    <row r="355" spans="2:11" x14ac:dyDescent="0.2">
      <c r="B355" s="3">
        <v>45264</v>
      </c>
      <c r="C355">
        <v>10.436349999999999</v>
      </c>
      <c r="D355" s="3">
        <v>45243</v>
      </c>
      <c r="E355">
        <v>2122.625</v>
      </c>
      <c r="F355">
        <v>391.3</v>
      </c>
      <c r="G355">
        <v>1374</v>
      </c>
      <c r="H355">
        <v>50.27</v>
      </c>
      <c r="I355">
        <v>96.8</v>
      </c>
      <c r="J355">
        <v>154.65</v>
      </c>
      <c r="K355">
        <v>222.4</v>
      </c>
    </row>
    <row r="356" spans="2:11" x14ac:dyDescent="0.2">
      <c r="B356" s="3">
        <v>45261</v>
      </c>
      <c r="C356">
        <v>10.3689</v>
      </c>
      <c r="D356" s="3">
        <v>45240</v>
      </c>
      <c r="E356">
        <v>2115.38</v>
      </c>
      <c r="F356">
        <v>389</v>
      </c>
      <c r="G356">
        <v>1364.5</v>
      </c>
      <c r="H356">
        <v>50.33</v>
      </c>
      <c r="I356">
        <v>96.1</v>
      </c>
      <c r="J356">
        <v>154.35</v>
      </c>
      <c r="K356">
        <v>221.6</v>
      </c>
    </row>
    <row r="357" spans="2:11" x14ac:dyDescent="0.2">
      <c r="B357" s="3">
        <v>45260</v>
      </c>
      <c r="C357">
        <v>10.5009</v>
      </c>
      <c r="D357" s="3">
        <v>45239</v>
      </c>
      <c r="E357">
        <v>2137.9769999999999</v>
      </c>
      <c r="F357">
        <v>392.4</v>
      </c>
      <c r="G357">
        <v>1407</v>
      </c>
      <c r="H357">
        <v>50.86</v>
      </c>
      <c r="I357">
        <v>95.94</v>
      </c>
      <c r="J357">
        <v>156.25</v>
      </c>
      <c r="K357">
        <v>222.1</v>
      </c>
    </row>
    <row r="358" spans="2:11" x14ac:dyDescent="0.2">
      <c r="B358" s="3">
        <v>45259</v>
      </c>
      <c r="C358">
        <v>10.364750000000001</v>
      </c>
      <c r="D358" s="3">
        <v>45238</v>
      </c>
      <c r="E358">
        <v>2114.3200000000002</v>
      </c>
      <c r="F358">
        <v>379.8</v>
      </c>
      <c r="G358">
        <v>1385</v>
      </c>
      <c r="H358">
        <v>50.92</v>
      </c>
      <c r="I358">
        <v>95.8</v>
      </c>
      <c r="J358">
        <v>152.94999999999999</v>
      </c>
      <c r="K358">
        <v>220</v>
      </c>
    </row>
    <row r="359" spans="2:11" x14ac:dyDescent="0.2">
      <c r="B359" s="3">
        <v>45258</v>
      </c>
      <c r="C359">
        <v>10.31865</v>
      </c>
      <c r="D359" s="3">
        <v>45237</v>
      </c>
      <c r="E359">
        <v>2116.0639999999999</v>
      </c>
      <c r="F359">
        <v>377.5</v>
      </c>
      <c r="G359">
        <v>1396</v>
      </c>
      <c r="H359">
        <v>51.02</v>
      </c>
      <c r="I359">
        <v>96.58</v>
      </c>
      <c r="J359">
        <v>150</v>
      </c>
      <c r="K359">
        <v>219.35</v>
      </c>
    </row>
    <row r="360" spans="2:11" x14ac:dyDescent="0.2">
      <c r="B360" s="3">
        <v>45257</v>
      </c>
      <c r="C360">
        <v>10.4267</v>
      </c>
      <c r="D360" s="3">
        <v>45236</v>
      </c>
      <c r="E360">
        <v>2123.4960000000001</v>
      </c>
      <c r="F360">
        <v>376.6</v>
      </c>
      <c r="G360">
        <v>1404.5</v>
      </c>
      <c r="H360">
        <v>50.94</v>
      </c>
      <c r="I360">
        <v>97.22</v>
      </c>
      <c r="J360">
        <v>151.1</v>
      </c>
      <c r="K360">
        <v>223</v>
      </c>
    </row>
    <row r="361" spans="2:11" x14ac:dyDescent="0.2">
      <c r="B361" s="3">
        <v>45254</v>
      </c>
      <c r="C361">
        <v>10.440799999999999</v>
      </c>
      <c r="D361" s="3">
        <v>45233</v>
      </c>
      <c r="E361">
        <v>2126.7559999999999</v>
      </c>
      <c r="F361">
        <v>381.2</v>
      </c>
      <c r="G361">
        <v>1410</v>
      </c>
      <c r="H361">
        <v>50.85</v>
      </c>
      <c r="I361">
        <v>97.58</v>
      </c>
      <c r="J361">
        <v>153.15</v>
      </c>
      <c r="K361">
        <v>225.8</v>
      </c>
    </row>
    <row r="362" spans="2:11" x14ac:dyDescent="0.2">
      <c r="B362" s="3">
        <v>45253</v>
      </c>
      <c r="C362">
        <v>10.48785</v>
      </c>
      <c r="D362" s="3">
        <v>45232</v>
      </c>
      <c r="E362">
        <v>2110.8020000000001</v>
      </c>
      <c r="F362">
        <v>380.8</v>
      </c>
      <c r="G362">
        <v>1420.5</v>
      </c>
      <c r="H362">
        <v>50.47</v>
      </c>
      <c r="I362">
        <v>95.36</v>
      </c>
      <c r="J362">
        <v>151.55000000000001</v>
      </c>
      <c r="K362">
        <v>221.85</v>
      </c>
    </row>
    <row r="363" spans="2:11" x14ac:dyDescent="0.2">
      <c r="B363" s="3">
        <v>45252</v>
      </c>
      <c r="C363">
        <v>10.4724</v>
      </c>
      <c r="D363" s="3">
        <v>45231</v>
      </c>
      <c r="E363">
        <v>2073.4319999999998</v>
      </c>
      <c r="F363">
        <v>376.7</v>
      </c>
      <c r="G363">
        <v>1420.5</v>
      </c>
      <c r="H363">
        <v>50.03</v>
      </c>
      <c r="I363">
        <v>94.1</v>
      </c>
      <c r="J363">
        <v>146.6</v>
      </c>
      <c r="K363">
        <v>217.35</v>
      </c>
    </row>
    <row r="364" spans="2:11" x14ac:dyDescent="0.2">
      <c r="B364" s="3">
        <v>45251</v>
      </c>
      <c r="C364">
        <v>10.4666</v>
      </c>
      <c r="D364" s="3">
        <v>45230</v>
      </c>
      <c r="E364">
        <v>2075.7910000000002</v>
      </c>
      <c r="F364">
        <v>374</v>
      </c>
      <c r="G364">
        <v>1403.5</v>
      </c>
      <c r="H364">
        <v>50.01</v>
      </c>
      <c r="I364">
        <v>95</v>
      </c>
      <c r="J364">
        <v>167.35</v>
      </c>
      <c r="K364">
        <v>220.9</v>
      </c>
    </row>
    <row r="365" spans="2:11" x14ac:dyDescent="0.2">
      <c r="B365" s="3">
        <v>45250</v>
      </c>
      <c r="C365">
        <v>10.449949999999999</v>
      </c>
      <c r="D365" s="3">
        <v>45229</v>
      </c>
      <c r="E365">
        <v>2057.1439999999998</v>
      </c>
      <c r="F365">
        <v>370.8</v>
      </c>
      <c r="G365">
        <v>1401.5</v>
      </c>
      <c r="H365">
        <v>48.865000000000002</v>
      </c>
      <c r="I365">
        <v>93.84</v>
      </c>
      <c r="J365">
        <v>163.75</v>
      </c>
      <c r="K365">
        <v>219.2</v>
      </c>
    </row>
    <row r="366" spans="2:11" x14ac:dyDescent="0.2">
      <c r="B366" s="3">
        <v>45247</v>
      </c>
      <c r="C366">
        <v>10.5191</v>
      </c>
      <c r="D366" s="3">
        <v>45226</v>
      </c>
      <c r="E366">
        <v>2049.6529999999998</v>
      </c>
      <c r="F366">
        <v>369.4</v>
      </c>
      <c r="G366">
        <v>1389</v>
      </c>
      <c r="H366">
        <v>49.395000000000003</v>
      </c>
      <c r="I366">
        <v>93.82</v>
      </c>
      <c r="J366">
        <v>162.75</v>
      </c>
      <c r="K366">
        <v>218.85</v>
      </c>
    </row>
    <row r="367" spans="2:11" x14ac:dyDescent="0.2">
      <c r="B367" s="3">
        <v>45246</v>
      </c>
      <c r="C367">
        <v>10.592000000000001</v>
      </c>
      <c r="D367" s="3">
        <v>45225</v>
      </c>
      <c r="E367">
        <v>2064.5509999999999</v>
      </c>
      <c r="F367">
        <v>371.3</v>
      </c>
      <c r="G367">
        <v>1425.5</v>
      </c>
      <c r="H367">
        <v>49.62</v>
      </c>
      <c r="I367">
        <v>94.38</v>
      </c>
      <c r="J367">
        <v>160.94999999999999</v>
      </c>
      <c r="K367">
        <v>218.85</v>
      </c>
    </row>
    <row r="368" spans="2:11" x14ac:dyDescent="0.2">
      <c r="B368" s="3">
        <v>45245</v>
      </c>
      <c r="C368">
        <v>10.554500000000001</v>
      </c>
      <c r="D368" s="3">
        <v>45224</v>
      </c>
      <c r="E368">
        <v>2073.84</v>
      </c>
      <c r="F368">
        <v>369.4</v>
      </c>
      <c r="G368">
        <v>1437.5</v>
      </c>
      <c r="H368">
        <v>49.545000000000002</v>
      </c>
      <c r="I368">
        <v>96.04</v>
      </c>
      <c r="J368">
        <v>159.44999999999999</v>
      </c>
      <c r="K368">
        <v>218.4</v>
      </c>
    </row>
    <row r="369" spans="2:11" x14ac:dyDescent="0.2">
      <c r="B369" s="3">
        <v>45244</v>
      </c>
      <c r="C369">
        <v>10.591850000000001</v>
      </c>
      <c r="D369" s="3">
        <v>45223</v>
      </c>
      <c r="E369">
        <v>2074.194</v>
      </c>
      <c r="F369">
        <v>367.3</v>
      </c>
      <c r="G369">
        <v>1427</v>
      </c>
      <c r="H369">
        <v>49.055</v>
      </c>
      <c r="I369">
        <v>96.78</v>
      </c>
      <c r="J369">
        <v>167.55</v>
      </c>
      <c r="K369">
        <v>216.7</v>
      </c>
    </row>
    <row r="370" spans="2:11" x14ac:dyDescent="0.2">
      <c r="B370" s="3">
        <v>45243</v>
      </c>
      <c r="C370">
        <v>10.838900000000001</v>
      </c>
      <c r="D370" s="3">
        <v>45222</v>
      </c>
      <c r="E370">
        <v>2066.4969999999998</v>
      </c>
      <c r="F370">
        <v>368.3</v>
      </c>
      <c r="G370">
        <v>1379.5</v>
      </c>
      <c r="H370">
        <v>49.47</v>
      </c>
      <c r="I370">
        <v>97.82</v>
      </c>
      <c r="J370">
        <v>165.75</v>
      </c>
      <c r="K370">
        <v>217.1</v>
      </c>
    </row>
    <row r="371" spans="2:11" x14ac:dyDescent="0.2">
      <c r="B371" s="3">
        <v>45240</v>
      </c>
      <c r="C371">
        <v>10.8995</v>
      </c>
      <c r="D371" s="3">
        <v>45219</v>
      </c>
      <c r="E371">
        <v>2077.6590000000001</v>
      </c>
      <c r="F371">
        <v>363.3</v>
      </c>
      <c r="G371">
        <v>1410</v>
      </c>
      <c r="H371">
        <v>49.36</v>
      </c>
      <c r="I371">
        <v>99.44</v>
      </c>
      <c r="J371">
        <v>165.6</v>
      </c>
      <c r="K371">
        <v>219.1</v>
      </c>
    </row>
    <row r="372" spans="2:11" x14ac:dyDescent="0.2">
      <c r="B372" s="3">
        <v>45239</v>
      </c>
      <c r="C372">
        <v>10.927250000000001</v>
      </c>
      <c r="D372" s="3">
        <v>45218</v>
      </c>
      <c r="E372">
        <v>2121.8319999999999</v>
      </c>
      <c r="F372">
        <v>370.3</v>
      </c>
      <c r="G372">
        <v>1416</v>
      </c>
      <c r="H372">
        <v>49.51</v>
      </c>
      <c r="I372">
        <v>100.55</v>
      </c>
      <c r="J372">
        <v>168.15</v>
      </c>
      <c r="K372">
        <v>222.85</v>
      </c>
    </row>
    <row r="373" spans="2:11" x14ac:dyDescent="0.2">
      <c r="B373" s="3">
        <v>45238</v>
      </c>
      <c r="C373">
        <v>10.8972</v>
      </c>
      <c r="D373" s="3">
        <v>45217</v>
      </c>
      <c r="E373">
        <v>2144.4389999999999</v>
      </c>
      <c r="F373">
        <v>374.5</v>
      </c>
      <c r="G373">
        <v>1440.5</v>
      </c>
      <c r="H373">
        <v>49.91</v>
      </c>
      <c r="I373">
        <v>103.8</v>
      </c>
      <c r="J373">
        <v>170.3</v>
      </c>
      <c r="K373">
        <v>229.45</v>
      </c>
    </row>
    <row r="374" spans="2:11" x14ac:dyDescent="0.2">
      <c r="B374" s="3">
        <v>45237</v>
      </c>
      <c r="C374">
        <v>10.919549999999999</v>
      </c>
      <c r="D374" s="3">
        <v>45216</v>
      </c>
      <c r="E374">
        <v>2172.2469999999998</v>
      </c>
      <c r="F374">
        <v>396</v>
      </c>
      <c r="G374">
        <v>1513.5</v>
      </c>
      <c r="H374">
        <v>50.74</v>
      </c>
      <c r="I374">
        <v>98.82</v>
      </c>
      <c r="J374">
        <v>171.2</v>
      </c>
      <c r="K374">
        <v>226.15</v>
      </c>
    </row>
    <row r="375" spans="2:11" x14ac:dyDescent="0.2">
      <c r="B375" s="3">
        <v>45236</v>
      </c>
      <c r="C375">
        <v>10.914199999999999</v>
      </c>
      <c r="D375" s="3">
        <v>45215</v>
      </c>
      <c r="E375">
        <v>2190.7759999999998</v>
      </c>
      <c r="F375">
        <v>397.1</v>
      </c>
      <c r="G375">
        <v>1477</v>
      </c>
      <c r="H375">
        <v>53.93</v>
      </c>
      <c r="I375">
        <v>99.92</v>
      </c>
      <c r="J375">
        <v>173.85</v>
      </c>
      <c r="K375">
        <v>227.1</v>
      </c>
    </row>
    <row r="376" spans="2:11" x14ac:dyDescent="0.2">
      <c r="B376" s="3">
        <v>45233</v>
      </c>
      <c r="C376">
        <v>10.882899999999999</v>
      </c>
      <c r="D376" s="3">
        <v>45212</v>
      </c>
      <c r="E376">
        <v>2189.8380000000002</v>
      </c>
      <c r="F376">
        <v>402.7</v>
      </c>
      <c r="G376">
        <v>1482.5</v>
      </c>
      <c r="H376">
        <v>53.6</v>
      </c>
      <c r="I376">
        <v>99.06</v>
      </c>
      <c r="J376">
        <v>174.5</v>
      </c>
      <c r="K376">
        <v>227.35</v>
      </c>
    </row>
    <row r="377" spans="2:11" x14ac:dyDescent="0.2">
      <c r="B377" s="3">
        <v>45232</v>
      </c>
      <c r="C377">
        <v>11.124700000000001</v>
      </c>
      <c r="D377" s="3">
        <v>45211</v>
      </c>
      <c r="E377">
        <v>2212.1260000000002</v>
      </c>
      <c r="F377">
        <v>404.4</v>
      </c>
      <c r="G377">
        <v>1499.5</v>
      </c>
      <c r="H377">
        <v>54.12</v>
      </c>
      <c r="I377">
        <v>99.34</v>
      </c>
      <c r="J377">
        <v>178.85</v>
      </c>
      <c r="K377">
        <v>229.55</v>
      </c>
    </row>
    <row r="378" spans="2:11" x14ac:dyDescent="0.2">
      <c r="B378" s="3">
        <v>45231</v>
      </c>
      <c r="C378">
        <v>11.1812</v>
      </c>
      <c r="D378" s="3">
        <v>45210</v>
      </c>
      <c r="E378">
        <v>2193.7089999999998</v>
      </c>
      <c r="F378">
        <v>403</v>
      </c>
      <c r="G378">
        <v>1479.5</v>
      </c>
      <c r="H378">
        <v>53.32</v>
      </c>
      <c r="I378">
        <v>99.18</v>
      </c>
      <c r="J378">
        <v>179.85</v>
      </c>
      <c r="K378">
        <v>227.8</v>
      </c>
    </row>
    <row r="379" spans="2:11" x14ac:dyDescent="0.2">
      <c r="B379" s="3">
        <v>45230</v>
      </c>
      <c r="C379">
        <v>11.176299999999999</v>
      </c>
      <c r="D379" s="3">
        <v>45209</v>
      </c>
      <c r="E379">
        <v>2193.0630000000001</v>
      </c>
      <c r="F379">
        <v>399.2</v>
      </c>
      <c r="G379">
        <v>1477.5</v>
      </c>
      <c r="H379">
        <v>53.7</v>
      </c>
      <c r="I379">
        <v>98.12</v>
      </c>
      <c r="J379">
        <v>179.5</v>
      </c>
      <c r="K379">
        <v>227.2</v>
      </c>
    </row>
    <row r="380" spans="2:11" x14ac:dyDescent="0.2">
      <c r="B380" s="3">
        <v>45229</v>
      </c>
      <c r="C380">
        <v>11.1448</v>
      </c>
      <c r="D380" s="3">
        <v>45208</v>
      </c>
      <c r="E380">
        <v>2133.2629999999999</v>
      </c>
      <c r="F380">
        <v>393.3</v>
      </c>
      <c r="G380">
        <v>1467.5</v>
      </c>
      <c r="H380">
        <v>53.31</v>
      </c>
      <c r="I380">
        <v>95.84</v>
      </c>
      <c r="J380">
        <v>177</v>
      </c>
      <c r="K380">
        <v>221.95</v>
      </c>
    </row>
    <row r="381" spans="2:11" x14ac:dyDescent="0.2">
      <c r="B381" s="3">
        <v>45226</v>
      </c>
      <c r="C381">
        <v>11.1493</v>
      </c>
      <c r="D381" s="3">
        <v>45205</v>
      </c>
      <c r="E381">
        <v>2154.0169999999998</v>
      </c>
      <c r="F381">
        <v>399.5</v>
      </c>
      <c r="G381">
        <v>1477.5</v>
      </c>
      <c r="H381">
        <v>52.17</v>
      </c>
      <c r="I381">
        <v>95.78</v>
      </c>
      <c r="J381">
        <v>177.15</v>
      </c>
      <c r="K381">
        <v>225.2</v>
      </c>
    </row>
    <row r="382" spans="2:11" x14ac:dyDescent="0.2">
      <c r="B382" s="3">
        <v>45225</v>
      </c>
      <c r="C382">
        <v>11.16605</v>
      </c>
      <c r="D382" s="3">
        <v>45204</v>
      </c>
      <c r="E382">
        <v>2127.0639999999999</v>
      </c>
      <c r="F382">
        <v>394.1</v>
      </c>
      <c r="G382">
        <v>1468</v>
      </c>
      <c r="H382">
        <v>52</v>
      </c>
      <c r="I382">
        <v>94.36</v>
      </c>
      <c r="J382">
        <v>175.2</v>
      </c>
      <c r="K382">
        <v>222.85</v>
      </c>
    </row>
    <row r="383" spans="2:11" x14ac:dyDescent="0.2">
      <c r="B383" s="3">
        <v>45224</v>
      </c>
      <c r="C383">
        <v>11.1478</v>
      </c>
      <c r="D383" s="3">
        <v>45203</v>
      </c>
      <c r="E383">
        <v>2116.7730000000001</v>
      </c>
      <c r="F383">
        <v>393.8</v>
      </c>
      <c r="G383">
        <v>1472.5</v>
      </c>
      <c r="H383">
        <v>52.77</v>
      </c>
      <c r="I383">
        <v>93.72</v>
      </c>
      <c r="J383">
        <v>173.05</v>
      </c>
      <c r="K383">
        <v>222.8</v>
      </c>
    </row>
    <row r="384" spans="2:11" x14ac:dyDescent="0.2">
      <c r="B384" s="3">
        <v>45223</v>
      </c>
      <c r="C384">
        <v>11.1168</v>
      </c>
      <c r="D384" s="3">
        <v>45202</v>
      </c>
      <c r="E384">
        <v>2125.0549999999998</v>
      </c>
      <c r="F384">
        <v>393</v>
      </c>
      <c r="G384">
        <v>1471</v>
      </c>
      <c r="H384">
        <v>53.7</v>
      </c>
      <c r="I384">
        <v>94.16</v>
      </c>
      <c r="J384">
        <v>170.15</v>
      </c>
      <c r="K384">
        <v>224.55</v>
      </c>
    </row>
    <row r="385" spans="2:11" x14ac:dyDescent="0.2">
      <c r="B385" s="3">
        <v>45222</v>
      </c>
      <c r="C385">
        <v>10.9763</v>
      </c>
      <c r="D385" s="3">
        <v>45201</v>
      </c>
      <c r="E385">
        <v>2145.9659999999999</v>
      </c>
      <c r="F385">
        <v>395.7</v>
      </c>
      <c r="G385">
        <v>1474.5</v>
      </c>
      <c r="H385">
        <v>52.51</v>
      </c>
      <c r="I385">
        <v>96.58</v>
      </c>
      <c r="J385">
        <v>175.45</v>
      </c>
      <c r="K385">
        <v>225.8</v>
      </c>
    </row>
    <row r="386" spans="2:11" x14ac:dyDescent="0.2">
      <c r="B386" s="3">
        <v>45219</v>
      </c>
      <c r="C386">
        <v>10.976100000000001</v>
      </c>
      <c r="D386" s="3">
        <v>45198</v>
      </c>
      <c r="E386">
        <v>2155.4859999999999</v>
      </c>
      <c r="F386">
        <v>391</v>
      </c>
      <c r="G386">
        <v>1491</v>
      </c>
      <c r="H386">
        <v>53.33</v>
      </c>
      <c r="I386">
        <v>97.56</v>
      </c>
      <c r="J386">
        <v>180</v>
      </c>
      <c r="K386">
        <v>225.6</v>
      </c>
    </row>
    <row r="387" spans="2:11" x14ac:dyDescent="0.2">
      <c r="B387" s="3">
        <v>45218</v>
      </c>
      <c r="C387">
        <v>10.960900000000001</v>
      </c>
      <c r="D387" s="3">
        <v>45197</v>
      </c>
      <c r="E387">
        <v>2137.6460000000002</v>
      </c>
      <c r="F387">
        <v>393.3</v>
      </c>
      <c r="G387">
        <v>1478</v>
      </c>
      <c r="H387">
        <v>52.49</v>
      </c>
      <c r="I387">
        <v>98.34</v>
      </c>
      <c r="J387">
        <v>177.55</v>
      </c>
      <c r="K387">
        <v>227.9</v>
      </c>
    </row>
    <row r="388" spans="2:11" x14ac:dyDescent="0.2">
      <c r="B388" s="3">
        <v>45217</v>
      </c>
      <c r="C388">
        <v>11.027699999999999</v>
      </c>
      <c r="D388" s="3">
        <v>45196</v>
      </c>
      <c r="E388">
        <v>2130.3229999999999</v>
      </c>
      <c r="F388">
        <v>390.1</v>
      </c>
      <c r="G388">
        <v>1501</v>
      </c>
      <c r="H388">
        <v>53.59</v>
      </c>
      <c r="I388">
        <v>98.1</v>
      </c>
      <c r="J388">
        <v>175.75</v>
      </c>
      <c r="K388">
        <v>225.45</v>
      </c>
    </row>
    <row r="389" spans="2:11" x14ac:dyDescent="0.2">
      <c r="B389" s="3">
        <v>45216</v>
      </c>
      <c r="C389">
        <v>10.90935</v>
      </c>
      <c r="D389" s="3">
        <v>45195</v>
      </c>
      <c r="E389">
        <v>2133.1570000000002</v>
      </c>
      <c r="F389">
        <v>387.3</v>
      </c>
      <c r="G389">
        <v>1512</v>
      </c>
      <c r="H389">
        <v>54.5</v>
      </c>
      <c r="I389">
        <v>98.68</v>
      </c>
      <c r="J389">
        <v>173.4</v>
      </c>
      <c r="K389">
        <v>225.2</v>
      </c>
    </row>
    <row r="390" spans="2:11" x14ac:dyDescent="0.2">
      <c r="B390" s="3">
        <v>45215</v>
      </c>
      <c r="C390">
        <v>10.919600000000001</v>
      </c>
      <c r="D390" s="3">
        <v>45194</v>
      </c>
      <c r="E390">
        <v>2156.1219999999998</v>
      </c>
      <c r="F390">
        <v>394.1</v>
      </c>
      <c r="G390">
        <v>1517.5</v>
      </c>
      <c r="H390">
        <v>55.67</v>
      </c>
      <c r="I390">
        <v>98.82</v>
      </c>
      <c r="J390">
        <v>178.2</v>
      </c>
      <c r="K390">
        <v>228.65</v>
      </c>
    </row>
    <row r="391" spans="2:11" x14ac:dyDescent="0.2">
      <c r="B391" s="3">
        <v>45212</v>
      </c>
      <c r="C391">
        <v>11.03645</v>
      </c>
      <c r="D391" s="3">
        <v>45191</v>
      </c>
      <c r="E391">
        <v>2165.9369999999999</v>
      </c>
      <c r="F391">
        <v>396.4</v>
      </c>
      <c r="G391">
        <v>1520.5</v>
      </c>
      <c r="H391">
        <v>56.96</v>
      </c>
      <c r="I391">
        <v>99.3</v>
      </c>
      <c r="J391">
        <v>176.45</v>
      </c>
      <c r="K391">
        <v>228.95</v>
      </c>
    </row>
    <row r="392" spans="2:11" x14ac:dyDescent="0.2">
      <c r="B392" s="3">
        <v>45211</v>
      </c>
      <c r="C392">
        <v>11.000999999999999</v>
      </c>
      <c r="D392" s="3">
        <v>45190</v>
      </c>
      <c r="E392">
        <v>2178.8249999999998</v>
      </c>
      <c r="F392">
        <v>404.4</v>
      </c>
      <c r="G392">
        <v>1511</v>
      </c>
      <c r="H392">
        <v>57.26</v>
      </c>
      <c r="I392">
        <v>99.5</v>
      </c>
      <c r="J392">
        <v>178.35</v>
      </c>
      <c r="K392">
        <v>232.35</v>
      </c>
    </row>
    <row r="393" spans="2:11" x14ac:dyDescent="0.2">
      <c r="B393" s="3">
        <v>45210</v>
      </c>
      <c r="C393">
        <v>10.906650000000001</v>
      </c>
      <c r="D393" s="3">
        <v>45189</v>
      </c>
      <c r="E393">
        <v>2202.4459999999999</v>
      </c>
      <c r="F393">
        <v>406.6</v>
      </c>
      <c r="G393">
        <v>1510</v>
      </c>
      <c r="H393">
        <v>57.44</v>
      </c>
      <c r="I393">
        <v>98.64</v>
      </c>
      <c r="J393">
        <v>181</v>
      </c>
      <c r="K393">
        <v>232.3</v>
      </c>
    </row>
    <row r="394" spans="2:11" x14ac:dyDescent="0.2">
      <c r="B394" s="3">
        <v>45209</v>
      </c>
      <c r="C394">
        <v>10.873250000000001</v>
      </c>
      <c r="D394" s="3">
        <v>45188</v>
      </c>
      <c r="E394">
        <v>2177.1990000000001</v>
      </c>
      <c r="F394">
        <v>405.2</v>
      </c>
      <c r="G394">
        <v>1474</v>
      </c>
      <c r="H394">
        <v>56.81</v>
      </c>
      <c r="I394">
        <v>96.58</v>
      </c>
      <c r="J394">
        <v>177.3</v>
      </c>
      <c r="K394">
        <v>230.7</v>
      </c>
    </row>
    <row r="395" spans="2:11" x14ac:dyDescent="0.2">
      <c r="B395" s="3">
        <v>45208</v>
      </c>
      <c r="C395">
        <v>10.96415</v>
      </c>
      <c r="D395" s="3">
        <v>45187</v>
      </c>
      <c r="E395">
        <v>2187.0189999999998</v>
      </c>
      <c r="F395">
        <v>411.1</v>
      </c>
      <c r="G395">
        <v>1494.5</v>
      </c>
      <c r="H395">
        <v>56.56</v>
      </c>
      <c r="I395">
        <v>95.02</v>
      </c>
      <c r="J395">
        <v>177.9</v>
      </c>
      <c r="K395">
        <v>230.35</v>
      </c>
    </row>
    <row r="396" spans="2:11" x14ac:dyDescent="0.2">
      <c r="B396" s="3">
        <v>45205</v>
      </c>
      <c r="C396">
        <v>10.959949999999999</v>
      </c>
      <c r="D396" s="3">
        <v>45184</v>
      </c>
      <c r="E396">
        <v>2195.1970000000001</v>
      </c>
      <c r="F396">
        <v>407.8</v>
      </c>
      <c r="G396">
        <v>1529</v>
      </c>
      <c r="H396">
        <v>56.38</v>
      </c>
      <c r="I396">
        <v>96.3</v>
      </c>
      <c r="J396">
        <v>177.5</v>
      </c>
      <c r="K396">
        <v>228.25</v>
      </c>
    </row>
    <row r="397" spans="2:11" x14ac:dyDescent="0.2">
      <c r="B397" s="3">
        <v>45204</v>
      </c>
      <c r="C397">
        <v>11.0015</v>
      </c>
      <c r="D397" s="3">
        <v>45183</v>
      </c>
      <c r="E397">
        <v>2190.201</v>
      </c>
      <c r="F397">
        <v>405</v>
      </c>
      <c r="G397">
        <v>1509.5</v>
      </c>
      <c r="H397">
        <v>56.43</v>
      </c>
      <c r="I397">
        <v>95.2</v>
      </c>
      <c r="J397">
        <v>171.25</v>
      </c>
      <c r="K397">
        <v>225.1</v>
      </c>
    </row>
    <row r="398" spans="2:11" x14ac:dyDescent="0.2">
      <c r="B398" s="3">
        <v>45203</v>
      </c>
      <c r="C398">
        <v>11.068250000000001</v>
      </c>
      <c r="D398" s="3">
        <v>45182</v>
      </c>
      <c r="E398">
        <v>2162.462</v>
      </c>
      <c r="F398">
        <v>400.9</v>
      </c>
      <c r="G398">
        <v>1486</v>
      </c>
      <c r="H398">
        <v>56.11</v>
      </c>
      <c r="I398">
        <v>93.08</v>
      </c>
      <c r="J398">
        <v>168</v>
      </c>
      <c r="K398">
        <v>221.65</v>
      </c>
    </row>
    <row r="399" spans="2:11" x14ac:dyDescent="0.2">
      <c r="B399" s="3">
        <v>45202</v>
      </c>
      <c r="C399">
        <v>11.087899999999999</v>
      </c>
      <c r="D399" s="3">
        <v>45181</v>
      </c>
      <c r="E399">
        <v>2177.116</v>
      </c>
      <c r="F399">
        <v>409.7</v>
      </c>
      <c r="G399">
        <v>1496</v>
      </c>
      <c r="H399">
        <v>56.74</v>
      </c>
      <c r="I399">
        <v>92.78</v>
      </c>
      <c r="J399">
        <v>166.85</v>
      </c>
      <c r="K399">
        <v>223.65</v>
      </c>
    </row>
    <row r="400" spans="2:11" x14ac:dyDescent="0.2">
      <c r="B400" s="3">
        <v>45201</v>
      </c>
      <c r="C400">
        <v>11.0535</v>
      </c>
      <c r="D400" s="3">
        <v>45180</v>
      </c>
      <c r="E400">
        <v>2184.5569999999998</v>
      </c>
      <c r="F400">
        <v>410.2</v>
      </c>
      <c r="G400">
        <v>1468.5</v>
      </c>
      <c r="H400">
        <v>57.16</v>
      </c>
      <c r="I400">
        <v>93.14</v>
      </c>
      <c r="J400">
        <v>168.5</v>
      </c>
      <c r="K400">
        <v>223.25</v>
      </c>
    </row>
    <row r="401" spans="2:11" x14ac:dyDescent="0.2">
      <c r="B401" s="3">
        <v>45198</v>
      </c>
      <c r="C401">
        <v>10.921200000000001</v>
      </c>
      <c r="D401" s="3">
        <v>45177</v>
      </c>
      <c r="E401">
        <v>2176.3389999999999</v>
      </c>
      <c r="F401">
        <v>408.6</v>
      </c>
      <c r="G401">
        <v>1515.5</v>
      </c>
      <c r="H401">
        <v>56.8</v>
      </c>
      <c r="I401">
        <v>92.74</v>
      </c>
      <c r="J401">
        <v>164.6</v>
      </c>
      <c r="K401">
        <v>219.9</v>
      </c>
    </row>
    <row r="402" spans="2:11" x14ac:dyDescent="0.2">
      <c r="B402" s="3">
        <v>45197</v>
      </c>
      <c r="C402">
        <v>10.921099999999999</v>
      </c>
      <c r="D402" s="3">
        <v>45176</v>
      </c>
      <c r="E402">
        <v>2185.578</v>
      </c>
      <c r="F402">
        <v>416.1</v>
      </c>
      <c r="G402">
        <v>1513</v>
      </c>
      <c r="H402">
        <v>57.92</v>
      </c>
      <c r="I402">
        <v>92.86</v>
      </c>
      <c r="J402">
        <v>163.65</v>
      </c>
      <c r="K402">
        <v>219.3</v>
      </c>
    </row>
    <row r="403" spans="2:11" x14ac:dyDescent="0.2">
      <c r="B403" s="3">
        <v>45196</v>
      </c>
      <c r="C403">
        <v>11.067600000000001</v>
      </c>
      <c r="D403" s="3">
        <v>45175</v>
      </c>
      <c r="E403">
        <v>2202.569</v>
      </c>
      <c r="F403">
        <v>417.6</v>
      </c>
      <c r="G403">
        <v>1486.5</v>
      </c>
      <c r="H403">
        <v>58.33</v>
      </c>
      <c r="I403">
        <v>93.34</v>
      </c>
      <c r="J403">
        <v>164.9</v>
      </c>
      <c r="K403">
        <v>222.4</v>
      </c>
    </row>
    <row r="404" spans="2:11" x14ac:dyDescent="0.2">
      <c r="B404" s="3">
        <v>45195</v>
      </c>
      <c r="C404">
        <v>10.9945</v>
      </c>
      <c r="D404" s="3">
        <v>45174</v>
      </c>
      <c r="E404">
        <v>2203.7020000000002</v>
      </c>
      <c r="F404">
        <v>412</v>
      </c>
      <c r="G404">
        <v>1510</v>
      </c>
      <c r="H404">
        <v>57.73</v>
      </c>
      <c r="I404">
        <v>94.08</v>
      </c>
      <c r="J404">
        <v>164.6</v>
      </c>
      <c r="K404">
        <v>220.45</v>
      </c>
    </row>
    <row r="405" spans="2:11" x14ac:dyDescent="0.2">
      <c r="B405" s="3">
        <v>45194</v>
      </c>
      <c r="C405">
        <v>11.0581</v>
      </c>
      <c r="D405" s="3">
        <v>45173</v>
      </c>
      <c r="E405">
        <v>2193.7620000000002</v>
      </c>
      <c r="F405">
        <v>414.6</v>
      </c>
      <c r="G405">
        <v>1499</v>
      </c>
      <c r="H405">
        <v>56.78</v>
      </c>
      <c r="I405">
        <v>93.14</v>
      </c>
      <c r="J405">
        <v>159.35</v>
      </c>
      <c r="K405">
        <v>219.35</v>
      </c>
    </row>
    <row r="406" spans="2:11" x14ac:dyDescent="0.2">
      <c r="B406" s="3">
        <v>45191</v>
      </c>
      <c r="C406">
        <v>11.1371</v>
      </c>
      <c r="D406" s="3">
        <v>45170</v>
      </c>
      <c r="E406">
        <v>2186.2060000000001</v>
      </c>
      <c r="F406">
        <v>414.9</v>
      </c>
      <c r="G406">
        <v>1499</v>
      </c>
      <c r="H406">
        <v>56.77</v>
      </c>
      <c r="I406">
        <v>91.34</v>
      </c>
      <c r="J406">
        <v>159.15</v>
      </c>
      <c r="K406">
        <v>220</v>
      </c>
    </row>
    <row r="407" spans="2:11" x14ac:dyDescent="0.2">
      <c r="B407" s="3">
        <v>45190</v>
      </c>
      <c r="C407">
        <v>11.170299999999999</v>
      </c>
      <c r="D407" s="3">
        <v>45169</v>
      </c>
      <c r="E407">
        <v>2184.7440000000001</v>
      </c>
      <c r="F407">
        <v>416.6</v>
      </c>
      <c r="G407">
        <v>1495</v>
      </c>
      <c r="H407">
        <v>56.33</v>
      </c>
      <c r="I407">
        <v>91.36</v>
      </c>
      <c r="J407">
        <v>160.6</v>
      </c>
      <c r="K407">
        <v>221.2</v>
      </c>
    </row>
    <row r="408" spans="2:11" x14ac:dyDescent="0.2">
      <c r="B408" s="3">
        <v>45189</v>
      </c>
      <c r="C408">
        <v>11.141</v>
      </c>
      <c r="D408" s="3">
        <v>45168</v>
      </c>
      <c r="E408">
        <v>2185.0770000000002</v>
      </c>
      <c r="F408">
        <v>415.2</v>
      </c>
      <c r="G408">
        <v>1492</v>
      </c>
      <c r="H408">
        <v>55.62</v>
      </c>
      <c r="I408">
        <v>91.76</v>
      </c>
      <c r="J408">
        <v>158.94999999999999</v>
      </c>
      <c r="K408">
        <v>221</v>
      </c>
    </row>
    <row r="409" spans="2:11" x14ac:dyDescent="0.2">
      <c r="B409" s="3">
        <v>45188</v>
      </c>
      <c r="C409">
        <v>11.1693</v>
      </c>
      <c r="D409" s="3">
        <v>45167</v>
      </c>
      <c r="E409">
        <v>2191.4560000000001</v>
      </c>
      <c r="F409">
        <v>417.8</v>
      </c>
      <c r="G409">
        <v>1500.5</v>
      </c>
      <c r="H409">
        <v>55.64</v>
      </c>
      <c r="I409">
        <v>92.32</v>
      </c>
      <c r="J409">
        <v>158.4</v>
      </c>
      <c r="K409">
        <v>221.4</v>
      </c>
    </row>
    <row r="410" spans="2:11" x14ac:dyDescent="0.2">
      <c r="B410" s="3">
        <v>45187</v>
      </c>
      <c r="C410">
        <v>11.15</v>
      </c>
      <c r="D410" s="3">
        <v>45166</v>
      </c>
      <c r="E410">
        <v>2174.3090000000002</v>
      </c>
      <c r="F410">
        <v>415.8</v>
      </c>
      <c r="G410">
        <v>1504</v>
      </c>
      <c r="H410">
        <v>54.67</v>
      </c>
      <c r="I410">
        <v>91.92</v>
      </c>
      <c r="J410">
        <v>156.5</v>
      </c>
      <c r="K410">
        <v>221.95</v>
      </c>
    </row>
    <row r="411" spans="2:11" x14ac:dyDescent="0.2">
      <c r="B411" s="3">
        <v>45184</v>
      </c>
      <c r="C411">
        <v>11.188800000000001</v>
      </c>
      <c r="D411" s="3">
        <v>45163</v>
      </c>
      <c r="E411">
        <v>2148.4659999999999</v>
      </c>
      <c r="F411">
        <v>411.5</v>
      </c>
      <c r="G411">
        <v>1495.5</v>
      </c>
      <c r="H411">
        <v>54.14</v>
      </c>
      <c r="I411">
        <v>90.3</v>
      </c>
      <c r="J411">
        <v>154.44999999999999</v>
      </c>
      <c r="K411">
        <v>217.8</v>
      </c>
    </row>
    <row r="412" spans="2:11" x14ac:dyDescent="0.2">
      <c r="B412" s="3">
        <v>45183</v>
      </c>
      <c r="C412">
        <v>11.1858</v>
      </c>
      <c r="D412" s="3">
        <v>45162</v>
      </c>
      <c r="E412">
        <v>2145.7429999999999</v>
      </c>
      <c r="F412">
        <v>408.1</v>
      </c>
      <c r="G412">
        <v>1507</v>
      </c>
      <c r="H412">
        <v>53.91</v>
      </c>
      <c r="I412">
        <v>90.1</v>
      </c>
      <c r="J412">
        <v>154.25</v>
      </c>
      <c r="K412">
        <v>217.65</v>
      </c>
    </row>
    <row r="413" spans="2:11" x14ac:dyDescent="0.2">
      <c r="B413" s="3">
        <v>45182</v>
      </c>
      <c r="C413">
        <v>11.1349</v>
      </c>
      <c r="D413" s="3">
        <v>45161</v>
      </c>
      <c r="E413">
        <v>2154.7020000000002</v>
      </c>
      <c r="F413">
        <v>409.4</v>
      </c>
      <c r="G413">
        <v>1507.5</v>
      </c>
      <c r="H413">
        <v>54.12</v>
      </c>
      <c r="I413">
        <v>90</v>
      </c>
      <c r="J413">
        <v>155.80000000000001</v>
      </c>
      <c r="K413">
        <v>222.55</v>
      </c>
    </row>
    <row r="414" spans="2:11" x14ac:dyDescent="0.2">
      <c r="B414" s="3">
        <v>45181</v>
      </c>
      <c r="C414">
        <v>11.08245</v>
      </c>
      <c r="D414" s="3">
        <v>45160</v>
      </c>
      <c r="E414">
        <v>2153.645</v>
      </c>
      <c r="F414">
        <v>407.5</v>
      </c>
      <c r="G414">
        <v>1506.5</v>
      </c>
      <c r="H414">
        <v>54.17</v>
      </c>
      <c r="I414">
        <v>90.98</v>
      </c>
      <c r="J414">
        <v>154.94999999999999</v>
      </c>
      <c r="K414">
        <v>223.7</v>
      </c>
    </row>
    <row r="415" spans="2:11" x14ac:dyDescent="0.2">
      <c r="B415" s="3">
        <v>45180</v>
      </c>
      <c r="C415">
        <v>11.0784</v>
      </c>
      <c r="D415" s="3">
        <v>45159</v>
      </c>
      <c r="E415">
        <v>2139.029</v>
      </c>
      <c r="F415">
        <v>405.4</v>
      </c>
      <c r="G415">
        <v>1504.5</v>
      </c>
      <c r="H415">
        <v>53.46</v>
      </c>
      <c r="I415">
        <v>90.94</v>
      </c>
      <c r="J415">
        <v>153.55000000000001</v>
      </c>
      <c r="K415">
        <v>222.7</v>
      </c>
    </row>
    <row r="416" spans="2:11" x14ac:dyDescent="0.2">
      <c r="B416" s="3">
        <v>45177</v>
      </c>
      <c r="C416">
        <v>11.126899999999999</v>
      </c>
      <c r="D416" s="3">
        <v>45156</v>
      </c>
      <c r="E416">
        <v>2145.6570000000002</v>
      </c>
      <c r="F416">
        <v>405</v>
      </c>
      <c r="G416">
        <v>1503</v>
      </c>
      <c r="H416">
        <v>53.8</v>
      </c>
      <c r="I416">
        <v>91.78</v>
      </c>
      <c r="J416">
        <v>156.19999999999999</v>
      </c>
      <c r="K416">
        <v>223.45</v>
      </c>
    </row>
    <row r="417" spans="2:11" x14ac:dyDescent="0.2">
      <c r="B417" s="3">
        <v>45176</v>
      </c>
      <c r="C417">
        <v>11.14475</v>
      </c>
      <c r="D417" s="3">
        <v>45155</v>
      </c>
      <c r="E417">
        <v>2154.558</v>
      </c>
      <c r="F417">
        <v>403.6</v>
      </c>
      <c r="G417">
        <v>1511.5</v>
      </c>
      <c r="H417">
        <v>53.35</v>
      </c>
      <c r="I417">
        <v>92.58</v>
      </c>
      <c r="J417">
        <v>156.94999999999999</v>
      </c>
      <c r="K417">
        <v>224.65</v>
      </c>
    </row>
    <row r="418" spans="2:11" x14ac:dyDescent="0.2">
      <c r="B418" s="3">
        <v>45175</v>
      </c>
      <c r="C418">
        <v>11.110950000000001</v>
      </c>
      <c r="D418" s="3">
        <v>45154</v>
      </c>
      <c r="E418">
        <v>2180.558</v>
      </c>
      <c r="F418">
        <v>413.5</v>
      </c>
      <c r="G418">
        <v>1513</v>
      </c>
      <c r="H418">
        <v>52.68</v>
      </c>
      <c r="I418">
        <v>92.76</v>
      </c>
      <c r="J418">
        <v>161.15</v>
      </c>
      <c r="K418">
        <v>226.4</v>
      </c>
    </row>
    <row r="419" spans="2:11" x14ac:dyDescent="0.2">
      <c r="B419" s="3">
        <v>45174</v>
      </c>
      <c r="C419">
        <v>11.0998</v>
      </c>
      <c r="D419" s="3">
        <v>45153</v>
      </c>
      <c r="E419">
        <v>2178.5010000000002</v>
      </c>
      <c r="F419">
        <v>414.6</v>
      </c>
      <c r="G419">
        <v>1505.5</v>
      </c>
      <c r="H419">
        <v>53.58</v>
      </c>
      <c r="I419">
        <v>92.96</v>
      </c>
      <c r="J419">
        <v>161.5</v>
      </c>
      <c r="K419">
        <v>224.6</v>
      </c>
    </row>
    <row r="420" spans="2:11" x14ac:dyDescent="0.2">
      <c r="B420" s="3">
        <v>45173</v>
      </c>
      <c r="C420">
        <v>10.9933</v>
      </c>
      <c r="D420" s="3">
        <v>45152</v>
      </c>
      <c r="E420">
        <v>2203.3009999999999</v>
      </c>
      <c r="F420">
        <v>418.2</v>
      </c>
      <c r="G420">
        <v>1524.5</v>
      </c>
      <c r="H420">
        <v>53.7</v>
      </c>
      <c r="I420">
        <v>94.94</v>
      </c>
      <c r="J420">
        <v>163.9</v>
      </c>
      <c r="K420">
        <v>226.45</v>
      </c>
    </row>
    <row r="421" spans="2:11" x14ac:dyDescent="0.2">
      <c r="B421" s="3">
        <v>45170</v>
      </c>
      <c r="C421">
        <v>11.032999999999999</v>
      </c>
      <c r="D421" s="3">
        <v>45149</v>
      </c>
      <c r="E421">
        <v>2203.3960000000002</v>
      </c>
      <c r="F421">
        <v>417.7</v>
      </c>
      <c r="G421">
        <v>1518</v>
      </c>
      <c r="H421">
        <v>53.36</v>
      </c>
      <c r="I421">
        <v>95.06</v>
      </c>
      <c r="J421">
        <v>164.6</v>
      </c>
      <c r="K421">
        <v>226.35</v>
      </c>
    </row>
    <row r="422" spans="2:11" x14ac:dyDescent="0.2">
      <c r="B422" s="3">
        <v>45169</v>
      </c>
      <c r="C422">
        <v>10.9499</v>
      </c>
      <c r="D422" s="3">
        <v>45148</v>
      </c>
      <c r="E422">
        <v>2223.172</v>
      </c>
      <c r="F422">
        <v>409.3</v>
      </c>
      <c r="G422">
        <v>1509.5</v>
      </c>
      <c r="H422">
        <v>54.02</v>
      </c>
      <c r="I422">
        <v>95.56</v>
      </c>
      <c r="J422">
        <v>164.8</v>
      </c>
      <c r="K422">
        <v>227.4</v>
      </c>
    </row>
    <row r="423" spans="2:11" x14ac:dyDescent="0.2">
      <c r="B423" s="3">
        <v>45168</v>
      </c>
      <c r="C423">
        <v>10.8383</v>
      </c>
      <c r="D423" s="3">
        <v>45147</v>
      </c>
      <c r="E423">
        <v>2209.5239999999999</v>
      </c>
      <c r="F423">
        <v>419.4</v>
      </c>
      <c r="G423">
        <v>1523.5</v>
      </c>
      <c r="H423">
        <v>53.27</v>
      </c>
      <c r="I423">
        <v>93.7</v>
      </c>
      <c r="J423">
        <v>163.05000000000001</v>
      </c>
      <c r="K423">
        <v>226.65</v>
      </c>
    </row>
    <row r="424" spans="2:11" x14ac:dyDescent="0.2">
      <c r="B424" s="3">
        <v>45167</v>
      </c>
      <c r="C424">
        <v>10.871600000000001</v>
      </c>
      <c r="D424" s="3">
        <v>45146</v>
      </c>
      <c r="E424">
        <v>2194.44</v>
      </c>
      <c r="F424">
        <v>418</v>
      </c>
      <c r="G424">
        <v>1507.5</v>
      </c>
      <c r="H424">
        <v>52.97</v>
      </c>
      <c r="I424">
        <v>92.82</v>
      </c>
      <c r="J424">
        <v>161.69999999999999</v>
      </c>
      <c r="K424">
        <v>227.15</v>
      </c>
    </row>
    <row r="425" spans="2:11" x14ac:dyDescent="0.2">
      <c r="B425" s="3">
        <v>45166</v>
      </c>
      <c r="C425">
        <v>10.9847</v>
      </c>
      <c r="D425" s="3">
        <v>45145</v>
      </c>
      <c r="E425">
        <v>2209.8290000000002</v>
      </c>
      <c r="F425">
        <v>418.4</v>
      </c>
      <c r="G425">
        <v>1475.5</v>
      </c>
      <c r="H425">
        <v>53.19</v>
      </c>
      <c r="I425">
        <v>94.2</v>
      </c>
      <c r="J425">
        <v>163</v>
      </c>
      <c r="K425">
        <v>230.25</v>
      </c>
    </row>
    <row r="426" spans="2:11" x14ac:dyDescent="0.2">
      <c r="B426" s="3">
        <v>45163</v>
      </c>
      <c r="C426">
        <v>11.0562</v>
      </c>
      <c r="D426" s="3">
        <v>45142</v>
      </c>
      <c r="E426">
        <v>2209.64</v>
      </c>
      <c r="F426">
        <v>419</v>
      </c>
      <c r="G426">
        <v>1472.5</v>
      </c>
      <c r="H426">
        <v>53.16</v>
      </c>
      <c r="I426">
        <v>94.42</v>
      </c>
      <c r="J426">
        <v>163.9</v>
      </c>
      <c r="K426">
        <v>229</v>
      </c>
    </row>
    <row r="427" spans="2:11" x14ac:dyDescent="0.2">
      <c r="B427" s="3">
        <v>45162</v>
      </c>
      <c r="C427">
        <v>10.99465</v>
      </c>
      <c r="D427" s="3">
        <v>45141</v>
      </c>
      <c r="E427">
        <v>2196.59</v>
      </c>
      <c r="F427">
        <v>419</v>
      </c>
      <c r="G427">
        <v>1486</v>
      </c>
      <c r="H427">
        <v>52.71</v>
      </c>
      <c r="I427">
        <v>93.3</v>
      </c>
      <c r="J427">
        <v>162.1</v>
      </c>
      <c r="K427">
        <v>227.55</v>
      </c>
    </row>
    <row r="428" spans="2:11" x14ac:dyDescent="0.2">
      <c r="B428" s="3">
        <v>45161</v>
      </c>
      <c r="C428">
        <v>10.9033</v>
      </c>
      <c r="D428" s="3">
        <v>45140</v>
      </c>
      <c r="E428">
        <v>2222.7399999999998</v>
      </c>
      <c r="F428">
        <v>423.6</v>
      </c>
      <c r="G428">
        <v>1512.5</v>
      </c>
      <c r="H428">
        <v>53.31</v>
      </c>
      <c r="I428">
        <v>92.34</v>
      </c>
      <c r="J428">
        <v>162.44999999999999</v>
      </c>
      <c r="K428">
        <v>230.2</v>
      </c>
    </row>
    <row r="429" spans="2:11" x14ac:dyDescent="0.2">
      <c r="B429" s="3">
        <v>45160</v>
      </c>
      <c r="C429">
        <v>10.93145</v>
      </c>
      <c r="D429" s="3">
        <v>45139</v>
      </c>
      <c r="E429">
        <v>2240.12</v>
      </c>
      <c r="F429">
        <v>416.8</v>
      </c>
      <c r="G429">
        <v>1515.5</v>
      </c>
      <c r="H429">
        <v>53.35</v>
      </c>
      <c r="I429">
        <v>92.48</v>
      </c>
      <c r="J429">
        <v>165.95</v>
      </c>
      <c r="K429">
        <v>230.55</v>
      </c>
    </row>
    <row r="430" spans="2:11" x14ac:dyDescent="0.2">
      <c r="B430" s="3">
        <v>45159</v>
      </c>
      <c r="C430">
        <v>10.963850000000001</v>
      </c>
      <c r="D430" s="3">
        <v>45138</v>
      </c>
      <c r="E430">
        <v>2250.92</v>
      </c>
      <c r="F430">
        <v>421.2</v>
      </c>
      <c r="G430">
        <v>1506</v>
      </c>
      <c r="H430">
        <v>52.89</v>
      </c>
      <c r="I430">
        <v>92.4</v>
      </c>
      <c r="J430">
        <v>167.8</v>
      </c>
      <c r="K430">
        <v>232.05</v>
      </c>
    </row>
    <row r="431" spans="2:11" x14ac:dyDescent="0.2">
      <c r="B431" s="3">
        <v>45156</v>
      </c>
      <c r="C431">
        <v>10.9619</v>
      </c>
      <c r="D431" s="3">
        <v>45135</v>
      </c>
      <c r="E431">
        <v>2253.85</v>
      </c>
      <c r="F431">
        <v>422.4</v>
      </c>
      <c r="G431">
        <v>1501</v>
      </c>
      <c r="H431">
        <v>53.55</v>
      </c>
      <c r="I431">
        <v>92.3</v>
      </c>
      <c r="J431">
        <v>168.25</v>
      </c>
      <c r="K431">
        <v>233.35</v>
      </c>
    </row>
    <row r="432" spans="2:11" x14ac:dyDescent="0.2">
      <c r="B432" s="3">
        <v>45155</v>
      </c>
      <c r="C432">
        <v>10.9329</v>
      </c>
      <c r="D432" s="3">
        <v>45134</v>
      </c>
      <c r="E432">
        <v>2254.15</v>
      </c>
      <c r="F432">
        <v>426.5</v>
      </c>
      <c r="G432">
        <v>1441</v>
      </c>
      <c r="H432">
        <v>54</v>
      </c>
      <c r="I432">
        <v>93</v>
      </c>
      <c r="J432">
        <v>167.8</v>
      </c>
      <c r="K432">
        <v>231.85</v>
      </c>
    </row>
    <row r="433" spans="2:11" x14ac:dyDescent="0.2">
      <c r="B433" s="3">
        <v>45154</v>
      </c>
      <c r="C433">
        <v>10.913600000000001</v>
      </c>
      <c r="D433" s="3">
        <v>45133</v>
      </c>
      <c r="E433">
        <v>2235.23</v>
      </c>
      <c r="F433">
        <v>419.3</v>
      </c>
      <c r="G433">
        <v>1437.5</v>
      </c>
      <c r="H433">
        <v>53.51</v>
      </c>
      <c r="I433">
        <v>92.2</v>
      </c>
      <c r="J433">
        <v>167.9</v>
      </c>
      <c r="K433">
        <v>228.65</v>
      </c>
    </row>
    <row r="434" spans="2:11" x14ac:dyDescent="0.2">
      <c r="B434" s="3">
        <v>45153</v>
      </c>
      <c r="C434">
        <v>10.8538</v>
      </c>
      <c r="D434" s="3">
        <v>45132</v>
      </c>
      <c r="E434">
        <v>2259.09</v>
      </c>
      <c r="F434">
        <v>421.5</v>
      </c>
      <c r="G434">
        <v>1432.5</v>
      </c>
      <c r="H434">
        <v>53.39</v>
      </c>
      <c r="I434">
        <v>92.52</v>
      </c>
      <c r="J434">
        <v>167.25</v>
      </c>
      <c r="K434">
        <v>228.35</v>
      </c>
    </row>
    <row r="435" spans="2:11" x14ac:dyDescent="0.2">
      <c r="B435" s="3">
        <v>45152</v>
      </c>
      <c r="C435">
        <v>10.7704</v>
      </c>
      <c r="D435" s="3">
        <v>45131</v>
      </c>
      <c r="E435">
        <v>2243.81</v>
      </c>
      <c r="F435">
        <v>423</v>
      </c>
      <c r="G435">
        <v>1440.5</v>
      </c>
      <c r="H435">
        <v>53.43</v>
      </c>
      <c r="I435">
        <v>91.28</v>
      </c>
      <c r="J435">
        <v>167.35</v>
      </c>
      <c r="K435">
        <v>228.5</v>
      </c>
    </row>
    <row r="436" spans="2:11" x14ac:dyDescent="0.2">
      <c r="B436" s="3">
        <v>45149</v>
      </c>
      <c r="C436">
        <v>10.8256</v>
      </c>
      <c r="D436" s="3">
        <v>45128</v>
      </c>
      <c r="E436">
        <v>2227.4499999999998</v>
      </c>
      <c r="F436">
        <v>419.7</v>
      </c>
      <c r="G436">
        <v>1438</v>
      </c>
      <c r="H436">
        <v>52.72</v>
      </c>
      <c r="I436">
        <v>90.6</v>
      </c>
      <c r="J436">
        <v>165.3</v>
      </c>
      <c r="K436">
        <v>225.25</v>
      </c>
    </row>
    <row r="437" spans="2:11" x14ac:dyDescent="0.2">
      <c r="B437" s="3">
        <v>45148</v>
      </c>
      <c r="C437">
        <v>10.703200000000001</v>
      </c>
      <c r="D437" s="3">
        <v>45127</v>
      </c>
      <c r="E437">
        <v>2224.52</v>
      </c>
      <c r="F437">
        <v>414.1</v>
      </c>
      <c r="G437">
        <v>1421.5</v>
      </c>
      <c r="H437">
        <v>52.71</v>
      </c>
      <c r="I437">
        <v>90.22</v>
      </c>
      <c r="J437">
        <v>164</v>
      </c>
      <c r="K437">
        <v>227.2</v>
      </c>
    </row>
    <row r="438" spans="2:11" x14ac:dyDescent="0.2">
      <c r="B438" s="3">
        <v>45147</v>
      </c>
      <c r="C438">
        <v>10.673999999999999</v>
      </c>
      <c r="D438" s="3">
        <v>45126</v>
      </c>
      <c r="E438">
        <v>2235.75</v>
      </c>
      <c r="F438">
        <v>400.2</v>
      </c>
      <c r="G438">
        <v>1393.5</v>
      </c>
      <c r="H438">
        <v>51.74</v>
      </c>
      <c r="I438">
        <v>91.56</v>
      </c>
      <c r="J438">
        <v>162.5</v>
      </c>
      <c r="K438">
        <v>223.25</v>
      </c>
    </row>
    <row r="439" spans="2:11" x14ac:dyDescent="0.2">
      <c r="B439" s="3">
        <v>45146</v>
      </c>
      <c r="C439">
        <v>10.707000000000001</v>
      </c>
      <c r="D439" s="3">
        <v>45125</v>
      </c>
      <c r="E439">
        <v>2258.83</v>
      </c>
      <c r="F439">
        <v>406</v>
      </c>
      <c r="G439">
        <v>1376</v>
      </c>
      <c r="H439">
        <v>50.58</v>
      </c>
      <c r="I439">
        <v>93.38</v>
      </c>
      <c r="J439">
        <v>159.5</v>
      </c>
      <c r="K439">
        <v>223.6</v>
      </c>
    </row>
    <row r="440" spans="2:11" x14ac:dyDescent="0.2">
      <c r="B440" s="3">
        <v>45145</v>
      </c>
      <c r="C440">
        <v>10.5753</v>
      </c>
      <c r="D440" s="3">
        <v>45124</v>
      </c>
      <c r="E440">
        <v>2243.13</v>
      </c>
      <c r="F440">
        <v>404.1</v>
      </c>
      <c r="G440">
        <v>1372</v>
      </c>
      <c r="H440">
        <v>50.36</v>
      </c>
      <c r="I440">
        <v>92.78</v>
      </c>
      <c r="J440">
        <v>155.15</v>
      </c>
      <c r="K440">
        <v>220.7</v>
      </c>
    </row>
    <row r="441" spans="2:11" x14ac:dyDescent="0.2">
      <c r="B441" s="3">
        <v>45142</v>
      </c>
      <c r="C441">
        <v>10.586449999999999</v>
      </c>
      <c r="D441" s="3">
        <v>45121</v>
      </c>
      <c r="E441">
        <v>2248.08</v>
      </c>
      <c r="F441">
        <v>404.8</v>
      </c>
      <c r="G441">
        <v>1389</v>
      </c>
      <c r="H441">
        <v>52.33</v>
      </c>
      <c r="I441">
        <v>91.7</v>
      </c>
      <c r="J441">
        <v>156.25</v>
      </c>
      <c r="K441">
        <v>219.35</v>
      </c>
    </row>
    <row r="442" spans="2:11" x14ac:dyDescent="0.2">
      <c r="B442" s="3">
        <v>45141</v>
      </c>
      <c r="C442">
        <v>10.7003</v>
      </c>
      <c r="D442" s="3">
        <v>45120</v>
      </c>
      <c r="E442">
        <v>2261.1999999999998</v>
      </c>
      <c r="F442">
        <v>404.1</v>
      </c>
      <c r="G442">
        <v>1383.5</v>
      </c>
      <c r="H442">
        <v>58.56</v>
      </c>
      <c r="I442">
        <v>91.9</v>
      </c>
      <c r="J442">
        <v>157.15</v>
      </c>
      <c r="K442">
        <v>221.65</v>
      </c>
    </row>
    <row r="443" spans="2:11" x14ac:dyDescent="0.2">
      <c r="B443" s="3">
        <v>45140</v>
      </c>
      <c r="C443">
        <v>10.7195</v>
      </c>
      <c r="D443" s="3">
        <v>45119</v>
      </c>
      <c r="E443">
        <v>2264.21</v>
      </c>
      <c r="F443">
        <v>410.5</v>
      </c>
      <c r="G443">
        <v>1390</v>
      </c>
      <c r="H443">
        <v>58.79</v>
      </c>
      <c r="I443">
        <v>91.16</v>
      </c>
      <c r="J443">
        <v>156.94999999999999</v>
      </c>
      <c r="K443">
        <v>223.45</v>
      </c>
    </row>
    <row r="444" spans="2:11" x14ac:dyDescent="0.2">
      <c r="B444" s="3">
        <v>45139</v>
      </c>
      <c r="C444">
        <v>10.604100000000001</v>
      </c>
      <c r="D444" s="3">
        <v>45118</v>
      </c>
      <c r="E444">
        <v>2247.96</v>
      </c>
      <c r="F444">
        <v>408</v>
      </c>
      <c r="G444">
        <v>1393</v>
      </c>
      <c r="H444">
        <v>58.15</v>
      </c>
      <c r="I444">
        <v>89.98</v>
      </c>
      <c r="J444">
        <v>155.80000000000001</v>
      </c>
      <c r="K444">
        <v>221.45</v>
      </c>
    </row>
    <row r="445" spans="2:11" x14ac:dyDescent="0.2">
      <c r="B445" s="3">
        <v>45138</v>
      </c>
      <c r="C445">
        <v>10.525449999999999</v>
      </c>
      <c r="D445" s="3">
        <v>45117</v>
      </c>
      <c r="E445">
        <v>2243.79</v>
      </c>
      <c r="F445">
        <v>408.9</v>
      </c>
      <c r="G445">
        <v>1414.5</v>
      </c>
      <c r="H445">
        <v>58.05</v>
      </c>
      <c r="I445">
        <v>89.26</v>
      </c>
      <c r="J445">
        <v>154.15</v>
      </c>
      <c r="K445">
        <v>218.6</v>
      </c>
    </row>
    <row r="446" spans="2:11" x14ac:dyDescent="0.2">
      <c r="B446" s="3">
        <v>45135</v>
      </c>
      <c r="C446">
        <v>10.55275</v>
      </c>
      <c r="D446" s="3">
        <v>45114</v>
      </c>
      <c r="E446">
        <v>2246.19</v>
      </c>
      <c r="F446">
        <v>409</v>
      </c>
      <c r="G446">
        <v>1409.5</v>
      </c>
      <c r="H446">
        <v>58.07</v>
      </c>
      <c r="I446">
        <v>90.82</v>
      </c>
      <c r="J446">
        <v>155.15</v>
      </c>
      <c r="K446">
        <v>217.9</v>
      </c>
    </row>
    <row r="447" spans="2:11" x14ac:dyDescent="0.2">
      <c r="B447" s="3">
        <v>45134</v>
      </c>
      <c r="C447">
        <v>10.51505</v>
      </c>
      <c r="D447" s="3">
        <v>45113</v>
      </c>
      <c r="E447">
        <v>2238.5100000000002</v>
      </c>
      <c r="F447">
        <v>411.8</v>
      </c>
      <c r="G447">
        <v>1439</v>
      </c>
      <c r="H447">
        <v>58</v>
      </c>
      <c r="I447">
        <v>91.26</v>
      </c>
      <c r="J447">
        <v>152.9</v>
      </c>
      <c r="K447">
        <v>216.2</v>
      </c>
    </row>
    <row r="448" spans="2:11" x14ac:dyDescent="0.2">
      <c r="B448" s="3">
        <v>45133</v>
      </c>
      <c r="C448">
        <v>10.40545</v>
      </c>
      <c r="D448" s="3">
        <v>45112</v>
      </c>
      <c r="E448">
        <v>2279.42</v>
      </c>
      <c r="F448">
        <v>414.6</v>
      </c>
      <c r="G448">
        <v>1469</v>
      </c>
      <c r="H448">
        <v>58.46</v>
      </c>
      <c r="I448">
        <v>92</v>
      </c>
      <c r="J448">
        <v>156.55000000000001</v>
      </c>
      <c r="K448">
        <v>218.95</v>
      </c>
    </row>
    <row r="449" spans="2:11" x14ac:dyDescent="0.2">
      <c r="B449" s="3">
        <v>45132</v>
      </c>
      <c r="C449">
        <v>10.3698</v>
      </c>
      <c r="D449" s="3">
        <v>45111</v>
      </c>
      <c r="E449">
        <v>2295.9299999999998</v>
      </c>
      <c r="F449">
        <v>414.3</v>
      </c>
      <c r="G449">
        <v>1458.5</v>
      </c>
      <c r="H449">
        <v>59.18</v>
      </c>
      <c r="I449">
        <v>92.2</v>
      </c>
      <c r="J449">
        <v>156.65</v>
      </c>
      <c r="K449">
        <v>220.15</v>
      </c>
    </row>
    <row r="450" spans="2:11" x14ac:dyDescent="0.2">
      <c r="B450" s="3">
        <v>45131</v>
      </c>
      <c r="C450">
        <v>10.4092</v>
      </c>
      <c r="D450" s="3">
        <v>45110</v>
      </c>
      <c r="E450">
        <v>2294.59</v>
      </c>
      <c r="F450">
        <v>419</v>
      </c>
      <c r="G450">
        <v>1426</v>
      </c>
      <c r="H450">
        <v>59.28</v>
      </c>
      <c r="I450">
        <v>91.72</v>
      </c>
      <c r="J450">
        <v>152.30000000000001</v>
      </c>
      <c r="K450">
        <v>224.2</v>
      </c>
    </row>
    <row r="451" spans="2:11" x14ac:dyDescent="0.2">
      <c r="B451" s="3">
        <v>45128</v>
      </c>
      <c r="C451">
        <v>10.388</v>
      </c>
      <c r="D451" s="3">
        <v>45107</v>
      </c>
      <c r="E451">
        <v>2309.9</v>
      </c>
      <c r="F451">
        <v>424.1</v>
      </c>
      <c r="G451">
        <v>1548</v>
      </c>
      <c r="H451">
        <v>58.41</v>
      </c>
      <c r="I451">
        <v>90.34</v>
      </c>
      <c r="J451">
        <v>151.15</v>
      </c>
      <c r="K451">
        <v>223</v>
      </c>
    </row>
    <row r="452" spans="2:11" x14ac:dyDescent="0.2">
      <c r="B452" s="3">
        <v>45127</v>
      </c>
      <c r="C452">
        <v>10.34815</v>
      </c>
      <c r="D452" s="3">
        <v>45106</v>
      </c>
      <c r="E452">
        <v>2284.77</v>
      </c>
      <c r="F452">
        <v>416.4</v>
      </c>
      <c r="G452">
        <v>1540.5</v>
      </c>
      <c r="H452">
        <v>58.13</v>
      </c>
      <c r="I452">
        <v>89.66</v>
      </c>
      <c r="J452">
        <v>149.69999999999999</v>
      </c>
      <c r="K452">
        <v>219.8</v>
      </c>
    </row>
    <row r="453" spans="2:11" x14ac:dyDescent="0.2">
      <c r="B453" s="3">
        <v>45126</v>
      </c>
      <c r="C453">
        <v>10.269299999999999</v>
      </c>
      <c r="D453" s="3">
        <v>45105</v>
      </c>
      <c r="E453">
        <v>2262.0700000000002</v>
      </c>
      <c r="F453">
        <v>421.1</v>
      </c>
      <c r="G453">
        <v>1536.5</v>
      </c>
      <c r="H453">
        <v>55.71</v>
      </c>
      <c r="I453">
        <v>88.82</v>
      </c>
      <c r="J453">
        <v>148.05000000000001</v>
      </c>
      <c r="K453">
        <v>217.65</v>
      </c>
    </row>
    <row r="454" spans="2:11" x14ac:dyDescent="0.2">
      <c r="B454" s="3">
        <v>45125</v>
      </c>
      <c r="C454">
        <v>10.21895</v>
      </c>
      <c r="D454" s="3">
        <v>45104</v>
      </c>
      <c r="E454">
        <v>2244.6</v>
      </c>
      <c r="F454">
        <v>416.8</v>
      </c>
      <c r="G454">
        <v>1528.5</v>
      </c>
      <c r="H454">
        <v>54.44</v>
      </c>
      <c r="I454">
        <v>88.78</v>
      </c>
      <c r="J454">
        <v>145.30000000000001</v>
      </c>
      <c r="K454">
        <v>214.85</v>
      </c>
    </row>
    <row r="455" spans="2:11" x14ac:dyDescent="0.2">
      <c r="B455" s="3">
        <v>45124</v>
      </c>
      <c r="C455">
        <v>10.25515</v>
      </c>
      <c r="D455" s="3">
        <v>45103</v>
      </c>
      <c r="E455">
        <v>2238.5</v>
      </c>
      <c r="F455">
        <v>412.6</v>
      </c>
      <c r="G455">
        <v>1540</v>
      </c>
      <c r="H455">
        <v>54.39</v>
      </c>
      <c r="I455">
        <v>88.62</v>
      </c>
      <c r="J455">
        <v>145.1</v>
      </c>
      <c r="K455">
        <v>213.9</v>
      </c>
    </row>
    <row r="456" spans="2:11" x14ac:dyDescent="0.2">
      <c r="B456" s="3">
        <v>45121</v>
      </c>
      <c r="C456">
        <v>10.2315</v>
      </c>
      <c r="D456" s="3">
        <v>45099</v>
      </c>
      <c r="E456">
        <v>2235.41</v>
      </c>
      <c r="F456">
        <v>411.1</v>
      </c>
      <c r="G456">
        <v>1577.5</v>
      </c>
      <c r="H456">
        <v>54.18</v>
      </c>
      <c r="I456">
        <v>88.62</v>
      </c>
      <c r="J456">
        <v>141.6</v>
      </c>
      <c r="K456">
        <v>212.8</v>
      </c>
    </row>
    <row r="457" spans="2:11" x14ac:dyDescent="0.2">
      <c r="B457" s="3">
        <v>45120</v>
      </c>
      <c r="C457">
        <v>10.2029</v>
      </c>
      <c r="D457" s="3">
        <v>45098</v>
      </c>
      <c r="E457">
        <v>2265.63</v>
      </c>
      <c r="F457">
        <v>414.6</v>
      </c>
      <c r="G457">
        <v>1579.5</v>
      </c>
      <c r="H457">
        <v>56.2</v>
      </c>
      <c r="I457">
        <v>93.28</v>
      </c>
      <c r="J457">
        <v>142.75</v>
      </c>
      <c r="K457">
        <v>214.8</v>
      </c>
    </row>
    <row r="458" spans="2:11" x14ac:dyDescent="0.2">
      <c r="B458" s="3">
        <v>45119</v>
      </c>
      <c r="C458">
        <v>10.382400000000001</v>
      </c>
      <c r="D458" s="3">
        <v>45097</v>
      </c>
      <c r="E458">
        <v>2281.16</v>
      </c>
      <c r="F458">
        <v>419</v>
      </c>
      <c r="G458">
        <v>1607.5</v>
      </c>
      <c r="H458">
        <v>57.65</v>
      </c>
      <c r="I458">
        <v>92.18</v>
      </c>
      <c r="J458">
        <v>143.4</v>
      </c>
      <c r="K458">
        <v>213.3</v>
      </c>
    </row>
    <row r="459" spans="2:11" x14ac:dyDescent="0.2">
      <c r="B459" s="3">
        <v>45118</v>
      </c>
      <c r="C459">
        <v>10.665749999999999</v>
      </c>
      <c r="D459" s="3">
        <v>45096</v>
      </c>
      <c r="E459">
        <v>2292.6799999999998</v>
      </c>
      <c r="F459">
        <v>422.7</v>
      </c>
      <c r="G459">
        <v>1604</v>
      </c>
      <c r="H459">
        <v>57.62</v>
      </c>
      <c r="I459">
        <v>91.32</v>
      </c>
      <c r="J459">
        <v>142.6</v>
      </c>
      <c r="K459">
        <v>216.25</v>
      </c>
    </row>
    <row r="460" spans="2:11" x14ac:dyDescent="0.2">
      <c r="B460" s="3">
        <v>45117</v>
      </c>
      <c r="C460">
        <v>10.7562</v>
      </c>
      <c r="D460" s="3">
        <v>45093</v>
      </c>
      <c r="E460">
        <v>2322.64</v>
      </c>
      <c r="F460">
        <v>422.2</v>
      </c>
      <c r="G460">
        <v>1604</v>
      </c>
      <c r="H460">
        <v>58.28</v>
      </c>
      <c r="I460">
        <v>91.92</v>
      </c>
      <c r="J460">
        <v>145.5</v>
      </c>
      <c r="K460">
        <v>218.3</v>
      </c>
    </row>
    <row r="461" spans="2:11" x14ac:dyDescent="0.2">
      <c r="B461" s="3">
        <v>45114</v>
      </c>
      <c r="C461">
        <v>10.8208</v>
      </c>
      <c r="D461" s="3">
        <v>45092</v>
      </c>
      <c r="E461">
        <v>2310.66</v>
      </c>
      <c r="F461">
        <v>420.7</v>
      </c>
      <c r="G461">
        <v>1584.5</v>
      </c>
      <c r="H461">
        <v>57.16</v>
      </c>
      <c r="I461">
        <v>89.6</v>
      </c>
      <c r="J461">
        <v>148.30000000000001</v>
      </c>
      <c r="K461">
        <v>220.15</v>
      </c>
    </row>
    <row r="462" spans="2:11" x14ac:dyDescent="0.2">
      <c r="B462" s="3">
        <v>45113</v>
      </c>
      <c r="C462">
        <v>10.936400000000001</v>
      </c>
      <c r="D462" s="3">
        <v>45091</v>
      </c>
      <c r="E462">
        <v>2312.75</v>
      </c>
      <c r="F462">
        <v>420.7</v>
      </c>
      <c r="G462">
        <v>1563</v>
      </c>
      <c r="H462">
        <v>56.94</v>
      </c>
      <c r="I462">
        <v>89.76</v>
      </c>
      <c r="J462">
        <v>150.1</v>
      </c>
      <c r="K462">
        <v>219.05</v>
      </c>
    </row>
    <row r="463" spans="2:11" x14ac:dyDescent="0.2">
      <c r="B463" s="3">
        <v>45112</v>
      </c>
      <c r="C463">
        <v>10.938800000000001</v>
      </c>
      <c r="D463" s="3">
        <v>45090</v>
      </c>
      <c r="E463">
        <v>2320.96</v>
      </c>
      <c r="F463">
        <v>416.6</v>
      </c>
      <c r="G463">
        <v>1590.5</v>
      </c>
      <c r="H463">
        <v>57.17</v>
      </c>
      <c r="I463">
        <v>90.64</v>
      </c>
      <c r="J463">
        <v>150.94999999999999</v>
      </c>
      <c r="K463">
        <v>218</v>
      </c>
    </row>
    <row r="464" spans="2:11" x14ac:dyDescent="0.2">
      <c r="B464" s="3">
        <v>45111</v>
      </c>
      <c r="C464">
        <v>10.835150000000001</v>
      </c>
      <c r="D464" s="3">
        <v>45089</v>
      </c>
      <c r="E464">
        <v>2299.5</v>
      </c>
      <c r="F464">
        <v>413.4</v>
      </c>
      <c r="G464">
        <v>1597</v>
      </c>
      <c r="H464">
        <v>56.5</v>
      </c>
      <c r="I464">
        <v>90.16</v>
      </c>
      <c r="J464">
        <v>150.15</v>
      </c>
      <c r="K464">
        <v>214.3</v>
      </c>
    </row>
    <row r="465" spans="2:11" x14ac:dyDescent="0.2">
      <c r="B465" s="3">
        <v>45110</v>
      </c>
      <c r="C465">
        <v>10.842000000000001</v>
      </c>
      <c r="D465" s="3">
        <v>45086</v>
      </c>
      <c r="E465">
        <v>2301.98</v>
      </c>
      <c r="F465">
        <v>414.2</v>
      </c>
      <c r="G465">
        <v>1598</v>
      </c>
      <c r="H465">
        <v>56.61</v>
      </c>
      <c r="I465">
        <v>92.48</v>
      </c>
      <c r="J465">
        <v>148.30000000000001</v>
      </c>
      <c r="K465">
        <v>213</v>
      </c>
    </row>
    <row r="466" spans="2:11" x14ac:dyDescent="0.2">
      <c r="B466" s="3">
        <v>45107</v>
      </c>
      <c r="C466">
        <v>10.800599999999999</v>
      </c>
      <c r="D466" s="3">
        <v>45085</v>
      </c>
      <c r="E466">
        <v>2302.98</v>
      </c>
      <c r="F466">
        <v>410</v>
      </c>
      <c r="G466">
        <v>1592</v>
      </c>
      <c r="H466">
        <v>56.44</v>
      </c>
      <c r="I466">
        <v>90.4</v>
      </c>
      <c r="J466">
        <v>148</v>
      </c>
      <c r="K466">
        <v>213.7</v>
      </c>
    </row>
    <row r="467" spans="2:11" x14ac:dyDescent="0.2">
      <c r="B467" s="3">
        <v>45106</v>
      </c>
      <c r="C467">
        <v>10.8653</v>
      </c>
      <c r="D467" s="3">
        <v>45084</v>
      </c>
      <c r="E467">
        <v>2305.36</v>
      </c>
      <c r="F467">
        <v>408</v>
      </c>
      <c r="G467">
        <v>1591.5</v>
      </c>
      <c r="H467">
        <v>56.56</v>
      </c>
      <c r="I467">
        <v>90.96</v>
      </c>
      <c r="J467">
        <v>148.65</v>
      </c>
      <c r="K467">
        <v>212.3</v>
      </c>
    </row>
    <row r="468" spans="2:11" x14ac:dyDescent="0.2">
      <c r="B468" s="3">
        <v>45105</v>
      </c>
      <c r="C468">
        <v>10.7837</v>
      </c>
      <c r="D468" s="3">
        <v>45082</v>
      </c>
      <c r="E468">
        <v>2293.06</v>
      </c>
      <c r="F468">
        <v>406.8</v>
      </c>
      <c r="G468">
        <v>1590.5</v>
      </c>
      <c r="H468">
        <v>56.65</v>
      </c>
      <c r="I468">
        <v>89.1</v>
      </c>
      <c r="J468">
        <v>146.85</v>
      </c>
      <c r="K468">
        <v>209.5</v>
      </c>
    </row>
    <row r="469" spans="2:11" x14ac:dyDescent="0.2">
      <c r="B469" s="3">
        <v>45104</v>
      </c>
      <c r="C469">
        <v>10.71885</v>
      </c>
      <c r="D469" s="3">
        <v>45079</v>
      </c>
      <c r="E469">
        <v>2292.5</v>
      </c>
      <c r="F469">
        <v>403.5</v>
      </c>
      <c r="G469">
        <v>1579</v>
      </c>
      <c r="H469">
        <v>56.52</v>
      </c>
      <c r="I469">
        <v>89.9</v>
      </c>
      <c r="J469">
        <v>146.44999999999999</v>
      </c>
      <c r="K469">
        <v>207.85</v>
      </c>
    </row>
    <row r="470" spans="2:11" x14ac:dyDescent="0.2">
      <c r="B470" s="3">
        <v>45103</v>
      </c>
      <c r="C470">
        <v>10.731</v>
      </c>
      <c r="D470" s="3">
        <v>45078</v>
      </c>
      <c r="E470">
        <v>2252.4299999999998</v>
      </c>
      <c r="F470">
        <v>400.9</v>
      </c>
      <c r="G470">
        <v>1581.5</v>
      </c>
      <c r="H470">
        <v>56.45</v>
      </c>
      <c r="I470">
        <v>87.96</v>
      </c>
      <c r="J470">
        <v>142.15</v>
      </c>
      <c r="K470">
        <v>202.85</v>
      </c>
    </row>
    <row r="471" spans="2:11" x14ac:dyDescent="0.2">
      <c r="B471" s="3">
        <v>45100</v>
      </c>
      <c r="C471">
        <v>10.717700000000001</v>
      </c>
      <c r="D471" s="3">
        <v>45077</v>
      </c>
      <c r="E471">
        <v>2234.96</v>
      </c>
      <c r="F471">
        <v>397.1</v>
      </c>
      <c r="G471">
        <v>1575.5</v>
      </c>
      <c r="H471">
        <v>56.12</v>
      </c>
      <c r="I471">
        <v>85.74</v>
      </c>
      <c r="J471">
        <v>143</v>
      </c>
      <c r="K471">
        <v>200.25</v>
      </c>
    </row>
    <row r="472" spans="2:11" x14ac:dyDescent="0.2">
      <c r="B472" s="3">
        <v>45099</v>
      </c>
      <c r="C472">
        <v>10.70575</v>
      </c>
      <c r="D472" s="3">
        <v>45076</v>
      </c>
      <c r="E472">
        <v>2255</v>
      </c>
      <c r="F472">
        <v>405.4</v>
      </c>
      <c r="G472">
        <v>1555.5</v>
      </c>
      <c r="H472">
        <v>56.93</v>
      </c>
      <c r="I472">
        <v>86.38</v>
      </c>
      <c r="J472">
        <v>146.1</v>
      </c>
      <c r="K472">
        <v>202.25</v>
      </c>
    </row>
    <row r="473" spans="2:11" x14ac:dyDescent="0.2">
      <c r="B473" s="3">
        <v>45098</v>
      </c>
      <c r="C473">
        <v>10.660349999999999</v>
      </c>
      <c r="D473" s="3">
        <v>45075</v>
      </c>
      <c r="E473">
        <v>2258.64</v>
      </c>
      <c r="F473">
        <v>401.6</v>
      </c>
      <c r="G473">
        <v>1567</v>
      </c>
      <c r="H473">
        <v>57.01</v>
      </c>
      <c r="I473">
        <v>86.98</v>
      </c>
      <c r="J473">
        <v>146.65</v>
      </c>
      <c r="K473">
        <v>204.25</v>
      </c>
    </row>
    <row r="474" spans="2:11" x14ac:dyDescent="0.2">
      <c r="B474" s="3">
        <v>45097</v>
      </c>
      <c r="C474">
        <v>10.788</v>
      </c>
      <c r="D474" s="3">
        <v>45072</v>
      </c>
      <c r="E474">
        <v>2272.1999999999998</v>
      </c>
      <c r="F474">
        <v>401.5</v>
      </c>
      <c r="G474">
        <v>1570</v>
      </c>
      <c r="H474">
        <v>56.79</v>
      </c>
      <c r="I474">
        <v>87.96</v>
      </c>
      <c r="J474">
        <v>147.80000000000001</v>
      </c>
      <c r="K474">
        <v>204.05</v>
      </c>
    </row>
    <row r="475" spans="2:11" x14ac:dyDescent="0.2">
      <c r="B475" s="3">
        <v>45096</v>
      </c>
      <c r="C475">
        <v>10.72495</v>
      </c>
      <c r="D475" s="3">
        <v>45071</v>
      </c>
      <c r="E475">
        <v>2231.5700000000002</v>
      </c>
      <c r="F475">
        <v>395.9</v>
      </c>
      <c r="G475">
        <v>1553</v>
      </c>
      <c r="H475">
        <v>55.83</v>
      </c>
      <c r="I475">
        <v>87.34</v>
      </c>
      <c r="J475">
        <v>146.30000000000001</v>
      </c>
      <c r="K475">
        <v>201.05</v>
      </c>
    </row>
    <row r="476" spans="2:11" x14ac:dyDescent="0.2">
      <c r="B476" s="3">
        <v>45093</v>
      </c>
      <c r="C476">
        <v>10.649749999999999</v>
      </c>
      <c r="D476" s="3">
        <v>45070</v>
      </c>
      <c r="E476">
        <v>2229.89</v>
      </c>
      <c r="F476">
        <v>388.1</v>
      </c>
      <c r="G476">
        <v>1558</v>
      </c>
      <c r="H476">
        <v>55.19</v>
      </c>
      <c r="I476">
        <v>87.7</v>
      </c>
      <c r="J476">
        <v>148.6</v>
      </c>
      <c r="K476">
        <v>201.6</v>
      </c>
    </row>
    <row r="477" spans="2:11" x14ac:dyDescent="0.2">
      <c r="B477" s="3">
        <v>45092</v>
      </c>
      <c r="C477">
        <v>10.613950000000001</v>
      </c>
      <c r="D477" s="3">
        <v>45069</v>
      </c>
      <c r="E477">
        <v>2267.34</v>
      </c>
      <c r="F477">
        <v>393</v>
      </c>
      <c r="G477">
        <v>1584.5</v>
      </c>
      <c r="H477">
        <v>55.96</v>
      </c>
      <c r="I477">
        <v>89.18</v>
      </c>
      <c r="J477">
        <v>151.69999999999999</v>
      </c>
      <c r="K477">
        <v>207.85</v>
      </c>
    </row>
    <row r="478" spans="2:11" x14ac:dyDescent="0.2">
      <c r="B478" s="3">
        <v>45091</v>
      </c>
      <c r="C478">
        <v>10.7188</v>
      </c>
      <c r="D478" s="3">
        <v>45068</v>
      </c>
      <c r="E478">
        <v>2283.31</v>
      </c>
      <c r="F478">
        <v>395.1</v>
      </c>
      <c r="G478">
        <v>1581.5</v>
      </c>
      <c r="H478">
        <v>55.88</v>
      </c>
      <c r="I478">
        <v>87.98</v>
      </c>
      <c r="J478">
        <v>149.75</v>
      </c>
      <c r="K478">
        <v>209.1</v>
      </c>
    </row>
    <row r="479" spans="2:11" x14ac:dyDescent="0.2">
      <c r="B479" s="3">
        <v>45090</v>
      </c>
      <c r="C479">
        <v>10.68275</v>
      </c>
      <c r="D479" s="3">
        <v>45065</v>
      </c>
      <c r="E479">
        <v>2288.37</v>
      </c>
      <c r="F479">
        <v>396.2</v>
      </c>
      <c r="G479">
        <v>1580.5</v>
      </c>
      <c r="H479">
        <v>55.59</v>
      </c>
      <c r="I479">
        <v>87.26</v>
      </c>
      <c r="J479">
        <v>149.65</v>
      </c>
      <c r="K479">
        <v>208.3</v>
      </c>
    </row>
    <row r="480" spans="2:11" x14ac:dyDescent="0.2">
      <c r="B480" s="3">
        <v>45089</v>
      </c>
      <c r="C480">
        <v>10.829700000000001</v>
      </c>
      <c r="D480" s="3">
        <v>45063</v>
      </c>
      <c r="E480">
        <v>2246.1999999999998</v>
      </c>
      <c r="F480">
        <v>383.9</v>
      </c>
      <c r="G480">
        <v>1581</v>
      </c>
      <c r="H480">
        <v>54.17</v>
      </c>
      <c r="I480">
        <v>86.48</v>
      </c>
      <c r="J480">
        <v>146.69999999999999</v>
      </c>
      <c r="K480">
        <v>204.6</v>
      </c>
    </row>
    <row r="481" spans="2:11" x14ac:dyDescent="0.2">
      <c r="B481" s="3">
        <v>45086</v>
      </c>
      <c r="C481">
        <v>10.812200000000001</v>
      </c>
      <c r="D481" s="3">
        <v>45062</v>
      </c>
      <c r="E481">
        <v>2236.25</v>
      </c>
      <c r="F481">
        <v>382.4</v>
      </c>
      <c r="G481">
        <v>1566.5</v>
      </c>
      <c r="H481">
        <v>54.36</v>
      </c>
      <c r="I481">
        <v>86.96</v>
      </c>
      <c r="J481">
        <v>148</v>
      </c>
      <c r="K481">
        <v>204.95</v>
      </c>
    </row>
    <row r="482" spans="2:11" x14ac:dyDescent="0.2">
      <c r="B482" s="3">
        <v>45085</v>
      </c>
      <c r="C482">
        <v>10.795199999999999</v>
      </c>
      <c r="D482" s="3">
        <v>45061</v>
      </c>
      <c r="E482">
        <v>2251.2399999999998</v>
      </c>
      <c r="F482">
        <v>382.8</v>
      </c>
      <c r="G482">
        <v>1556.5</v>
      </c>
      <c r="H482">
        <v>54.85</v>
      </c>
      <c r="I482">
        <v>88.04</v>
      </c>
      <c r="J482">
        <v>151.35</v>
      </c>
      <c r="K482">
        <v>207</v>
      </c>
    </row>
    <row r="483" spans="2:11" x14ac:dyDescent="0.2">
      <c r="B483" s="3">
        <v>45084</v>
      </c>
      <c r="C483">
        <v>10.902699999999999</v>
      </c>
      <c r="D483" s="3">
        <v>45058</v>
      </c>
      <c r="E483">
        <v>2236.0300000000002</v>
      </c>
      <c r="F483">
        <v>383.2</v>
      </c>
      <c r="G483">
        <v>1551</v>
      </c>
      <c r="H483">
        <v>53.99</v>
      </c>
      <c r="I483">
        <v>86.94</v>
      </c>
      <c r="J483">
        <v>148.9</v>
      </c>
      <c r="K483">
        <v>206.6</v>
      </c>
    </row>
    <row r="484" spans="2:11" x14ac:dyDescent="0.2">
      <c r="B484" s="3">
        <v>45083</v>
      </c>
      <c r="C484">
        <v>10.919600000000001</v>
      </c>
      <c r="D484" s="3">
        <v>45057</v>
      </c>
      <c r="E484">
        <v>2229.91</v>
      </c>
      <c r="F484">
        <v>379.8</v>
      </c>
      <c r="G484">
        <v>1541</v>
      </c>
      <c r="H484">
        <v>53.49</v>
      </c>
      <c r="I484">
        <v>86.26</v>
      </c>
      <c r="J484">
        <v>149.85</v>
      </c>
      <c r="K484">
        <v>205.2</v>
      </c>
    </row>
    <row r="485" spans="2:11" x14ac:dyDescent="0.2">
      <c r="B485" s="3">
        <v>45082</v>
      </c>
      <c r="C485">
        <v>10.858499999999999</v>
      </c>
      <c r="D485" s="3">
        <v>45056</v>
      </c>
      <c r="E485">
        <v>2208.66</v>
      </c>
      <c r="F485">
        <v>373.5</v>
      </c>
      <c r="G485">
        <v>1523</v>
      </c>
      <c r="H485">
        <v>54.32</v>
      </c>
      <c r="I485">
        <v>85.96</v>
      </c>
      <c r="J485">
        <v>148.4</v>
      </c>
      <c r="K485">
        <v>204.4</v>
      </c>
    </row>
    <row r="486" spans="2:11" x14ac:dyDescent="0.2">
      <c r="B486" s="3">
        <v>45079</v>
      </c>
      <c r="C486">
        <v>10.799849999999999</v>
      </c>
      <c r="D486" s="3">
        <v>45055</v>
      </c>
      <c r="E486">
        <v>2223.58</v>
      </c>
      <c r="F486">
        <v>371.9</v>
      </c>
      <c r="G486">
        <v>1530.5</v>
      </c>
      <c r="H486">
        <v>54.65</v>
      </c>
      <c r="I486">
        <v>86.42</v>
      </c>
      <c r="J486">
        <v>149.30000000000001</v>
      </c>
      <c r="K486">
        <v>205.9</v>
      </c>
    </row>
    <row r="487" spans="2:11" x14ac:dyDescent="0.2">
      <c r="B487" s="3">
        <v>45078</v>
      </c>
      <c r="C487">
        <v>10.8127</v>
      </c>
      <c r="D487" s="3">
        <v>45054</v>
      </c>
      <c r="E487">
        <v>2239.1</v>
      </c>
      <c r="F487">
        <v>367.5</v>
      </c>
      <c r="G487">
        <v>1536.5</v>
      </c>
      <c r="H487">
        <v>55.53</v>
      </c>
      <c r="I487">
        <v>88.34</v>
      </c>
      <c r="J487">
        <v>151.69999999999999</v>
      </c>
      <c r="K487">
        <v>207.35</v>
      </c>
    </row>
    <row r="488" spans="2:11" x14ac:dyDescent="0.2">
      <c r="B488" s="3">
        <v>45077</v>
      </c>
      <c r="C488">
        <v>10.8552</v>
      </c>
      <c r="D488" s="3">
        <v>45051</v>
      </c>
      <c r="E488">
        <v>2240.48</v>
      </c>
      <c r="F488">
        <v>365.4</v>
      </c>
      <c r="G488">
        <v>1530</v>
      </c>
      <c r="H488">
        <v>55.36</v>
      </c>
      <c r="I488">
        <v>87.72</v>
      </c>
      <c r="J488">
        <v>153.6</v>
      </c>
      <c r="K488">
        <v>205.35</v>
      </c>
    </row>
    <row r="489" spans="2:11" x14ac:dyDescent="0.2">
      <c r="B489" s="3">
        <v>45076</v>
      </c>
      <c r="C489">
        <v>10.8764</v>
      </c>
      <c r="D489" s="3">
        <v>45050</v>
      </c>
      <c r="E489">
        <v>2228.17</v>
      </c>
      <c r="F489">
        <v>367.1</v>
      </c>
      <c r="G489">
        <v>1530</v>
      </c>
      <c r="H489">
        <v>55.08</v>
      </c>
      <c r="I489">
        <v>86.56</v>
      </c>
      <c r="J489">
        <v>145.94999999999999</v>
      </c>
      <c r="K489">
        <v>201.8</v>
      </c>
    </row>
    <row r="490" spans="2:11" x14ac:dyDescent="0.2">
      <c r="B490" s="3">
        <v>45075</v>
      </c>
      <c r="C490">
        <v>10.807</v>
      </c>
      <c r="D490" s="3">
        <v>45049</v>
      </c>
      <c r="E490">
        <v>2238.7600000000002</v>
      </c>
      <c r="F490">
        <v>370.3</v>
      </c>
      <c r="G490">
        <v>1527.5</v>
      </c>
      <c r="H490">
        <v>55.47</v>
      </c>
      <c r="I490">
        <v>87.7</v>
      </c>
      <c r="J490">
        <v>164.15</v>
      </c>
      <c r="K490">
        <v>202.75</v>
      </c>
    </row>
    <row r="491" spans="2:11" x14ac:dyDescent="0.2">
      <c r="B491" s="3">
        <v>45072</v>
      </c>
      <c r="C491">
        <v>10.811</v>
      </c>
      <c r="D491" s="3">
        <v>45048</v>
      </c>
      <c r="E491">
        <v>2235.0300000000002</v>
      </c>
      <c r="F491">
        <v>368.7</v>
      </c>
      <c r="G491">
        <v>1518</v>
      </c>
      <c r="H491">
        <v>55.5</v>
      </c>
      <c r="I491">
        <v>87.76</v>
      </c>
      <c r="J491">
        <v>163.80000000000001</v>
      </c>
      <c r="K491">
        <v>208.1</v>
      </c>
    </row>
    <row r="492" spans="2:11" x14ac:dyDescent="0.2">
      <c r="B492" s="3">
        <v>45071</v>
      </c>
      <c r="C492">
        <v>10.825049999999999</v>
      </c>
      <c r="D492" s="3">
        <v>45044</v>
      </c>
      <c r="E492">
        <v>2270.58</v>
      </c>
      <c r="F492">
        <v>370.3</v>
      </c>
      <c r="G492">
        <v>1511</v>
      </c>
      <c r="H492">
        <v>56.37</v>
      </c>
      <c r="I492">
        <v>90.62</v>
      </c>
      <c r="J492">
        <v>167.4</v>
      </c>
      <c r="K492">
        <v>210.8</v>
      </c>
    </row>
    <row r="493" spans="2:11" x14ac:dyDescent="0.2">
      <c r="B493" s="3">
        <v>45070</v>
      </c>
      <c r="C493">
        <v>10.7272</v>
      </c>
      <c r="D493" s="3">
        <v>45043</v>
      </c>
      <c r="E493">
        <v>2271.1</v>
      </c>
      <c r="F493">
        <v>370.7</v>
      </c>
      <c r="G493">
        <v>1516.5</v>
      </c>
      <c r="H493">
        <v>55.06</v>
      </c>
      <c r="I493">
        <v>93.02</v>
      </c>
      <c r="J493">
        <v>162.4</v>
      </c>
      <c r="K493">
        <v>208.95</v>
      </c>
    </row>
    <row r="494" spans="2:11" x14ac:dyDescent="0.2">
      <c r="B494" s="3">
        <v>45069</v>
      </c>
      <c r="C494">
        <v>10.616</v>
      </c>
      <c r="D494" s="3">
        <v>45042</v>
      </c>
      <c r="E494">
        <v>2240.08</v>
      </c>
      <c r="F494">
        <v>369.7</v>
      </c>
      <c r="G494">
        <v>1522.5</v>
      </c>
      <c r="H494">
        <v>54.79</v>
      </c>
      <c r="I494">
        <v>93.26</v>
      </c>
      <c r="J494">
        <v>160.15</v>
      </c>
      <c r="K494">
        <v>211.2</v>
      </c>
    </row>
    <row r="495" spans="2:11" x14ac:dyDescent="0.2">
      <c r="B495" s="3">
        <v>45068</v>
      </c>
      <c r="C495">
        <v>10.561999999999999</v>
      </c>
      <c r="D495" s="3">
        <v>45041</v>
      </c>
      <c r="E495">
        <v>2249.1999999999998</v>
      </c>
      <c r="F495">
        <v>380.1</v>
      </c>
      <c r="G495">
        <v>1570</v>
      </c>
      <c r="H495">
        <v>54.81</v>
      </c>
      <c r="I495">
        <v>95.16</v>
      </c>
      <c r="J495">
        <v>161.9</v>
      </c>
      <c r="K495">
        <v>211.55</v>
      </c>
    </row>
    <row r="496" spans="2:11" x14ac:dyDescent="0.2">
      <c r="B496" s="3">
        <v>45065</v>
      </c>
      <c r="C496">
        <v>10.53195</v>
      </c>
      <c r="D496" s="3">
        <v>45040</v>
      </c>
      <c r="E496">
        <v>2259.8200000000002</v>
      </c>
      <c r="F496">
        <v>366</v>
      </c>
      <c r="G496">
        <v>1555</v>
      </c>
      <c r="H496">
        <v>55.16</v>
      </c>
      <c r="I496">
        <v>96.16</v>
      </c>
      <c r="J496">
        <v>161.25</v>
      </c>
      <c r="K496">
        <v>214.6</v>
      </c>
    </row>
    <row r="497" spans="2:11" x14ac:dyDescent="0.2">
      <c r="B497" s="3">
        <v>45064</v>
      </c>
      <c r="C497">
        <v>10.5527</v>
      </c>
      <c r="D497" s="3">
        <v>45037</v>
      </c>
      <c r="E497">
        <v>2246.41</v>
      </c>
      <c r="F497">
        <v>364.7</v>
      </c>
      <c r="G497">
        <v>1559</v>
      </c>
      <c r="H497">
        <v>55.37</v>
      </c>
      <c r="I497">
        <v>94.92</v>
      </c>
      <c r="J497">
        <v>160.30000000000001</v>
      </c>
      <c r="K497">
        <v>211.1</v>
      </c>
    </row>
    <row r="498" spans="2:11" x14ac:dyDescent="0.2">
      <c r="B498" s="3">
        <v>45063</v>
      </c>
      <c r="C498">
        <v>10.4473</v>
      </c>
      <c r="D498" s="3">
        <v>45036</v>
      </c>
      <c r="E498">
        <v>2248.8200000000002</v>
      </c>
      <c r="F498">
        <v>363.4</v>
      </c>
      <c r="G498">
        <v>1540</v>
      </c>
      <c r="H498">
        <v>54.94</v>
      </c>
      <c r="I498">
        <v>95.18</v>
      </c>
      <c r="J498">
        <v>162.6</v>
      </c>
      <c r="K498">
        <v>211.2</v>
      </c>
    </row>
    <row r="499" spans="2:11" x14ac:dyDescent="0.2">
      <c r="B499" s="3">
        <v>45062</v>
      </c>
      <c r="C499">
        <v>10.389200000000001</v>
      </c>
      <c r="D499" s="3">
        <v>45035</v>
      </c>
      <c r="E499">
        <v>2249.6799999999998</v>
      </c>
      <c r="F499">
        <v>363.5</v>
      </c>
      <c r="G499">
        <v>1542</v>
      </c>
      <c r="H499">
        <v>56.3</v>
      </c>
      <c r="I499">
        <v>94.64</v>
      </c>
      <c r="J499">
        <v>167.9</v>
      </c>
      <c r="K499">
        <v>209.1</v>
      </c>
    </row>
    <row r="500" spans="2:11" x14ac:dyDescent="0.2">
      <c r="B500" s="3">
        <v>45061</v>
      </c>
      <c r="C500">
        <v>10.353249999999999</v>
      </c>
      <c r="D500" s="3">
        <v>45034</v>
      </c>
      <c r="E500">
        <v>2256.2800000000002</v>
      </c>
      <c r="F500">
        <v>366.6</v>
      </c>
      <c r="G500">
        <v>1542.5</v>
      </c>
      <c r="H500">
        <v>57.07</v>
      </c>
      <c r="I500">
        <v>93.94</v>
      </c>
      <c r="J500">
        <v>170.6</v>
      </c>
      <c r="K500">
        <v>211.85</v>
      </c>
    </row>
    <row r="501" spans="2:11" x14ac:dyDescent="0.2">
      <c r="B501" s="3">
        <v>45058</v>
      </c>
      <c r="C501">
        <v>10.38875</v>
      </c>
      <c r="D501" s="3">
        <v>45033</v>
      </c>
      <c r="E501">
        <v>2249.67</v>
      </c>
      <c r="F501">
        <v>365.4</v>
      </c>
      <c r="G501">
        <v>1519</v>
      </c>
      <c r="H501">
        <v>62.43</v>
      </c>
      <c r="I501">
        <v>93.72</v>
      </c>
      <c r="J501">
        <v>169.85</v>
      </c>
      <c r="K501">
        <v>212.25</v>
      </c>
    </row>
    <row r="502" spans="2:11" x14ac:dyDescent="0.2">
      <c r="B502" s="3">
        <v>45057</v>
      </c>
      <c r="C502">
        <v>10.3367</v>
      </c>
      <c r="D502" s="3">
        <v>45030</v>
      </c>
      <c r="E502">
        <v>2249.4699999999998</v>
      </c>
      <c r="F502">
        <v>363.5</v>
      </c>
      <c r="G502">
        <v>1526.5</v>
      </c>
      <c r="H502">
        <v>62.28</v>
      </c>
      <c r="I502">
        <v>93.62</v>
      </c>
      <c r="J502">
        <v>169.6</v>
      </c>
      <c r="K502">
        <v>210.55</v>
      </c>
    </row>
  </sheetData>
  <phoneticPr fontId="1" type="noConversion"/>
  <pageMargins left="0.75" right="0.75" top="1" bottom="1" header="0.5" footer="0.5"/>
  <pageSetup paperSize="9" orientation="portrait" horizontalDpi="1200" r:id="rId1"/>
  <headerFooter alignWithMargins="0"/>
  <customProperties>
    <customPr name="REFI_OFFICE_FUNCTION_DATA" r:id="rId2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A5A667-E915-47F8-A8F1-3DC5B83087A5}">
  <sheetPr codeName="Sheet5"/>
  <dimension ref="A1:T9"/>
  <sheetViews>
    <sheetView workbookViewId="0">
      <selection activeCell="B3" sqref="B3"/>
    </sheetView>
  </sheetViews>
  <sheetFormatPr defaultRowHeight="12.75" x14ac:dyDescent="0.2"/>
  <cols>
    <col min="1" max="1" width="11.28515625" bestFit="1" customWidth="1"/>
  </cols>
  <sheetData>
    <row r="1" spans="1:20" x14ac:dyDescent="0.2">
      <c r="B1" t="s">
        <v>16</v>
      </c>
      <c r="D1" t="s">
        <v>17</v>
      </c>
      <c r="F1" t="s">
        <v>18</v>
      </c>
      <c r="N1" t="s">
        <v>19</v>
      </c>
    </row>
    <row r="2" spans="1:20" x14ac:dyDescent="0.2">
      <c r="F2" t="s">
        <v>74</v>
      </c>
      <c r="G2" t="s">
        <v>7</v>
      </c>
      <c r="H2" t="s">
        <v>8</v>
      </c>
      <c r="I2" t="s">
        <v>6</v>
      </c>
      <c r="J2" t="s">
        <v>9</v>
      </c>
      <c r="K2" t="s">
        <v>10</v>
      </c>
      <c r="L2" t="s">
        <v>11</v>
      </c>
      <c r="N2" t="s">
        <v>74</v>
      </c>
      <c r="O2" t="s">
        <v>7</v>
      </c>
      <c r="P2" t="s">
        <v>8</v>
      </c>
      <c r="Q2" t="s">
        <v>6</v>
      </c>
      <c r="R2" t="s">
        <v>9</v>
      </c>
      <c r="S2" t="s">
        <v>10</v>
      </c>
      <c r="T2" t="s">
        <v>11</v>
      </c>
    </row>
    <row r="3" spans="1:20" x14ac:dyDescent="0.2">
      <c r="A3" t="s">
        <v>74</v>
      </c>
      <c r="B3">
        <v>0.10223959085124593</v>
      </c>
      <c r="D3">
        <v>0.15527092419497504</v>
      </c>
      <c r="F3">
        <v>0.99999999999999989</v>
      </c>
      <c r="G3">
        <v>0.64586796883932496</v>
      </c>
      <c r="H3">
        <v>0.50118697724267636</v>
      </c>
      <c r="I3">
        <v>0.64905202406526052</v>
      </c>
      <c r="J3">
        <v>0.77435672112293175</v>
      </c>
      <c r="K3">
        <v>0.80380113757612537</v>
      </c>
      <c r="L3">
        <v>0.64261076941609563</v>
      </c>
      <c r="N3">
        <v>2.4109059900361683E-2</v>
      </c>
      <c r="O3">
        <v>1.9074077484303422E-2</v>
      </c>
      <c r="P3">
        <v>1.8749902550313578E-2</v>
      </c>
      <c r="Q3">
        <v>2.3940099889899511E-2</v>
      </c>
      <c r="R3">
        <v>2.3676505908269866E-2</v>
      </c>
      <c r="S3">
        <v>2.5184228331673612E-2</v>
      </c>
      <c r="T3">
        <v>2.6795381575510618E-2</v>
      </c>
    </row>
    <row r="4" spans="1:20" x14ac:dyDescent="0.2">
      <c r="A4" t="s">
        <v>7</v>
      </c>
      <c r="B4">
        <v>5.7922932594390943E-2</v>
      </c>
      <c r="D4">
        <v>0.19019962565897139</v>
      </c>
      <c r="F4">
        <v>0.64586796883932496</v>
      </c>
      <c r="G4">
        <v>1</v>
      </c>
      <c r="H4">
        <v>0.36985681194734149</v>
      </c>
      <c r="I4">
        <v>0.43297603264757778</v>
      </c>
      <c r="J4">
        <v>0.43339276175357361</v>
      </c>
      <c r="K4">
        <v>0.529136759218928</v>
      </c>
      <c r="L4">
        <v>0.40573029604927457</v>
      </c>
      <c r="N4">
        <v>1.9074077484303422E-2</v>
      </c>
      <c r="O4">
        <v>3.6175897600812849E-2</v>
      </c>
      <c r="P4">
        <v>1.6949323887138133E-2</v>
      </c>
      <c r="Q4">
        <v>1.9562746448360022E-2</v>
      </c>
      <c r="R4">
        <v>1.6232212240162695E-2</v>
      </c>
      <c r="S4">
        <v>2.0308015427669981E-2</v>
      </c>
      <c r="T4">
        <v>2.0723776700027334E-2</v>
      </c>
    </row>
    <row r="5" spans="1:20" x14ac:dyDescent="0.2">
      <c r="A5" t="s">
        <v>8</v>
      </c>
      <c r="B5">
        <v>0.23886562811020354</v>
      </c>
      <c r="D5">
        <v>0.24094010710443747</v>
      </c>
      <c r="F5">
        <v>0.50118697724267636</v>
      </c>
      <c r="G5">
        <v>0.36985681194734149</v>
      </c>
      <c r="H5">
        <v>1</v>
      </c>
      <c r="I5">
        <v>0.33322322165541879</v>
      </c>
      <c r="J5">
        <v>0.32291467963332626</v>
      </c>
      <c r="K5">
        <v>0.43607677218644225</v>
      </c>
      <c r="L5">
        <v>0.29811868899923105</v>
      </c>
      <c r="N5">
        <v>1.8749902550313578E-2</v>
      </c>
      <c r="O5">
        <v>1.6949323887138133E-2</v>
      </c>
      <c r="P5">
        <v>5.8052135211497803E-2</v>
      </c>
      <c r="Q5">
        <v>1.9072194608409993E-2</v>
      </c>
      <c r="R5">
        <v>1.5320865093401951E-2</v>
      </c>
      <c r="S5">
        <v>2.1201273434195696E-2</v>
      </c>
      <c r="T5">
        <v>1.9289461786816207E-2</v>
      </c>
    </row>
    <row r="6" spans="1:20" x14ac:dyDescent="0.2">
      <c r="A6" t="s">
        <v>6</v>
      </c>
      <c r="B6">
        <v>2.4550125762848523E-2</v>
      </c>
      <c r="D6">
        <v>0.23755069839068674</v>
      </c>
      <c r="F6">
        <v>0.64905202406526052</v>
      </c>
      <c r="G6">
        <v>0.43297603264757778</v>
      </c>
      <c r="H6">
        <v>0.33322322165541879</v>
      </c>
      <c r="I6">
        <v>1</v>
      </c>
      <c r="J6">
        <v>0.40944882238349395</v>
      </c>
      <c r="K6">
        <v>0.52584924802329747</v>
      </c>
      <c r="L6">
        <v>0.30497519480142776</v>
      </c>
      <c r="N6">
        <v>2.3940099889899511E-2</v>
      </c>
      <c r="O6">
        <v>1.9562746448360022E-2</v>
      </c>
      <c r="P6">
        <v>1.9072194608409993E-2</v>
      </c>
      <c r="Q6">
        <v>5.6430334305903017E-2</v>
      </c>
      <c r="R6">
        <v>1.9153243893995826E-2</v>
      </c>
      <c r="S6">
        <v>2.5206204911609954E-2</v>
      </c>
      <c r="T6">
        <v>1.9455510788290789E-2</v>
      </c>
    </row>
    <row r="7" spans="1:20" x14ac:dyDescent="0.2">
      <c r="A7" t="s">
        <v>9</v>
      </c>
      <c r="B7">
        <v>0.14029169538885833</v>
      </c>
      <c r="D7">
        <v>0.19691844651944942</v>
      </c>
      <c r="F7">
        <v>0.77435672112293175</v>
      </c>
      <c r="G7">
        <v>0.43339276175357361</v>
      </c>
      <c r="H7">
        <v>0.32291467963332626</v>
      </c>
      <c r="I7">
        <v>0.40944882238349395</v>
      </c>
      <c r="J7">
        <v>0.99999999999999989</v>
      </c>
      <c r="K7">
        <v>0.61202776631356515</v>
      </c>
      <c r="L7">
        <v>0.42979620993900941</v>
      </c>
      <c r="N7">
        <v>2.3676505908269866E-2</v>
      </c>
      <c r="O7">
        <v>1.6232212240162695E-2</v>
      </c>
      <c r="P7">
        <v>1.5320865093401951E-2</v>
      </c>
      <c r="Q7">
        <v>1.9153243893995826E-2</v>
      </c>
      <c r="R7">
        <v>3.8776874579633261E-2</v>
      </c>
      <c r="S7">
        <v>2.4319095615838417E-2</v>
      </c>
      <c r="T7">
        <v>2.2728500838752521E-2</v>
      </c>
    </row>
    <row r="8" spans="1:20" x14ac:dyDescent="0.2">
      <c r="A8" t="s">
        <v>10</v>
      </c>
      <c r="B8">
        <v>0.1590887693019489</v>
      </c>
      <c r="D8">
        <v>0.20178547139902092</v>
      </c>
      <c r="F8">
        <v>0.80380113757612537</v>
      </c>
      <c r="G8">
        <v>0.529136759218928</v>
      </c>
      <c r="H8">
        <v>0.43607677218644225</v>
      </c>
      <c r="I8">
        <v>0.52584924802329747</v>
      </c>
      <c r="J8">
        <v>0.61202776631356515</v>
      </c>
      <c r="K8">
        <v>1</v>
      </c>
      <c r="L8">
        <v>0.49390573505690227</v>
      </c>
      <c r="N8">
        <v>2.5184228331673612E-2</v>
      </c>
      <c r="O8">
        <v>2.0308015427669981E-2</v>
      </c>
      <c r="P8">
        <v>2.1201273434195696E-2</v>
      </c>
      <c r="Q8">
        <v>2.5206204911609954E-2</v>
      </c>
      <c r="R8">
        <v>2.4319095615838417E-2</v>
      </c>
      <c r="S8">
        <v>4.0717376467725094E-2</v>
      </c>
      <c r="T8">
        <v>2.676429272438012E-2</v>
      </c>
    </row>
    <row r="9" spans="1:20" x14ac:dyDescent="0.2">
      <c r="A9" t="s">
        <v>11</v>
      </c>
      <c r="B9">
        <v>-2.3703159891255442E-2</v>
      </c>
      <c r="D9">
        <v>0.26854792953634099</v>
      </c>
      <c r="F9">
        <v>0.64261076941609563</v>
      </c>
      <c r="G9">
        <v>0.40573029604927457</v>
      </c>
      <c r="H9">
        <v>0.29811868899923105</v>
      </c>
      <c r="I9">
        <v>0.30497519480142776</v>
      </c>
      <c r="J9">
        <v>0.42979620993900941</v>
      </c>
      <c r="K9">
        <v>0.49390573505690227</v>
      </c>
      <c r="L9">
        <v>1</v>
      </c>
      <c r="N9">
        <v>2.6795381575510618E-2</v>
      </c>
      <c r="O9">
        <v>2.0723776700027334E-2</v>
      </c>
      <c r="P9">
        <v>1.9289461786816207E-2</v>
      </c>
      <c r="Q9">
        <v>1.9455510788290789E-2</v>
      </c>
      <c r="R9">
        <v>2.2728500838752521E-2</v>
      </c>
      <c r="S9">
        <v>2.676429272438012E-2</v>
      </c>
      <c r="T9">
        <v>7.2117990458255565E-2</v>
      </c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23F36A-FC44-4E9B-8B3E-E188696242F5}">
  <sheetPr codeName="Sheet3"/>
  <dimension ref="A1:C65536"/>
  <sheetViews>
    <sheetView workbookViewId="0">
      <selection activeCell="F16" sqref="F16"/>
    </sheetView>
  </sheetViews>
  <sheetFormatPr defaultRowHeight="12.75" x14ac:dyDescent="0.2"/>
  <cols>
    <col min="1" max="1" width="15.42578125" bestFit="1" customWidth="1"/>
  </cols>
  <sheetData>
    <row r="1" spans="1:2" x14ac:dyDescent="0.2">
      <c r="A1" t="s">
        <v>13</v>
      </c>
      <c r="B1" t="s">
        <v>14</v>
      </c>
    </row>
    <row r="2" spans="1:2" x14ac:dyDescent="0.2">
      <c r="A2" s="2">
        <v>38954.977685185186</v>
      </c>
      <c r="B2">
        <v>9297000</v>
      </c>
    </row>
    <row r="3" spans="1:2" x14ac:dyDescent="0.2">
      <c r="A3" s="2">
        <v>38954.979074074072</v>
      </c>
      <c r="B3">
        <v>9267750</v>
      </c>
    </row>
    <row r="4" spans="1:2" x14ac:dyDescent="0.2">
      <c r="A4" s="2">
        <v>38954.980462962965</v>
      </c>
      <c r="B4">
        <v>9267750</v>
      </c>
    </row>
    <row r="5" spans="1:2" x14ac:dyDescent="0.2">
      <c r="A5" s="2">
        <v>38954.981851851851</v>
      </c>
      <c r="B5">
        <v>9267750</v>
      </c>
    </row>
    <row r="6" spans="1:2" x14ac:dyDescent="0.2">
      <c r="A6" s="2">
        <v>38954.983240740738</v>
      </c>
      <c r="B6">
        <v>9267750</v>
      </c>
    </row>
    <row r="7" spans="1:2" x14ac:dyDescent="0.2">
      <c r="A7" s="2">
        <v>38954.984629629631</v>
      </c>
      <c r="B7">
        <v>9297000</v>
      </c>
    </row>
    <row r="8" spans="1:2" x14ac:dyDescent="0.2">
      <c r="A8" s="2">
        <v>38954.986018518517</v>
      </c>
      <c r="B8">
        <v>9297000</v>
      </c>
    </row>
    <row r="9" spans="1:2" x14ac:dyDescent="0.2">
      <c r="A9" s="2"/>
    </row>
    <row r="10" spans="1:2" x14ac:dyDescent="0.2">
      <c r="A10" s="2"/>
    </row>
    <row r="11" spans="1:2" x14ac:dyDescent="0.2">
      <c r="A11" s="2"/>
    </row>
    <row r="12" spans="1:2" x14ac:dyDescent="0.2">
      <c r="A12" s="2"/>
    </row>
    <row r="13" spans="1:2" x14ac:dyDescent="0.2">
      <c r="A13" s="2"/>
    </row>
    <row r="14" spans="1:2" x14ac:dyDescent="0.2">
      <c r="A14" s="2"/>
    </row>
    <row r="15" spans="1:2" x14ac:dyDescent="0.2">
      <c r="A15" s="2"/>
    </row>
    <row r="16" spans="1:2" x14ac:dyDescent="0.2">
      <c r="A16" s="2"/>
    </row>
    <row r="17" spans="1:1" x14ac:dyDescent="0.2">
      <c r="A17" s="2"/>
    </row>
    <row r="18" spans="1:1" x14ac:dyDescent="0.2">
      <c r="A18" s="2"/>
    </row>
    <row r="19" spans="1:1" x14ac:dyDescent="0.2">
      <c r="A19" s="2"/>
    </row>
    <row r="20" spans="1:1" x14ac:dyDescent="0.2">
      <c r="A20" s="2"/>
    </row>
    <row r="21" spans="1:1" x14ac:dyDescent="0.2">
      <c r="A21" s="2"/>
    </row>
    <row r="22" spans="1:1" x14ac:dyDescent="0.2">
      <c r="A22" s="2"/>
    </row>
    <row r="23" spans="1:1" x14ac:dyDescent="0.2">
      <c r="A23" s="2"/>
    </row>
    <row r="24" spans="1:1" x14ac:dyDescent="0.2">
      <c r="A24" s="2"/>
    </row>
    <row r="25" spans="1:1" x14ac:dyDescent="0.2">
      <c r="A25" s="2"/>
    </row>
    <row r="26" spans="1:1" x14ac:dyDescent="0.2">
      <c r="A26" s="2"/>
    </row>
    <row r="27" spans="1:1" x14ac:dyDescent="0.2">
      <c r="A27" s="2"/>
    </row>
    <row r="28" spans="1:1" x14ac:dyDescent="0.2">
      <c r="A28" s="2"/>
    </row>
    <row r="29" spans="1:1" x14ac:dyDescent="0.2">
      <c r="A29" s="2"/>
    </row>
    <row r="30" spans="1:1" x14ac:dyDescent="0.2">
      <c r="A30" s="2"/>
    </row>
    <row r="31" spans="1:1" x14ac:dyDescent="0.2">
      <c r="A31" s="2"/>
    </row>
    <row r="32" spans="1:1" x14ac:dyDescent="0.2">
      <c r="A32" s="2"/>
    </row>
    <row r="33" spans="1:1" x14ac:dyDescent="0.2">
      <c r="A33" s="2"/>
    </row>
    <row r="34" spans="1:1" x14ac:dyDescent="0.2">
      <c r="A34" s="2"/>
    </row>
    <row r="35" spans="1:1" x14ac:dyDescent="0.2">
      <c r="A35" s="2"/>
    </row>
    <row r="36" spans="1:1" x14ac:dyDescent="0.2">
      <c r="A36" s="2"/>
    </row>
    <row r="37" spans="1:1" x14ac:dyDescent="0.2">
      <c r="A37" s="2"/>
    </row>
    <row r="38" spans="1:1" x14ac:dyDescent="0.2">
      <c r="A38" s="2"/>
    </row>
    <row r="39" spans="1:1" x14ac:dyDescent="0.2">
      <c r="A39" s="2"/>
    </row>
    <row r="40" spans="1:1" x14ac:dyDescent="0.2">
      <c r="A40" s="2"/>
    </row>
    <row r="41" spans="1:1" x14ac:dyDescent="0.2">
      <c r="A41" s="2"/>
    </row>
    <row r="42" spans="1:1" x14ac:dyDescent="0.2">
      <c r="A42" s="2"/>
    </row>
    <row r="43" spans="1:1" x14ac:dyDescent="0.2">
      <c r="A43" s="2"/>
    </row>
    <row r="44" spans="1:1" x14ac:dyDescent="0.2">
      <c r="A44" s="2"/>
    </row>
    <row r="45" spans="1:1" x14ac:dyDescent="0.2">
      <c r="A45" s="2"/>
    </row>
    <row r="46" spans="1:1" x14ac:dyDescent="0.2">
      <c r="A46" s="2"/>
    </row>
    <row r="47" spans="1:1" x14ac:dyDescent="0.2">
      <c r="A47" s="2"/>
    </row>
    <row r="48" spans="1:1" x14ac:dyDescent="0.2">
      <c r="A48" s="2"/>
    </row>
    <row r="49" spans="1:1" x14ac:dyDescent="0.2">
      <c r="A49" s="2"/>
    </row>
    <row r="50" spans="1:1" x14ac:dyDescent="0.2">
      <c r="A50" s="2"/>
    </row>
    <row r="51" spans="1:1" x14ac:dyDescent="0.2">
      <c r="A51" s="2"/>
    </row>
    <row r="52" spans="1:1" x14ac:dyDescent="0.2">
      <c r="A52" s="2"/>
    </row>
    <row r="53" spans="1:1" x14ac:dyDescent="0.2">
      <c r="A53" s="2"/>
    </row>
    <row r="54" spans="1:1" x14ac:dyDescent="0.2">
      <c r="A54" s="2"/>
    </row>
    <row r="55" spans="1:1" x14ac:dyDescent="0.2">
      <c r="A55" s="2"/>
    </row>
    <row r="56" spans="1:1" x14ac:dyDescent="0.2">
      <c r="A56" s="2"/>
    </row>
    <row r="57" spans="1:1" x14ac:dyDescent="0.2">
      <c r="A57" s="2"/>
    </row>
    <row r="58" spans="1:1" x14ac:dyDescent="0.2">
      <c r="A58" s="2"/>
    </row>
    <row r="59" spans="1:1" x14ac:dyDescent="0.2">
      <c r="A59" s="2"/>
    </row>
    <row r="60" spans="1:1" x14ac:dyDescent="0.2">
      <c r="A60" s="2"/>
    </row>
    <row r="61" spans="1:1" x14ac:dyDescent="0.2">
      <c r="A61" s="2"/>
    </row>
    <row r="62" spans="1:1" x14ac:dyDescent="0.2">
      <c r="A62" s="2"/>
    </row>
    <row r="63" spans="1:1" x14ac:dyDescent="0.2">
      <c r="A63" s="2"/>
    </row>
    <row r="64" spans="1:1" x14ac:dyDescent="0.2">
      <c r="A64" s="2"/>
    </row>
    <row r="65" spans="1:1" x14ac:dyDescent="0.2">
      <c r="A65" s="2"/>
    </row>
    <row r="66" spans="1:1" x14ac:dyDescent="0.2">
      <c r="A66" s="2"/>
    </row>
    <row r="67" spans="1:1" x14ac:dyDescent="0.2">
      <c r="A67" s="2"/>
    </row>
    <row r="68" spans="1:1" x14ac:dyDescent="0.2">
      <c r="A68" s="2"/>
    </row>
    <row r="69" spans="1:1" x14ac:dyDescent="0.2">
      <c r="A69" s="2"/>
    </row>
    <row r="70" spans="1:1" x14ac:dyDescent="0.2">
      <c r="A70" s="2"/>
    </row>
    <row r="71" spans="1:1" x14ac:dyDescent="0.2">
      <c r="A71" s="2"/>
    </row>
    <row r="72" spans="1:1" x14ac:dyDescent="0.2">
      <c r="A72" s="2"/>
    </row>
    <row r="73" spans="1:1" x14ac:dyDescent="0.2">
      <c r="A73" s="2"/>
    </row>
    <row r="74" spans="1:1" x14ac:dyDescent="0.2">
      <c r="A74" s="2"/>
    </row>
    <row r="75" spans="1:1" x14ac:dyDescent="0.2">
      <c r="A75" s="2"/>
    </row>
    <row r="76" spans="1:1" x14ac:dyDescent="0.2">
      <c r="A76" s="2"/>
    </row>
    <row r="77" spans="1:1" x14ac:dyDescent="0.2">
      <c r="A77" s="2"/>
    </row>
    <row r="78" spans="1:1" x14ac:dyDescent="0.2">
      <c r="A78" s="2"/>
    </row>
    <row r="79" spans="1:1" x14ac:dyDescent="0.2">
      <c r="A79" s="2"/>
    </row>
    <row r="80" spans="1:1" x14ac:dyDescent="0.2">
      <c r="A80" s="2"/>
    </row>
    <row r="81" spans="1:1" x14ac:dyDescent="0.2">
      <c r="A81" s="2"/>
    </row>
    <row r="82" spans="1:1" x14ac:dyDescent="0.2">
      <c r="A82" s="2"/>
    </row>
    <row r="83" spans="1:1" x14ac:dyDescent="0.2">
      <c r="A83" s="2"/>
    </row>
    <row r="84" spans="1:1" x14ac:dyDescent="0.2">
      <c r="A84" s="2"/>
    </row>
    <row r="85" spans="1:1" x14ac:dyDescent="0.2">
      <c r="A85" s="2"/>
    </row>
    <row r="86" spans="1:1" x14ac:dyDescent="0.2">
      <c r="A86" s="2"/>
    </row>
    <row r="87" spans="1:1" x14ac:dyDescent="0.2">
      <c r="A87" s="2"/>
    </row>
    <row r="88" spans="1:1" x14ac:dyDescent="0.2">
      <c r="A88" s="2"/>
    </row>
    <row r="89" spans="1:1" x14ac:dyDescent="0.2">
      <c r="A89" s="2"/>
    </row>
    <row r="90" spans="1:1" x14ac:dyDescent="0.2">
      <c r="A90" s="2"/>
    </row>
    <row r="91" spans="1:1" x14ac:dyDescent="0.2">
      <c r="A91" s="2"/>
    </row>
    <row r="92" spans="1:1" x14ac:dyDescent="0.2">
      <c r="A92" s="2"/>
    </row>
    <row r="93" spans="1:1" x14ac:dyDescent="0.2">
      <c r="A93" s="2"/>
    </row>
    <row r="94" spans="1:1" x14ac:dyDescent="0.2">
      <c r="A94" s="2"/>
    </row>
    <row r="95" spans="1:1" x14ac:dyDescent="0.2">
      <c r="A95" s="2"/>
    </row>
    <row r="96" spans="1:1" x14ac:dyDescent="0.2">
      <c r="A96" s="2"/>
    </row>
    <row r="97" spans="1:1" x14ac:dyDescent="0.2">
      <c r="A97" s="2"/>
    </row>
    <row r="98" spans="1:1" x14ac:dyDescent="0.2">
      <c r="A98" s="2"/>
    </row>
    <row r="99" spans="1:1" x14ac:dyDescent="0.2">
      <c r="A99" s="2"/>
    </row>
    <row r="100" spans="1:1" x14ac:dyDescent="0.2">
      <c r="A100" s="2"/>
    </row>
    <row r="101" spans="1:1" x14ac:dyDescent="0.2">
      <c r="A101" s="2"/>
    </row>
    <row r="102" spans="1:1" x14ac:dyDescent="0.2">
      <c r="A102" s="2"/>
    </row>
    <row r="103" spans="1:1" x14ac:dyDescent="0.2">
      <c r="A103" s="2"/>
    </row>
    <row r="104" spans="1:1" x14ac:dyDescent="0.2">
      <c r="A104" s="2"/>
    </row>
    <row r="105" spans="1:1" x14ac:dyDescent="0.2">
      <c r="A105" s="2"/>
    </row>
    <row r="106" spans="1:1" x14ac:dyDescent="0.2">
      <c r="A106" s="2"/>
    </row>
    <row r="107" spans="1:1" x14ac:dyDescent="0.2">
      <c r="A107" s="2"/>
    </row>
    <row r="108" spans="1:1" x14ac:dyDescent="0.2">
      <c r="A108" s="2"/>
    </row>
    <row r="109" spans="1:1" x14ac:dyDescent="0.2">
      <c r="A109" s="2"/>
    </row>
    <row r="110" spans="1:1" x14ac:dyDescent="0.2">
      <c r="A110" s="2"/>
    </row>
    <row r="111" spans="1:1" x14ac:dyDescent="0.2">
      <c r="A111" s="2"/>
    </row>
    <row r="112" spans="1:1" x14ac:dyDescent="0.2">
      <c r="A112" s="2"/>
    </row>
    <row r="113" spans="1:1" x14ac:dyDescent="0.2">
      <c r="A113" s="2"/>
    </row>
    <row r="114" spans="1:1" x14ac:dyDescent="0.2">
      <c r="A114" s="2"/>
    </row>
    <row r="115" spans="1:1" x14ac:dyDescent="0.2">
      <c r="A115" s="2"/>
    </row>
    <row r="116" spans="1:1" x14ac:dyDescent="0.2">
      <c r="A116" s="2"/>
    </row>
    <row r="117" spans="1:1" x14ac:dyDescent="0.2">
      <c r="A117" s="2"/>
    </row>
    <row r="118" spans="1:1" x14ac:dyDescent="0.2">
      <c r="A118" s="2"/>
    </row>
    <row r="119" spans="1:1" x14ac:dyDescent="0.2">
      <c r="A119" s="2"/>
    </row>
    <row r="120" spans="1:1" x14ac:dyDescent="0.2">
      <c r="A120" s="2"/>
    </row>
    <row r="121" spans="1:1" x14ac:dyDescent="0.2">
      <c r="A121" s="2"/>
    </row>
    <row r="122" spans="1:1" x14ac:dyDescent="0.2">
      <c r="A122" s="2"/>
    </row>
    <row r="123" spans="1:1" x14ac:dyDescent="0.2">
      <c r="A123" s="2"/>
    </row>
    <row r="124" spans="1:1" x14ac:dyDescent="0.2">
      <c r="A124" s="2"/>
    </row>
    <row r="125" spans="1:1" x14ac:dyDescent="0.2">
      <c r="A125" s="2"/>
    </row>
    <row r="126" spans="1:1" x14ac:dyDescent="0.2">
      <c r="A126" s="2"/>
    </row>
    <row r="127" spans="1:1" x14ac:dyDescent="0.2">
      <c r="A127" s="2"/>
    </row>
    <row r="128" spans="1:1" x14ac:dyDescent="0.2">
      <c r="A128" s="2"/>
    </row>
    <row r="129" spans="1:1" x14ac:dyDescent="0.2">
      <c r="A129" s="2"/>
    </row>
    <row r="130" spans="1:1" x14ac:dyDescent="0.2">
      <c r="A130" s="2"/>
    </row>
    <row r="131" spans="1:1" x14ac:dyDescent="0.2">
      <c r="A131" s="2"/>
    </row>
    <row r="132" spans="1:1" x14ac:dyDescent="0.2">
      <c r="A132" s="2"/>
    </row>
    <row r="133" spans="1:1" x14ac:dyDescent="0.2">
      <c r="A133" s="2"/>
    </row>
    <row r="134" spans="1:1" x14ac:dyDescent="0.2">
      <c r="A134" s="2"/>
    </row>
    <row r="135" spans="1:1" x14ac:dyDescent="0.2">
      <c r="A135" s="2"/>
    </row>
    <row r="136" spans="1:1" x14ac:dyDescent="0.2">
      <c r="A136" s="2"/>
    </row>
    <row r="137" spans="1:1" x14ac:dyDescent="0.2">
      <c r="A137" s="2"/>
    </row>
    <row r="138" spans="1:1" x14ac:dyDescent="0.2">
      <c r="A138" s="2"/>
    </row>
    <row r="139" spans="1:1" x14ac:dyDescent="0.2">
      <c r="A139" s="2"/>
    </row>
    <row r="140" spans="1:1" x14ac:dyDescent="0.2">
      <c r="A140" s="2"/>
    </row>
    <row r="141" spans="1:1" x14ac:dyDescent="0.2">
      <c r="A141" s="2"/>
    </row>
    <row r="142" spans="1:1" x14ac:dyDescent="0.2">
      <c r="A142" s="2"/>
    </row>
    <row r="143" spans="1:1" x14ac:dyDescent="0.2">
      <c r="A143" s="2"/>
    </row>
    <row r="144" spans="1:1" x14ac:dyDescent="0.2">
      <c r="A144" s="2"/>
    </row>
    <row r="145" spans="1:1" x14ac:dyDescent="0.2">
      <c r="A145" s="2"/>
    </row>
    <row r="146" spans="1:1" x14ac:dyDescent="0.2">
      <c r="A146" s="2"/>
    </row>
    <row r="147" spans="1:1" x14ac:dyDescent="0.2">
      <c r="A147" s="2"/>
    </row>
    <row r="148" spans="1:1" x14ac:dyDescent="0.2">
      <c r="A148" s="2"/>
    </row>
    <row r="149" spans="1:1" x14ac:dyDescent="0.2">
      <c r="A149" s="2"/>
    </row>
    <row r="150" spans="1:1" x14ac:dyDescent="0.2">
      <c r="A150" s="2"/>
    </row>
    <row r="151" spans="1:1" x14ac:dyDescent="0.2">
      <c r="A151" s="2"/>
    </row>
    <row r="152" spans="1:1" x14ac:dyDescent="0.2">
      <c r="A152" s="2"/>
    </row>
    <row r="153" spans="1:1" x14ac:dyDescent="0.2">
      <c r="A153" s="2"/>
    </row>
    <row r="154" spans="1:1" x14ac:dyDescent="0.2">
      <c r="A154" s="2"/>
    </row>
    <row r="155" spans="1:1" x14ac:dyDescent="0.2">
      <c r="A155" s="2"/>
    </row>
    <row r="156" spans="1:1" x14ac:dyDescent="0.2">
      <c r="A156" s="2"/>
    </row>
    <row r="157" spans="1:1" x14ac:dyDescent="0.2">
      <c r="A157" s="2"/>
    </row>
    <row r="158" spans="1:1" x14ac:dyDescent="0.2">
      <c r="A158" s="2"/>
    </row>
    <row r="159" spans="1:1" x14ac:dyDescent="0.2">
      <c r="A159" s="2"/>
    </row>
    <row r="160" spans="1:1" x14ac:dyDescent="0.2">
      <c r="A160" s="2"/>
    </row>
    <row r="161" spans="1:1" x14ac:dyDescent="0.2">
      <c r="A161" s="2"/>
    </row>
    <row r="162" spans="1:1" x14ac:dyDescent="0.2">
      <c r="A162" s="2"/>
    </row>
    <row r="163" spans="1:1" x14ac:dyDescent="0.2">
      <c r="A163" s="2"/>
    </row>
    <row r="164" spans="1:1" x14ac:dyDescent="0.2">
      <c r="A164" s="2"/>
    </row>
    <row r="165" spans="1:1" x14ac:dyDescent="0.2">
      <c r="A165" s="2"/>
    </row>
    <row r="166" spans="1:1" x14ac:dyDescent="0.2">
      <c r="A166" s="2"/>
    </row>
    <row r="167" spans="1:1" x14ac:dyDescent="0.2">
      <c r="A167" s="2"/>
    </row>
    <row r="168" spans="1:1" x14ac:dyDescent="0.2">
      <c r="A168" s="2"/>
    </row>
    <row r="169" spans="1:1" x14ac:dyDescent="0.2">
      <c r="A169" s="2"/>
    </row>
    <row r="170" spans="1:1" x14ac:dyDescent="0.2">
      <c r="A170" s="2"/>
    </row>
    <row r="171" spans="1:1" x14ac:dyDescent="0.2">
      <c r="A171" s="2"/>
    </row>
    <row r="172" spans="1:1" x14ac:dyDescent="0.2">
      <c r="A172" s="2"/>
    </row>
    <row r="173" spans="1:1" x14ac:dyDescent="0.2">
      <c r="A173" s="2"/>
    </row>
    <row r="174" spans="1:1" x14ac:dyDescent="0.2">
      <c r="A174" s="2"/>
    </row>
    <row r="175" spans="1:1" x14ac:dyDescent="0.2">
      <c r="A175" s="2"/>
    </row>
    <row r="176" spans="1:1" x14ac:dyDescent="0.2">
      <c r="A176" s="2"/>
    </row>
    <row r="177" spans="1:1" x14ac:dyDescent="0.2">
      <c r="A177" s="2"/>
    </row>
    <row r="178" spans="1:1" x14ac:dyDescent="0.2">
      <c r="A178" s="2"/>
    </row>
    <row r="179" spans="1:1" x14ac:dyDescent="0.2">
      <c r="A179" s="2"/>
    </row>
    <row r="180" spans="1:1" x14ac:dyDescent="0.2">
      <c r="A180" s="2"/>
    </row>
    <row r="181" spans="1:1" x14ac:dyDescent="0.2">
      <c r="A181" s="2"/>
    </row>
    <row r="182" spans="1:1" x14ac:dyDescent="0.2">
      <c r="A182" s="2"/>
    </row>
    <row r="183" spans="1:1" x14ac:dyDescent="0.2">
      <c r="A183" s="2"/>
    </row>
    <row r="184" spans="1:1" x14ac:dyDescent="0.2">
      <c r="A184" s="2"/>
    </row>
    <row r="185" spans="1:1" x14ac:dyDescent="0.2">
      <c r="A185" s="2"/>
    </row>
    <row r="186" spans="1:1" x14ac:dyDescent="0.2">
      <c r="A186" s="2"/>
    </row>
    <row r="187" spans="1:1" x14ac:dyDescent="0.2">
      <c r="A187" s="2"/>
    </row>
    <row r="188" spans="1:1" x14ac:dyDescent="0.2">
      <c r="A188" s="2"/>
    </row>
    <row r="189" spans="1:1" x14ac:dyDescent="0.2">
      <c r="A189" s="2"/>
    </row>
    <row r="190" spans="1:1" x14ac:dyDescent="0.2">
      <c r="A190" s="2"/>
    </row>
    <row r="191" spans="1:1" x14ac:dyDescent="0.2">
      <c r="A191" s="2"/>
    </row>
    <row r="192" spans="1:1" x14ac:dyDescent="0.2">
      <c r="A192" s="2"/>
    </row>
    <row r="193" spans="1:1" x14ac:dyDescent="0.2">
      <c r="A193" s="2"/>
    </row>
    <row r="194" spans="1:1" x14ac:dyDescent="0.2">
      <c r="A194" s="2"/>
    </row>
    <row r="195" spans="1:1" x14ac:dyDescent="0.2">
      <c r="A195" s="2"/>
    </row>
    <row r="196" spans="1:1" x14ac:dyDescent="0.2">
      <c r="A196" s="2"/>
    </row>
    <row r="197" spans="1:1" x14ac:dyDescent="0.2">
      <c r="A197" s="2"/>
    </row>
    <row r="198" spans="1:1" x14ac:dyDescent="0.2">
      <c r="A198" s="2"/>
    </row>
    <row r="199" spans="1:1" x14ac:dyDescent="0.2">
      <c r="A199" s="2"/>
    </row>
    <row r="200" spans="1:1" x14ac:dyDescent="0.2">
      <c r="A200" s="2"/>
    </row>
    <row r="201" spans="1:1" x14ac:dyDescent="0.2">
      <c r="A201" s="2"/>
    </row>
    <row r="202" spans="1:1" x14ac:dyDescent="0.2">
      <c r="A202" s="2"/>
    </row>
    <row r="203" spans="1:1" x14ac:dyDescent="0.2">
      <c r="A203" s="2"/>
    </row>
    <row r="204" spans="1:1" x14ac:dyDescent="0.2">
      <c r="A204" s="2"/>
    </row>
    <row r="205" spans="1:1" x14ac:dyDescent="0.2">
      <c r="A205" s="2"/>
    </row>
    <row r="206" spans="1:1" x14ac:dyDescent="0.2">
      <c r="A206" s="2"/>
    </row>
    <row r="207" spans="1:1" x14ac:dyDescent="0.2">
      <c r="A207" s="2"/>
    </row>
    <row r="208" spans="1:1" x14ac:dyDescent="0.2">
      <c r="A208" s="2"/>
    </row>
    <row r="209" spans="1:1" x14ac:dyDescent="0.2">
      <c r="A209" s="2"/>
    </row>
    <row r="210" spans="1:1" x14ac:dyDescent="0.2">
      <c r="A210" s="2"/>
    </row>
    <row r="211" spans="1:1" x14ac:dyDescent="0.2">
      <c r="A211" s="2"/>
    </row>
    <row r="212" spans="1:1" x14ac:dyDescent="0.2">
      <c r="A212" s="2"/>
    </row>
    <row r="213" spans="1:1" x14ac:dyDescent="0.2">
      <c r="A213" s="2"/>
    </row>
    <row r="214" spans="1:1" x14ac:dyDescent="0.2">
      <c r="A214" s="2"/>
    </row>
    <row r="215" spans="1:1" x14ac:dyDescent="0.2">
      <c r="A215" s="2"/>
    </row>
    <row r="216" spans="1:1" x14ac:dyDescent="0.2">
      <c r="A216" s="2"/>
    </row>
    <row r="217" spans="1:1" x14ac:dyDescent="0.2">
      <c r="A217" s="2"/>
    </row>
    <row r="218" spans="1:1" x14ac:dyDescent="0.2">
      <c r="A218" s="2"/>
    </row>
    <row r="219" spans="1:1" x14ac:dyDescent="0.2">
      <c r="A219" s="2"/>
    </row>
    <row r="220" spans="1:1" x14ac:dyDescent="0.2">
      <c r="A220" s="2"/>
    </row>
    <row r="221" spans="1:1" x14ac:dyDescent="0.2">
      <c r="A221" s="2"/>
    </row>
    <row r="222" spans="1:1" x14ac:dyDescent="0.2">
      <c r="A222" s="2"/>
    </row>
    <row r="223" spans="1:1" x14ac:dyDescent="0.2">
      <c r="A223" s="2"/>
    </row>
    <row r="224" spans="1:1" x14ac:dyDescent="0.2">
      <c r="A224" s="2"/>
    </row>
    <row r="225" spans="1:1" x14ac:dyDescent="0.2">
      <c r="A225" s="2"/>
    </row>
    <row r="226" spans="1:1" x14ac:dyDescent="0.2">
      <c r="A226" s="2"/>
    </row>
    <row r="227" spans="1:1" x14ac:dyDescent="0.2">
      <c r="A227" s="2"/>
    </row>
    <row r="228" spans="1:1" x14ac:dyDescent="0.2">
      <c r="A228" s="2"/>
    </row>
    <row r="229" spans="1:1" x14ac:dyDescent="0.2">
      <c r="A229" s="2"/>
    </row>
    <row r="230" spans="1:1" x14ac:dyDescent="0.2">
      <c r="A230" s="2"/>
    </row>
    <row r="231" spans="1:1" x14ac:dyDescent="0.2">
      <c r="A231" s="2"/>
    </row>
    <row r="232" spans="1:1" x14ac:dyDescent="0.2">
      <c r="A232" s="2"/>
    </row>
    <row r="233" spans="1:1" x14ac:dyDescent="0.2">
      <c r="A233" s="2"/>
    </row>
    <row r="234" spans="1:1" x14ac:dyDescent="0.2">
      <c r="A234" s="2"/>
    </row>
    <row r="235" spans="1:1" x14ac:dyDescent="0.2">
      <c r="A235" s="2"/>
    </row>
    <row r="236" spans="1:1" x14ac:dyDescent="0.2">
      <c r="A236" s="2"/>
    </row>
    <row r="237" spans="1:1" x14ac:dyDescent="0.2">
      <c r="A237" s="2"/>
    </row>
    <row r="238" spans="1:1" x14ac:dyDescent="0.2">
      <c r="A238" s="2"/>
    </row>
    <row r="239" spans="1:1" x14ac:dyDescent="0.2">
      <c r="A239" s="2"/>
    </row>
    <row r="240" spans="1:1" x14ac:dyDescent="0.2">
      <c r="A240" s="2"/>
    </row>
    <row r="241" spans="1:1" x14ac:dyDescent="0.2">
      <c r="A241" s="2"/>
    </row>
    <row r="242" spans="1:1" x14ac:dyDescent="0.2">
      <c r="A242" s="2"/>
    </row>
    <row r="243" spans="1:1" x14ac:dyDescent="0.2">
      <c r="A243" s="2"/>
    </row>
    <row r="244" spans="1:1" x14ac:dyDescent="0.2">
      <c r="A244" s="2"/>
    </row>
    <row r="245" spans="1:1" x14ac:dyDescent="0.2">
      <c r="A245" s="2"/>
    </row>
    <row r="246" spans="1:1" x14ac:dyDescent="0.2">
      <c r="A246" s="2"/>
    </row>
    <row r="247" spans="1:1" x14ac:dyDescent="0.2">
      <c r="A247" s="2"/>
    </row>
    <row r="248" spans="1:1" x14ac:dyDescent="0.2">
      <c r="A248" s="2"/>
    </row>
    <row r="249" spans="1:1" x14ac:dyDescent="0.2">
      <c r="A249" s="2"/>
    </row>
    <row r="250" spans="1:1" x14ac:dyDescent="0.2">
      <c r="A250" s="2"/>
    </row>
    <row r="251" spans="1:1" x14ac:dyDescent="0.2">
      <c r="A251" s="2"/>
    </row>
    <row r="252" spans="1:1" x14ac:dyDescent="0.2">
      <c r="A252" s="2"/>
    </row>
    <row r="253" spans="1:1" x14ac:dyDescent="0.2">
      <c r="A253" s="2"/>
    </row>
    <row r="254" spans="1:1" x14ac:dyDescent="0.2">
      <c r="A254" s="2"/>
    </row>
    <row r="255" spans="1:1" x14ac:dyDescent="0.2">
      <c r="A255" s="2"/>
    </row>
    <row r="256" spans="1:1" x14ac:dyDescent="0.2">
      <c r="A256" s="2"/>
    </row>
    <row r="257" spans="1:1" x14ac:dyDescent="0.2">
      <c r="A257" s="2"/>
    </row>
    <row r="258" spans="1:1" x14ac:dyDescent="0.2">
      <c r="A258" s="2"/>
    </row>
    <row r="259" spans="1:1" x14ac:dyDescent="0.2">
      <c r="A259" s="2"/>
    </row>
    <row r="260" spans="1:1" x14ac:dyDescent="0.2">
      <c r="A260" s="2"/>
    </row>
    <row r="261" spans="1:1" x14ac:dyDescent="0.2">
      <c r="A261" s="2"/>
    </row>
    <row r="262" spans="1:1" x14ac:dyDescent="0.2">
      <c r="A262" s="2"/>
    </row>
    <row r="263" spans="1:1" x14ac:dyDescent="0.2">
      <c r="A263" s="2"/>
    </row>
    <row r="264" spans="1:1" x14ac:dyDescent="0.2">
      <c r="A264" s="2"/>
    </row>
    <row r="265" spans="1:1" x14ac:dyDescent="0.2">
      <c r="A265" s="2"/>
    </row>
    <row r="266" spans="1:1" x14ac:dyDescent="0.2">
      <c r="A266" s="2"/>
    </row>
    <row r="267" spans="1:1" x14ac:dyDescent="0.2">
      <c r="A267" s="2"/>
    </row>
    <row r="268" spans="1:1" x14ac:dyDescent="0.2">
      <c r="A268" s="2"/>
    </row>
    <row r="269" spans="1:1" x14ac:dyDescent="0.2">
      <c r="A269" s="2"/>
    </row>
    <row r="270" spans="1:1" x14ac:dyDescent="0.2">
      <c r="A270" s="2"/>
    </row>
    <row r="271" spans="1:1" x14ac:dyDescent="0.2">
      <c r="A271" s="2"/>
    </row>
    <row r="272" spans="1:1" x14ac:dyDescent="0.2">
      <c r="A272" s="2"/>
    </row>
    <row r="273" spans="1:1" x14ac:dyDescent="0.2">
      <c r="A273" s="2"/>
    </row>
    <row r="274" spans="1:1" x14ac:dyDescent="0.2">
      <c r="A274" s="2"/>
    </row>
    <row r="275" spans="1:1" x14ac:dyDescent="0.2">
      <c r="A275" s="2"/>
    </row>
    <row r="276" spans="1:1" x14ac:dyDescent="0.2">
      <c r="A276" s="2"/>
    </row>
    <row r="277" spans="1:1" x14ac:dyDescent="0.2">
      <c r="A277" s="2"/>
    </row>
    <row r="278" spans="1:1" x14ac:dyDescent="0.2">
      <c r="A278" s="2"/>
    </row>
    <row r="279" spans="1:1" x14ac:dyDescent="0.2">
      <c r="A279" s="2"/>
    </row>
    <row r="280" spans="1:1" x14ac:dyDescent="0.2">
      <c r="A280" s="2"/>
    </row>
    <row r="281" spans="1:1" x14ac:dyDescent="0.2">
      <c r="A281" s="2"/>
    </row>
    <row r="282" spans="1:1" x14ac:dyDescent="0.2">
      <c r="A282" s="2"/>
    </row>
    <row r="283" spans="1:1" x14ac:dyDescent="0.2">
      <c r="A283" s="2"/>
    </row>
    <row r="284" spans="1:1" x14ac:dyDescent="0.2">
      <c r="A284" s="2"/>
    </row>
    <row r="285" spans="1:1" x14ac:dyDescent="0.2">
      <c r="A285" s="2"/>
    </row>
    <row r="286" spans="1:1" x14ac:dyDescent="0.2">
      <c r="A286" s="2"/>
    </row>
    <row r="287" spans="1:1" x14ac:dyDescent="0.2">
      <c r="A287" s="2"/>
    </row>
    <row r="288" spans="1:1" x14ac:dyDescent="0.2">
      <c r="A288" s="2"/>
    </row>
    <row r="289" spans="1:1" x14ac:dyDescent="0.2">
      <c r="A289" s="2"/>
    </row>
    <row r="290" spans="1:1" x14ac:dyDescent="0.2">
      <c r="A290" s="2"/>
    </row>
    <row r="291" spans="1:1" x14ac:dyDescent="0.2">
      <c r="A291" s="2"/>
    </row>
    <row r="292" spans="1:1" x14ac:dyDescent="0.2">
      <c r="A292" s="2"/>
    </row>
    <row r="293" spans="1:1" x14ac:dyDescent="0.2">
      <c r="A293" s="2"/>
    </row>
    <row r="294" spans="1:1" x14ac:dyDescent="0.2">
      <c r="A294" s="2"/>
    </row>
    <row r="295" spans="1:1" x14ac:dyDescent="0.2">
      <c r="A295" s="2"/>
    </row>
    <row r="296" spans="1:1" x14ac:dyDescent="0.2">
      <c r="A296" s="2"/>
    </row>
    <row r="297" spans="1:1" x14ac:dyDescent="0.2">
      <c r="A297" s="2"/>
    </row>
    <row r="298" spans="1:1" x14ac:dyDescent="0.2">
      <c r="A298" s="2"/>
    </row>
    <row r="299" spans="1:1" x14ac:dyDescent="0.2">
      <c r="A299" s="2"/>
    </row>
    <row r="300" spans="1:1" x14ac:dyDescent="0.2">
      <c r="A300" s="2"/>
    </row>
    <row r="301" spans="1:1" x14ac:dyDescent="0.2">
      <c r="A301" s="2"/>
    </row>
    <row r="302" spans="1:1" x14ac:dyDescent="0.2">
      <c r="A302" s="2"/>
    </row>
    <row r="303" spans="1:1" x14ac:dyDescent="0.2">
      <c r="A303" s="2"/>
    </row>
    <row r="304" spans="1:1" x14ac:dyDescent="0.2">
      <c r="A304" s="2"/>
    </row>
    <row r="305" spans="1:1" x14ac:dyDescent="0.2">
      <c r="A305" s="2"/>
    </row>
    <row r="306" spans="1:1" x14ac:dyDescent="0.2">
      <c r="A306" s="2"/>
    </row>
    <row r="307" spans="1:1" x14ac:dyDescent="0.2">
      <c r="A307" s="2"/>
    </row>
    <row r="308" spans="1:1" x14ac:dyDescent="0.2">
      <c r="A308" s="2"/>
    </row>
    <row r="309" spans="1:1" x14ac:dyDescent="0.2">
      <c r="A309" s="2"/>
    </row>
    <row r="310" spans="1:1" x14ac:dyDescent="0.2">
      <c r="A310" s="2"/>
    </row>
    <row r="311" spans="1:1" x14ac:dyDescent="0.2">
      <c r="A311" s="2"/>
    </row>
    <row r="312" spans="1:1" x14ac:dyDescent="0.2">
      <c r="A312" s="2"/>
    </row>
    <row r="313" spans="1:1" x14ac:dyDescent="0.2">
      <c r="A313" s="2"/>
    </row>
    <row r="314" spans="1:1" x14ac:dyDescent="0.2">
      <c r="A314" s="2"/>
    </row>
    <row r="315" spans="1:1" x14ac:dyDescent="0.2">
      <c r="A315" s="2"/>
    </row>
    <row r="316" spans="1:1" x14ac:dyDescent="0.2">
      <c r="A316" s="2"/>
    </row>
    <row r="317" spans="1:1" x14ac:dyDescent="0.2">
      <c r="A317" s="2"/>
    </row>
    <row r="318" spans="1:1" x14ac:dyDescent="0.2">
      <c r="A318" s="2"/>
    </row>
    <row r="319" spans="1:1" x14ac:dyDescent="0.2">
      <c r="A319" s="2"/>
    </row>
    <row r="320" spans="1:1" x14ac:dyDescent="0.2">
      <c r="A320" s="2"/>
    </row>
    <row r="321" spans="1:1" x14ac:dyDescent="0.2">
      <c r="A321" s="2"/>
    </row>
    <row r="322" spans="1:1" x14ac:dyDescent="0.2">
      <c r="A322" s="2"/>
    </row>
    <row r="323" spans="1:1" x14ac:dyDescent="0.2">
      <c r="A323" s="2"/>
    </row>
    <row r="324" spans="1:1" x14ac:dyDescent="0.2">
      <c r="A324" s="2"/>
    </row>
    <row r="325" spans="1:1" x14ac:dyDescent="0.2">
      <c r="A325" s="2"/>
    </row>
    <row r="326" spans="1:1" x14ac:dyDescent="0.2">
      <c r="A326" s="2"/>
    </row>
    <row r="327" spans="1:1" x14ac:dyDescent="0.2">
      <c r="A327" s="2"/>
    </row>
    <row r="328" spans="1:1" x14ac:dyDescent="0.2">
      <c r="A328" s="2"/>
    </row>
    <row r="329" spans="1:1" x14ac:dyDescent="0.2">
      <c r="A329" s="2"/>
    </row>
    <row r="330" spans="1:1" x14ac:dyDescent="0.2">
      <c r="A330" s="2"/>
    </row>
    <row r="331" spans="1:1" x14ac:dyDescent="0.2">
      <c r="A331" s="2"/>
    </row>
    <row r="332" spans="1:1" x14ac:dyDescent="0.2">
      <c r="A332" s="2"/>
    </row>
    <row r="333" spans="1:1" x14ac:dyDescent="0.2">
      <c r="A333" s="2"/>
    </row>
    <row r="334" spans="1:1" x14ac:dyDescent="0.2">
      <c r="A334" s="2"/>
    </row>
    <row r="335" spans="1:1" x14ac:dyDescent="0.2">
      <c r="A335" s="2"/>
    </row>
    <row r="336" spans="1:1" x14ac:dyDescent="0.2">
      <c r="A336" s="2"/>
    </row>
    <row r="337" spans="1:1" x14ac:dyDescent="0.2">
      <c r="A337" s="2"/>
    </row>
    <row r="338" spans="1:1" x14ac:dyDescent="0.2">
      <c r="A338" s="2"/>
    </row>
    <row r="339" spans="1:1" x14ac:dyDescent="0.2">
      <c r="A339" s="2"/>
    </row>
    <row r="340" spans="1:1" x14ac:dyDescent="0.2">
      <c r="A340" s="2"/>
    </row>
    <row r="341" spans="1:1" x14ac:dyDescent="0.2">
      <c r="A341" s="2"/>
    </row>
    <row r="342" spans="1:1" x14ac:dyDescent="0.2">
      <c r="A342" s="2"/>
    </row>
    <row r="343" spans="1:1" x14ac:dyDescent="0.2">
      <c r="A343" s="2"/>
    </row>
    <row r="344" spans="1:1" x14ac:dyDescent="0.2">
      <c r="A344" s="2"/>
    </row>
    <row r="345" spans="1:1" x14ac:dyDescent="0.2">
      <c r="A345" s="2"/>
    </row>
    <row r="346" spans="1:1" x14ac:dyDescent="0.2">
      <c r="A346" s="2"/>
    </row>
    <row r="347" spans="1:1" x14ac:dyDescent="0.2">
      <c r="A347" s="2"/>
    </row>
    <row r="348" spans="1:1" x14ac:dyDescent="0.2">
      <c r="A348" s="2"/>
    </row>
    <row r="349" spans="1:1" x14ac:dyDescent="0.2">
      <c r="A349" s="2"/>
    </row>
    <row r="350" spans="1:1" x14ac:dyDescent="0.2">
      <c r="A350" s="2"/>
    </row>
    <row r="351" spans="1:1" x14ac:dyDescent="0.2">
      <c r="A351" s="2"/>
    </row>
    <row r="352" spans="1:1" x14ac:dyDescent="0.2">
      <c r="A352" s="2"/>
    </row>
    <row r="353" spans="1:1" x14ac:dyDescent="0.2">
      <c r="A353" s="2"/>
    </row>
    <row r="354" spans="1:1" x14ac:dyDescent="0.2">
      <c r="A354" s="2"/>
    </row>
    <row r="355" spans="1:1" x14ac:dyDescent="0.2">
      <c r="A355" s="2"/>
    </row>
    <row r="356" spans="1:1" x14ac:dyDescent="0.2">
      <c r="A356" s="2"/>
    </row>
    <row r="357" spans="1:1" x14ac:dyDescent="0.2">
      <c r="A357" s="2"/>
    </row>
    <row r="358" spans="1:1" x14ac:dyDescent="0.2">
      <c r="A358" s="2"/>
    </row>
    <row r="359" spans="1:1" x14ac:dyDescent="0.2">
      <c r="A359" s="2"/>
    </row>
    <row r="360" spans="1:1" x14ac:dyDescent="0.2">
      <c r="A360" s="2"/>
    </row>
    <row r="361" spans="1:1" x14ac:dyDescent="0.2">
      <c r="A361" s="2"/>
    </row>
    <row r="362" spans="1:1" x14ac:dyDescent="0.2">
      <c r="A362" s="2"/>
    </row>
    <row r="363" spans="1:1" x14ac:dyDescent="0.2">
      <c r="A363" s="2"/>
    </row>
    <row r="364" spans="1:1" x14ac:dyDescent="0.2">
      <c r="A364" s="2"/>
    </row>
    <row r="365" spans="1:1" x14ac:dyDescent="0.2">
      <c r="A365" s="2"/>
    </row>
    <row r="366" spans="1:1" x14ac:dyDescent="0.2">
      <c r="A366" s="2"/>
    </row>
    <row r="367" spans="1:1" x14ac:dyDescent="0.2">
      <c r="A367" s="2"/>
    </row>
    <row r="368" spans="1:1" x14ac:dyDescent="0.2">
      <c r="A368" s="2"/>
    </row>
    <row r="369" spans="1:1" x14ac:dyDescent="0.2">
      <c r="A369" s="2"/>
    </row>
    <row r="370" spans="1:1" x14ac:dyDescent="0.2">
      <c r="A370" s="2"/>
    </row>
    <row r="371" spans="1:1" x14ac:dyDescent="0.2">
      <c r="A371" s="2"/>
    </row>
    <row r="372" spans="1:1" x14ac:dyDescent="0.2">
      <c r="A372" s="2"/>
    </row>
    <row r="373" spans="1:1" x14ac:dyDescent="0.2">
      <c r="A373" s="2"/>
    </row>
    <row r="374" spans="1:1" x14ac:dyDescent="0.2">
      <c r="A374" s="2"/>
    </row>
    <row r="375" spans="1:1" x14ac:dyDescent="0.2">
      <c r="A375" s="2"/>
    </row>
    <row r="376" spans="1:1" x14ac:dyDescent="0.2">
      <c r="A376" s="2"/>
    </row>
    <row r="377" spans="1:1" x14ac:dyDescent="0.2">
      <c r="A377" s="2"/>
    </row>
    <row r="378" spans="1:1" x14ac:dyDescent="0.2">
      <c r="A378" s="2"/>
    </row>
    <row r="379" spans="1:1" x14ac:dyDescent="0.2">
      <c r="A379" s="2"/>
    </row>
    <row r="380" spans="1:1" x14ac:dyDescent="0.2">
      <c r="A380" s="2"/>
    </row>
    <row r="381" spans="1:1" x14ac:dyDescent="0.2">
      <c r="A381" s="2"/>
    </row>
    <row r="382" spans="1:1" x14ac:dyDescent="0.2">
      <c r="A382" s="2"/>
    </row>
    <row r="383" spans="1:1" x14ac:dyDescent="0.2">
      <c r="A383" s="2"/>
    </row>
    <row r="384" spans="1:1" x14ac:dyDescent="0.2">
      <c r="A384" s="2"/>
    </row>
    <row r="385" spans="1:1" x14ac:dyDescent="0.2">
      <c r="A385" s="2"/>
    </row>
    <row r="386" spans="1:1" x14ac:dyDescent="0.2">
      <c r="A386" s="2"/>
    </row>
    <row r="387" spans="1:1" x14ac:dyDescent="0.2">
      <c r="A387" s="2"/>
    </row>
    <row r="388" spans="1:1" x14ac:dyDescent="0.2">
      <c r="A388" s="2"/>
    </row>
    <row r="389" spans="1:1" x14ac:dyDescent="0.2">
      <c r="A389" s="2"/>
    </row>
    <row r="390" spans="1:1" x14ac:dyDescent="0.2">
      <c r="A390" s="2"/>
    </row>
    <row r="391" spans="1:1" x14ac:dyDescent="0.2">
      <c r="A391" s="2"/>
    </row>
    <row r="392" spans="1:1" x14ac:dyDescent="0.2">
      <c r="A392" s="2"/>
    </row>
    <row r="393" spans="1:1" x14ac:dyDescent="0.2">
      <c r="A393" s="2"/>
    </row>
    <row r="394" spans="1:1" x14ac:dyDescent="0.2">
      <c r="A394" s="2"/>
    </row>
    <row r="395" spans="1:1" x14ac:dyDescent="0.2">
      <c r="A395" s="2"/>
    </row>
    <row r="396" spans="1:1" x14ac:dyDescent="0.2">
      <c r="A396" s="2"/>
    </row>
    <row r="397" spans="1:1" x14ac:dyDescent="0.2">
      <c r="A397" s="2"/>
    </row>
    <row r="398" spans="1:1" x14ac:dyDescent="0.2">
      <c r="A398" s="2"/>
    </row>
    <row r="399" spans="1:1" x14ac:dyDescent="0.2">
      <c r="A399" s="2"/>
    </row>
    <row r="400" spans="1:1" x14ac:dyDescent="0.2">
      <c r="A400" s="2"/>
    </row>
    <row r="401" spans="1:1" x14ac:dyDescent="0.2">
      <c r="A401" s="2"/>
    </row>
    <row r="402" spans="1:1" x14ac:dyDescent="0.2">
      <c r="A402" s="2"/>
    </row>
    <row r="403" spans="1:1" x14ac:dyDescent="0.2">
      <c r="A403" s="2"/>
    </row>
    <row r="404" spans="1:1" x14ac:dyDescent="0.2">
      <c r="A404" s="2"/>
    </row>
    <row r="405" spans="1:1" x14ac:dyDescent="0.2">
      <c r="A405" s="2"/>
    </row>
    <row r="406" spans="1:1" x14ac:dyDescent="0.2">
      <c r="A406" s="2"/>
    </row>
    <row r="407" spans="1:1" x14ac:dyDescent="0.2">
      <c r="A407" s="2"/>
    </row>
    <row r="408" spans="1:1" x14ac:dyDescent="0.2">
      <c r="A408" s="2"/>
    </row>
    <row r="409" spans="1:1" x14ac:dyDescent="0.2">
      <c r="A409" s="2"/>
    </row>
    <row r="410" spans="1:1" x14ac:dyDescent="0.2">
      <c r="A410" s="2"/>
    </row>
    <row r="411" spans="1:1" x14ac:dyDescent="0.2">
      <c r="A411" s="2"/>
    </row>
    <row r="412" spans="1:1" x14ac:dyDescent="0.2">
      <c r="A412" s="2"/>
    </row>
    <row r="413" spans="1:1" x14ac:dyDescent="0.2">
      <c r="A413" s="2"/>
    </row>
    <row r="414" spans="1:1" x14ac:dyDescent="0.2">
      <c r="A414" s="2"/>
    </row>
    <row r="415" spans="1:1" x14ac:dyDescent="0.2">
      <c r="A415" s="2"/>
    </row>
    <row r="416" spans="1:1" x14ac:dyDescent="0.2">
      <c r="A416" s="2"/>
    </row>
    <row r="417" spans="1:1" x14ac:dyDescent="0.2">
      <c r="A417" s="2"/>
    </row>
    <row r="418" spans="1:1" x14ac:dyDescent="0.2">
      <c r="A418" s="2"/>
    </row>
    <row r="419" spans="1:1" x14ac:dyDescent="0.2">
      <c r="A419" s="2"/>
    </row>
    <row r="420" spans="1:1" x14ac:dyDescent="0.2">
      <c r="A420" s="2"/>
    </row>
    <row r="421" spans="1:1" x14ac:dyDescent="0.2">
      <c r="A421" s="2"/>
    </row>
    <row r="422" spans="1:1" x14ac:dyDescent="0.2">
      <c r="A422" s="2"/>
    </row>
    <row r="423" spans="1:1" x14ac:dyDescent="0.2">
      <c r="A423" s="2"/>
    </row>
    <row r="424" spans="1:1" x14ac:dyDescent="0.2">
      <c r="A424" s="2"/>
    </row>
    <row r="425" spans="1:1" x14ac:dyDescent="0.2">
      <c r="A425" s="2"/>
    </row>
    <row r="426" spans="1:1" x14ac:dyDescent="0.2">
      <c r="A426" s="2"/>
    </row>
    <row r="427" spans="1:1" x14ac:dyDescent="0.2">
      <c r="A427" s="2"/>
    </row>
    <row r="428" spans="1:1" x14ac:dyDescent="0.2">
      <c r="A428" s="2"/>
    </row>
    <row r="429" spans="1:1" x14ac:dyDescent="0.2">
      <c r="A429" s="2"/>
    </row>
    <row r="430" spans="1:1" x14ac:dyDescent="0.2">
      <c r="A430" s="2"/>
    </row>
    <row r="431" spans="1:1" x14ac:dyDescent="0.2">
      <c r="A431" s="2"/>
    </row>
    <row r="432" spans="1:1" x14ac:dyDescent="0.2">
      <c r="A432" s="2"/>
    </row>
    <row r="433" spans="1:1" x14ac:dyDescent="0.2">
      <c r="A433" s="2"/>
    </row>
    <row r="434" spans="1:1" x14ac:dyDescent="0.2">
      <c r="A434" s="2"/>
    </row>
    <row r="435" spans="1:1" x14ac:dyDescent="0.2">
      <c r="A435" s="2"/>
    </row>
    <row r="436" spans="1:1" x14ac:dyDescent="0.2">
      <c r="A436" s="2"/>
    </row>
    <row r="437" spans="1:1" x14ac:dyDescent="0.2">
      <c r="A437" s="2"/>
    </row>
    <row r="438" spans="1:1" x14ac:dyDescent="0.2">
      <c r="A438" s="2"/>
    </row>
    <row r="439" spans="1:1" x14ac:dyDescent="0.2">
      <c r="A439" s="2"/>
    </row>
    <row r="440" spans="1:1" x14ac:dyDescent="0.2">
      <c r="A440" s="2"/>
    </row>
    <row r="441" spans="1:1" x14ac:dyDescent="0.2">
      <c r="A441" s="2"/>
    </row>
    <row r="442" spans="1:1" x14ac:dyDescent="0.2">
      <c r="A442" s="2"/>
    </row>
    <row r="443" spans="1:1" x14ac:dyDescent="0.2">
      <c r="A443" s="2"/>
    </row>
    <row r="444" spans="1:1" x14ac:dyDescent="0.2">
      <c r="A444" s="2"/>
    </row>
    <row r="445" spans="1:1" x14ac:dyDescent="0.2">
      <c r="A445" s="2"/>
    </row>
    <row r="446" spans="1:1" x14ac:dyDescent="0.2">
      <c r="A446" s="2"/>
    </row>
    <row r="447" spans="1:1" x14ac:dyDescent="0.2">
      <c r="A447" s="2"/>
    </row>
    <row r="448" spans="1:1" x14ac:dyDescent="0.2">
      <c r="A448" s="2"/>
    </row>
    <row r="449" spans="1:1" x14ac:dyDescent="0.2">
      <c r="A449" s="2"/>
    </row>
    <row r="450" spans="1:1" x14ac:dyDescent="0.2">
      <c r="A450" s="2"/>
    </row>
    <row r="451" spans="1:1" x14ac:dyDescent="0.2">
      <c r="A451" s="2"/>
    </row>
    <row r="452" spans="1:1" x14ac:dyDescent="0.2">
      <c r="A452" s="2"/>
    </row>
    <row r="453" spans="1:1" x14ac:dyDescent="0.2">
      <c r="A453" s="2"/>
    </row>
    <row r="454" spans="1:1" x14ac:dyDescent="0.2">
      <c r="A454" s="2"/>
    </row>
    <row r="455" spans="1:1" x14ac:dyDescent="0.2">
      <c r="A455" s="2"/>
    </row>
    <row r="456" spans="1:1" x14ac:dyDescent="0.2">
      <c r="A456" s="2"/>
    </row>
    <row r="457" spans="1:1" x14ac:dyDescent="0.2">
      <c r="A457" s="2"/>
    </row>
    <row r="458" spans="1:1" x14ac:dyDescent="0.2">
      <c r="A458" s="2"/>
    </row>
    <row r="459" spans="1:1" x14ac:dyDescent="0.2">
      <c r="A459" s="2"/>
    </row>
    <row r="460" spans="1:1" x14ac:dyDescent="0.2">
      <c r="A460" s="2"/>
    </row>
    <row r="461" spans="1:1" x14ac:dyDescent="0.2">
      <c r="A461" s="2"/>
    </row>
    <row r="462" spans="1:1" x14ac:dyDescent="0.2">
      <c r="A462" s="2"/>
    </row>
    <row r="463" spans="1:1" x14ac:dyDescent="0.2">
      <c r="A463" s="2"/>
    </row>
    <row r="464" spans="1:1" x14ac:dyDescent="0.2">
      <c r="A464" s="2"/>
    </row>
    <row r="465" spans="1:1" x14ac:dyDescent="0.2">
      <c r="A465" s="2"/>
    </row>
    <row r="466" spans="1:1" x14ac:dyDescent="0.2">
      <c r="A466" s="2"/>
    </row>
    <row r="467" spans="1:1" x14ac:dyDescent="0.2">
      <c r="A467" s="2"/>
    </row>
    <row r="468" spans="1:1" x14ac:dyDescent="0.2">
      <c r="A468" s="2"/>
    </row>
    <row r="469" spans="1:1" x14ac:dyDescent="0.2">
      <c r="A469" s="2"/>
    </row>
    <row r="470" spans="1:1" x14ac:dyDescent="0.2">
      <c r="A470" s="2"/>
    </row>
    <row r="471" spans="1:1" x14ac:dyDescent="0.2">
      <c r="A471" s="2"/>
    </row>
    <row r="472" spans="1:1" x14ac:dyDescent="0.2">
      <c r="A472" s="2"/>
    </row>
    <row r="473" spans="1:1" x14ac:dyDescent="0.2">
      <c r="A473" s="2"/>
    </row>
    <row r="474" spans="1:1" x14ac:dyDescent="0.2">
      <c r="A474" s="2"/>
    </row>
    <row r="475" spans="1:1" x14ac:dyDescent="0.2">
      <c r="A475" s="2"/>
    </row>
    <row r="476" spans="1:1" x14ac:dyDescent="0.2">
      <c r="A476" s="2"/>
    </row>
    <row r="477" spans="1:1" x14ac:dyDescent="0.2">
      <c r="A477" s="2"/>
    </row>
    <row r="478" spans="1:1" x14ac:dyDescent="0.2">
      <c r="A478" s="2"/>
    </row>
    <row r="479" spans="1:1" x14ac:dyDescent="0.2">
      <c r="A479" s="2"/>
    </row>
    <row r="480" spans="1:1" x14ac:dyDescent="0.2">
      <c r="A480" s="2"/>
    </row>
    <row r="481" spans="1:1" x14ac:dyDescent="0.2">
      <c r="A481" s="2"/>
    </row>
    <row r="482" spans="1:1" x14ac:dyDescent="0.2">
      <c r="A482" s="2"/>
    </row>
    <row r="483" spans="1:1" x14ac:dyDescent="0.2">
      <c r="A483" s="2"/>
    </row>
    <row r="484" spans="1:1" x14ac:dyDescent="0.2">
      <c r="A484" s="2"/>
    </row>
    <row r="485" spans="1:1" x14ac:dyDescent="0.2">
      <c r="A485" s="2"/>
    </row>
    <row r="486" spans="1:1" x14ac:dyDescent="0.2">
      <c r="A486" s="2"/>
    </row>
    <row r="487" spans="1:1" x14ac:dyDescent="0.2">
      <c r="A487" s="2"/>
    </row>
    <row r="488" spans="1:1" x14ac:dyDescent="0.2">
      <c r="A488" s="2"/>
    </row>
    <row r="489" spans="1:1" x14ac:dyDescent="0.2">
      <c r="A489" s="2"/>
    </row>
    <row r="490" spans="1:1" x14ac:dyDescent="0.2">
      <c r="A490" s="2"/>
    </row>
    <row r="491" spans="1:1" x14ac:dyDescent="0.2">
      <c r="A491" s="2"/>
    </row>
    <row r="492" spans="1:1" x14ac:dyDescent="0.2">
      <c r="A492" s="2"/>
    </row>
    <row r="493" spans="1:1" x14ac:dyDescent="0.2">
      <c r="A493" s="2"/>
    </row>
    <row r="494" spans="1:1" x14ac:dyDescent="0.2">
      <c r="A494" s="2"/>
    </row>
    <row r="495" spans="1:1" x14ac:dyDescent="0.2">
      <c r="A495" s="2"/>
    </row>
    <row r="496" spans="1:1" x14ac:dyDescent="0.2">
      <c r="A496" s="2"/>
    </row>
    <row r="497" spans="1:1" x14ac:dyDescent="0.2">
      <c r="A497" s="2"/>
    </row>
    <row r="498" spans="1:1" x14ac:dyDescent="0.2">
      <c r="A498" s="2"/>
    </row>
    <row r="499" spans="1:1" x14ac:dyDescent="0.2">
      <c r="A499" s="2"/>
    </row>
    <row r="500" spans="1:1" x14ac:dyDescent="0.2">
      <c r="A500" s="2"/>
    </row>
    <row r="501" spans="1:1" x14ac:dyDescent="0.2">
      <c r="A501" s="2"/>
    </row>
    <row r="502" spans="1:1" x14ac:dyDescent="0.2">
      <c r="A502" s="2"/>
    </row>
    <row r="503" spans="1:1" x14ac:dyDescent="0.2">
      <c r="A503" s="2"/>
    </row>
    <row r="504" spans="1:1" x14ac:dyDescent="0.2">
      <c r="A504" s="2"/>
    </row>
    <row r="505" spans="1:1" x14ac:dyDescent="0.2">
      <c r="A505" s="2"/>
    </row>
    <row r="506" spans="1:1" x14ac:dyDescent="0.2">
      <c r="A506" s="2"/>
    </row>
    <row r="507" spans="1:1" x14ac:dyDescent="0.2">
      <c r="A507" s="2"/>
    </row>
    <row r="508" spans="1:1" x14ac:dyDescent="0.2">
      <c r="A508" s="2"/>
    </row>
    <row r="509" spans="1:1" x14ac:dyDescent="0.2">
      <c r="A509" s="2"/>
    </row>
    <row r="510" spans="1:1" x14ac:dyDescent="0.2">
      <c r="A510" s="2"/>
    </row>
    <row r="511" spans="1:1" x14ac:dyDescent="0.2">
      <c r="A511" s="2"/>
    </row>
    <row r="512" spans="1:1" x14ac:dyDescent="0.2">
      <c r="A512" s="2"/>
    </row>
    <row r="513" spans="1:1" x14ac:dyDescent="0.2">
      <c r="A513" s="2"/>
    </row>
    <row r="514" spans="1:1" x14ac:dyDescent="0.2">
      <c r="A514" s="2"/>
    </row>
    <row r="515" spans="1:1" x14ac:dyDescent="0.2">
      <c r="A515" s="2"/>
    </row>
    <row r="516" spans="1:1" x14ac:dyDescent="0.2">
      <c r="A516" s="2"/>
    </row>
    <row r="517" spans="1:1" x14ac:dyDescent="0.2">
      <c r="A517" s="2"/>
    </row>
    <row r="518" spans="1:1" x14ac:dyDescent="0.2">
      <c r="A518" s="2"/>
    </row>
    <row r="519" spans="1:1" x14ac:dyDescent="0.2">
      <c r="A519" s="2"/>
    </row>
    <row r="520" spans="1:1" x14ac:dyDescent="0.2">
      <c r="A520" s="2"/>
    </row>
    <row r="521" spans="1:1" x14ac:dyDescent="0.2">
      <c r="A521" s="2"/>
    </row>
    <row r="522" spans="1:1" x14ac:dyDescent="0.2">
      <c r="A522" s="2"/>
    </row>
    <row r="523" spans="1:1" x14ac:dyDescent="0.2">
      <c r="A523" s="2"/>
    </row>
    <row r="524" spans="1:1" x14ac:dyDescent="0.2">
      <c r="A524" s="2"/>
    </row>
    <row r="525" spans="1:1" x14ac:dyDescent="0.2">
      <c r="A525" s="2"/>
    </row>
    <row r="526" spans="1:1" x14ac:dyDescent="0.2">
      <c r="A526" s="2"/>
    </row>
    <row r="527" spans="1:1" x14ac:dyDescent="0.2">
      <c r="A527" s="2"/>
    </row>
    <row r="528" spans="1:1" x14ac:dyDescent="0.2">
      <c r="A528" s="2"/>
    </row>
    <row r="529" spans="1:1" x14ac:dyDescent="0.2">
      <c r="A529" s="2"/>
    </row>
    <row r="530" spans="1:1" x14ac:dyDescent="0.2">
      <c r="A530" s="2"/>
    </row>
    <row r="531" spans="1:1" x14ac:dyDescent="0.2">
      <c r="A531" s="2"/>
    </row>
    <row r="532" spans="1:1" x14ac:dyDescent="0.2">
      <c r="A532" s="2"/>
    </row>
    <row r="533" spans="1:1" x14ac:dyDescent="0.2">
      <c r="A533" s="2"/>
    </row>
    <row r="534" spans="1:1" x14ac:dyDescent="0.2">
      <c r="A534" s="2"/>
    </row>
    <row r="535" spans="1:1" x14ac:dyDescent="0.2">
      <c r="A535" s="2"/>
    </row>
    <row r="536" spans="1:1" x14ac:dyDescent="0.2">
      <c r="A536" s="2"/>
    </row>
    <row r="537" spans="1:1" x14ac:dyDescent="0.2">
      <c r="A537" s="2"/>
    </row>
    <row r="538" spans="1:1" x14ac:dyDescent="0.2">
      <c r="A538" s="2"/>
    </row>
    <row r="539" spans="1:1" x14ac:dyDescent="0.2">
      <c r="A539" s="2"/>
    </row>
    <row r="540" spans="1:1" x14ac:dyDescent="0.2">
      <c r="A540" s="2"/>
    </row>
    <row r="541" spans="1:1" x14ac:dyDescent="0.2">
      <c r="A541" s="2"/>
    </row>
    <row r="542" spans="1:1" x14ac:dyDescent="0.2">
      <c r="A542" s="2"/>
    </row>
    <row r="543" spans="1:1" x14ac:dyDescent="0.2">
      <c r="A543" s="2"/>
    </row>
    <row r="544" spans="1:1" x14ac:dyDescent="0.2">
      <c r="A544" s="2"/>
    </row>
    <row r="545" spans="1:1" x14ac:dyDescent="0.2">
      <c r="A545" s="2"/>
    </row>
    <row r="546" spans="1:1" x14ac:dyDescent="0.2">
      <c r="A546" s="2"/>
    </row>
    <row r="547" spans="1:1" x14ac:dyDescent="0.2">
      <c r="A547" s="2"/>
    </row>
    <row r="548" spans="1:1" x14ac:dyDescent="0.2">
      <c r="A548" s="2"/>
    </row>
    <row r="549" spans="1:1" x14ac:dyDescent="0.2">
      <c r="A549" s="2"/>
    </row>
    <row r="550" spans="1:1" x14ac:dyDescent="0.2">
      <c r="A550" s="2"/>
    </row>
    <row r="551" spans="1:1" x14ac:dyDescent="0.2">
      <c r="A551" s="2"/>
    </row>
    <row r="552" spans="1:1" x14ac:dyDescent="0.2">
      <c r="A552" s="2"/>
    </row>
    <row r="553" spans="1:1" x14ac:dyDescent="0.2">
      <c r="A553" s="2"/>
    </row>
    <row r="554" spans="1:1" x14ac:dyDescent="0.2">
      <c r="A554" s="2"/>
    </row>
    <row r="555" spans="1:1" x14ac:dyDescent="0.2">
      <c r="A555" s="2"/>
    </row>
    <row r="556" spans="1:1" x14ac:dyDescent="0.2">
      <c r="A556" s="2"/>
    </row>
    <row r="557" spans="1:1" x14ac:dyDescent="0.2">
      <c r="A557" s="2"/>
    </row>
    <row r="558" spans="1:1" x14ac:dyDescent="0.2">
      <c r="A558" s="2"/>
    </row>
    <row r="559" spans="1:1" x14ac:dyDescent="0.2">
      <c r="A559" s="2"/>
    </row>
    <row r="560" spans="1:1" x14ac:dyDescent="0.2">
      <c r="A560" s="2"/>
    </row>
    <row r="561" spans="1:1" x14ac:dyDescent="0.2">
      <c r="A561" s="2"/>
    </row>
    <row r="562" spans="1:1" x14ac:dyDescent="0.2">
      <c r="A562" s="2"/>
    </row>
    <row r="563" spans="1:1" x14ac:dyDescent="0.2">
      <c r="A563" s="2"/>
    </row>
    <row r="564" spans="1:1" x14ac:dyDescent="0.2">
      <c r="A564" s="2"/>
    </row>
    <row r="565" spans="1:1" x14ac:dyDescent="0.2">
      <c r="A565" s="2"/>
    </row>
    <row r="566" spans="1:1" x14ac:dyDescent="0.2">
      <c r="A566" s="2"/>
    </row>
    <row r="567" spans="1:1" x14ac:dyDescent="0.2">
      <c r="A567" s="2"/>
    </row>
    <row r="568" spans="1:1" x14ac:dyDescent="0.2">
      <c r="A568" s="2"/>
    </row>
    <row r="569" spans="1:1" x14ac:dyDescent="0.2">
      <c r="A569" s="2"/>
    </row>
    <row r="570" spans="1:1" x14ac:dyDescent="0.2">
      <c r="A570" s="2"/>
    </row>
    <row r="571" spans="1:1" x14ac:dyDescent="0.2">
      <c r="A571" s="2"/>
    </row>
    <row r="572" spans="1:1" x14ac:dyDescent="0.2">
      <c r="A572" s="2"/>
    </row>
    <row r="573" spans="1:1" x14ac:dyDescent="0.2">
      <c r="A573" s="2"/>
    </row>
    <row r="574" spans="1:1" x14ac:dyDescent="0.2">
      <c r="A574" s="2"/>
    </row>
    <row r="575" spans="1:1" x14ac:dyDescent="0.2">
      <c r="A575" s="2"/>
    </row>
    <row r="576" spans="1:1" x14ac:dyDescent="0.2">
      <c r="A576" s="2"/>
    </row>
    <row r="577" spans="1:1" x14ac:dyDescent="0.2">
      <c r="A577" s="2"/>
    </row>
    <row r="578" spans="1:1" x14ac:dyDescent="0.2">
      <c r="A578" s="2"/>
    </row>
    <row r="579" spans="1:1" x14ac:dyDescent="0.2">
      <c r="A579" s="2"/>
    </row>
    <row r="580" spans="1:1" x14ac:dyDescent="0.2">
      <c r="A580" s="2"/>
    </row>
    <row r="581" spans="1:1" x14ac:dyDescent="0.2">
      <c r="A581" s="2"/>
    </row>
    <row r="582" spans="1:1" x14ac:dyDescent="0.2">
      <c r="A582" s="2"/>
    </row>
    <row r="583" spans="1:1" x14ac:dyDescent="0.2">
      <c r="A583" s="2"/>
    </row>
    <row r="584" spans="1:1" x14ac:dyDescent="0.2">
      <c r="A584" s="2"/>
    </row>
    <row r="585" spans="1:1" x14ac:dyDescent="0.2">
      <c r="A585" s="2"/>
    </row>
    <row r="586" spans="1:1" x14ac:dyDescent="0.2">
      <c r="A586" s="2"/>
    </row>
    <row r="587" spans="1:1" x14ac:dyDescent="0.2">
      <c r="A587" s="2"/>
    </row>
    <row r="588" spans="1:1" x14ac:dyDescent="0.2">
      <c r="A588" s="2"/>
    </row>
    <row r="589" spans="1:1" x14ac:dyDescent="0.2">
      <c r="A589" s="2"/>
    </row>
    <row r="590" spans="1:1" x14ac:dyDescent="0.2">
      <c r="A590" s="2"/>
    </row>
    <row r="591" spans="1:1" x14ac:dyDescent="0.2">
      <c r="A591" s="2"/>
    </row>
    <row r="592" spans="1:1" x14ac:dyDescent="0.2">
      <c r="A592" s="2"/>
    </row>
    <row r="593" spans="1:1" x14ac:dyDescent="0.2">
      <c r="A593" s="2"/>
    </row>
    <row r="594" spans="1:1" x14ac:dyDescent="0.2">
      <c r="A594" s="2"/>
    </row>
    <row r="595" spans="1:1" x14ac:dyDescent="0.2">
      <c r="A595" s="2"/>
    </row>
    <row r="596" spans="1:1" x14ac:dyDescent="0.2">
      <c r="A596" s="2"/>
    </row>
    <row r="597" spans="1:1" x14ac:dyDescent="0.2">
      <c r="A597" s="2"/>
    </row>
    <row r="598" spans="1:1" x14ac:dyDescent="0.2">
      <c r="A598" s="2"/>
    </row>
    <row r="599" spans="1:1" x14ac:dyDescent="0.2">
      <c r="A599" s="2"/>
    </row>
    <row r="600" spans="1:1" x14ac:dyDescent="0.2">
      <c r="A600" s="2"/>
    </row>
    <row r="601" spans="1:1" x14ac:dyDescent="0.2">
      <c r="A601" s="2"/>
    </row>
    <row r="602" spans="1:1" x14ac:dyDescent="0.2">
      <c r="A602" s="2"/>
    </row>
    <row r="603" spans="1:1" x14ac:dyDescent="0.2">
      <c r="A603" s="2"/>
    </row>
    <row r="604" spans="1:1" x14ac:dyDescent="0.2">
      <c r="A604" s="2"/>
    </row>
    <row r="605" spans="1:1" x14ac:dyDescent="0.2">
      <c r="A605" s="2"/>
    </row>
    <row r="606" spans="1:1" x14ac:dyDescent="0.2">
      <c r="A606" s="2"/>
    </row>
    <row r="607" spans="1:1" x14ac:dyDescent="0.2">
      <c r="A607" s="2"/>
    </row>
    <row r="608" spans="1:1" x14ac:dyDescent="0.2">
      <c r="A608" s="2"/>
    </row>
    <row r="609" spans="1:1" x14ac:dyDescent="0.2">
      <c r="A609" s="2"/>
    </row>
    <row r="610" spans="1:1" x14ac:dyDescent="0.2">
      <c r="A610" s="2"/>
    </row>
    <row r="611" spans="1:1" x14ac:dyDescent="0.2">
      <c r="A611" s="2"/>
    </row>
    <row r="612" spans="1:1" x14ac:dyDescent="0.2">
      <c r="A612" s="2"/>
    </row>
    <row r="613" spans="1:1" x14ac:dyDescent="0.2">
      <c r="A613" s="2"/>
    </row>
    <row r="614" spans="1:1" x14ac:dyDescent="0.2">
      <c r="A614" s="2"/>
    </row>
    <row r="615" spans="1:1" x14ac:dyDescent="0.2">
      <c r="A615" s="2"/>
    </row>
    <row r="616" spans="1:1" x14ac:dyDescent="0.2">
      <c r="A616" s="2"/>
    </row>
    <row r="617" spans="1:1" x14ac:dyDescent="0.2">
      <c r="A617" s="2"/>
    </row>
    <row r="618" spans="1:1" x14ac:dyDescent="0.2">
      <c r="A618" s="2"/>
    </row>
    <row r="619" spans="1:1" x14ac:dyDescent="0.2">
      <c r="A619" s="2"/>
    </row>
    <row r="620" spans="1:1" x14ac:dyDescent="0.2">
      <c r="A620" s="2"/>
    </row>
    <row r="621" spans="1:1" x14ac:dyDescent="0.2">
      <c r="A621" s="2"/>
    </row>
    <row r="622" spans="1:1" x14ac:dyDescent="0.2">
      <c r="A622" s="2"/>
    </row>
    <row r="623" spans="1:1" x14ac:dyDescent="0.2">
      <c r="A623" s="2"/>
    </row>
    <row r="624" spans="1:1" x14ac:dyDescent="0.2">
      <c r="A624" s="2"/>
    </row>
    <row r="625" spans="1:1" x14ac:dyDescent="0.2">
      <c r="A625" s="2"/>
    </row>
    <row r="626" spans="1:1" x14ac:dyDescent="0.2">
      <c r="A626" s="2"/>
    </row>
    <row r="627" spans="1:1" x14ac:dyDescent="0.2">
      <c r="A627" s="2"/>
    </row>
    <row r="628" spans="1:1" x14ac:dyDescent="0.2">
      <c r="A628" s="2"/>
    </row>
    <row r="629" spans="1:1" x14ac:dyDescent="0.2">
      <c r="A629" s="2"/>
    </row>
    <row r="630" spans="1:1" x14ac:dyDescent="0.2">
      <c r="A630" s="2"/>
    </row>
    <row r="631" spans="1:1" x14ac:dyDescent="0.2">
      <c r="A631" s="2"/>
    </row>
    <row r="632" spans="1:1" x14ac:dyDescent="0.2">
      <c r="A632" s="2"/>
    </row>
    <row r="633" spans="1:1" x14ac:dyDescent="0.2">
      <c r="A633" s="2"/>
    </row>
    <row r="634" spans="1:1" x14ac:dyDescent="0.2">
      <c r="A634" s="2"/>
    </row>
    <row r="635" spans="1:1" x14ac:dyDescent="0.2">
      <c r="A635" s="2"/>
    </row>
    <row r="636" spans="1:1" x14ac:dyDescent="0.2">
      <c r="A636" s="2"/>
    </row>
    <row r="637" spans="1:1" x14ac:dyDescent="0.2">
      <c r="A637" s="2"/>
    </row>
    <row r="638" spans="1:1" x14ac:dyDescent="0.2">
      <c r="A638" s="2"/>
    </row>
    <row r="639" spans="1:1" x14ac:dyDescent="0.2">
      <c r="A639" s="2"/>
    </row>
    <row r="640" spans="1:1" x14ac:dyDescent="0.2">
      <c r="A640" s="2"/>
    </row>
    <row r="641" spans="1:1" x14ac:dyDescent="0.2">
      <c r="A641" s="2"/>
    </row>
    <row r="642" spans="1:1" x14ac:dyDescent="0.2">
      <c r="A642" s="2"/>
    </row>
    <row r="643" spans="1:1" x14ac:dyDescent="0.2">
      <c r="A643" s="2"/>
    </row>
    <row r="644" spans="1:1" x14ac:dyDescent="0.2">
      <c r="A644" s="2"/>
    </row>
    <row r="645" spans="1:1" x14ac:dyDescent="0.2">
      <c r="A645" s="2"/>
    </row>
    <row r="646" spans="1:1" x14ac:dyDescent="0.2">
      <c r="A646" s="2"/>
    </row>
    <row r="647" spans="1:1" x14ac:dyDescent="0.2">
      <c r="A647" s="2"/>
    </row>
    <row r="648" spans="1:1" x14ac:dyDescent="0.2">
      <c r="A648" s="2"/>
    </row>
    <row r="649" spans="1:1" x14ac:dyDescent="0.2">
      <c r="A649" s="2"/>
    </row>
    <row r="650" spans="1:1" x14ac:dyDescent="0.2">
      <c r="A650" s="2"/>
    </row>
    <row r="651" spans="1:1" x14ac:dyDescent="0.2">
      <c r="A651" s="2"/>
    </row>
    <row r="652" spans="1:1" x14ac:dyDescent="0.2">
      <c r="A652" s="2"/>
    </row>
    <row r="653" spans="1:1" x14ac:dyDescent="0.2">
      <c r="A653" s="2"/>
    </row>
    <row r="654" spans="1:1" x14ac:dyDescent="0.2">
      <c r="A654" s="2"/>
    </row>
    <row r="655" spans="1:1" x14ac:dyDescent="0.2">
      <c r="A655" s="2"/>
    </row>
    <row r="656" spans="1:1" x14ac:dyDescent="0.2">
      <c r="A656" s="2"/>
    </row>
    <row r="657" spans="1:1" x14ac:dyDescent="0.2">
      <c r="A657" s="2"/>
    </row>
    <row r="658" spans="1:1" x14ac:dyDescent="0.2">
      <c r="A658" s="2"/>
    </row>
    <row r="659" spans="1:1" x14ac:dyDescent="0.2">
      <c r="A659" s="2"/>
    </row>
    <row r="660" spans="1:1" x14ac:dyDescent="0.2">
      <c r="A660" s="2"/>
    </row>
    <row r="661" spans="1:1" x14ac:dyDescent="0.2">
      <c r="A661" s="2"/>
    </row>
    <row r="662" spans="1:1" x14ac:dyDescent="0.2">
      <c r="A662" s="2"/>
    </row>
    <row r="663" spans="1:1" x14ac:dyDescent="0.2">
      <c r="A663" s="2"/>
    </row>
    <row r="664" spans="1:1" x14ac:dyDescent="0.2">
      <c r="A664" s="2"/>
    </row>
    <row r="665" spans="1:1" x14ac:dyDescent="0.2">
      <c r="A665" s="2"/>
    </row>
    <row r="666" spans="1:1" x14ac:dyDescent="0.2">
      <c r="A666" s="2"/>
    </row>
    <row r="667" spans="1:1" x14ac:dyDescent="0.2">
      <c r="A667" s="2"/>
    </row>
    <row r="668" spans="1:1" x14ac:dyDescent="0.2">
      <c r="A668" s="2"/>
    </row>
    <row r="669" spans="1:1" x14ac:dyDescent="0.2">
      <c r="A669" s="2"/>
    </row>
    <row r="670" spans="1:1" x14ac:dyDescent="0.2">
      <c r="A670" s="2"/>
    </row>
    <row r="671" spans="1:1" x14ac:dyDescent="0.2">
      <c r="A671" s="2"/>
    </row>
    <row r="672" spans="1:1" x14ac:dyDescent="0.2">
      <c r="A672" s="2"/>
    </row>
    <row r="673" spans="1:1" x14ac:dyDescent="0.2">
      <c r="A673" s="2"/>
    </row>
    <row r="674" spans="1:1" x14ac:dyDescent="0.2">
      <c r="A674" s="2"/>
    </row>
    <row r="675" spans="1:1" x14ac:dyDescent="0.2">
      <c r="A675" s="2"/>
    </row>
    <row r="676" spans="1:1" x14ac:dyDescent="0.2">
      <c r="A676" s="2"/>
    </row>
    <row r="677" spans="1:1" x14ac:dyDescent="0.2">
      <c r="A677" s="2"/>
    </row>
    <row r="678" spans="1:1" x14ac:dyDescent="0.2">
      <c r="A678" s="2"/>
    </row>
    <row r="679" spans="1:1" x14ac:dyDescent="0.2">
      <c r="A679" s="2"/>
    </row>
    <row r="680" spans="1:1" x14ac:dyDescent="0.2">
      <c r="A680" s="2"/>
    </row>
    <row r="681" spans="1:1" x14ac:dyDescent="0.2">
      <c r="A681" s="2"/>
    </row>
    <row r="682" spans="1:1" x14ac:dyDescent="0.2">
      <c r="A682" s="2"/>
    </row>
    <row r="683" spans="1:1" x14ac:dyDescent="0.2">
      <c r="A683" s="2"/>
    </row>
    <row r="684" spans="1:1" x14ac:dyDescent="0.2">
      <c r="A684" s="2"/>
    </row>
    <row r="685" spans="1:1" x14ac:dyDescent="0.2">
      <c r="A685" s="2"/>
    </row>
    <row r="686" spans="1:1" x14ac:dyDescent="0.2">
      <c r="A686" s="2"/>
    </row>
    <row r="687" spans="1:1" x14ac:dyDescent="0.2">
      <c r="A687" s="2"/>
    </row>
    <row r="688" spans="1:1" x14ac:dyDescent="0.2">
      <c r="A688" s="2"/>
    </row>
    <row r="689" spans="1:1" x14ac:dyDescent="0.2">
      <c r="A689" s="2"/>
    </row>
    <row r="690" spans="1:1" x14ac:dyDescent="0.2">
      <c r="A690" s="2"/>
    </row>
    <row r="691" spans="1:1" x14ac:dyDescent="0.2">
      <c r="A691" s="2"/>
    </row>
    <row r="692" spans="1:1" x14ac:dyDescent="0.2">
      <c r="A692" s="2"/>
    </row>
    <row r="693" spans="1:1" x14ac:dyDescent="0.2">
      <c r="A693" s="2"/>
    </row>
    <row r="694" spans="1:1" x14ac:dyDescent="0.2">
      <c r="A694" s="2"/>
    </row>
    <row r="695" spans="1:1" x14ac:dyDescent="0.2">
      <c r="A695" s="2"/>
    </row>
    <row r="696" spans="1:1" x14ac:dyDescent="0.2">
      <c r="A696" s="2"/>
    </row>
    <row r="697" spans="1:1" x14ac:dyDescent="0.2">
      <c r="A697" s="2"/>
    </row>
    <row r="698" spans="1:1" x14ac:dyDescent="0.2">
      <c r="A698" s="2"/>
    </row>
    <row r="699" spans="1:1" x14ac:dyDescent="0.2">
      <c r="A699" s="2"/>
    </row>
    <row r="700" spans="1:1" x14ac:dyDescent="0.2">
      <c r="A700" s="2"/>
    </row>
    <row r="701" spans="1:1" x14ac:dyDescent="0.2">
      <c r="A701" s="2"/>
    </row>
    <row r="702" spans="1:1" x14ac:dyDescent="0.2">
      <c r="A702" s="2"/>
    </row>
    <row r="703" spans="1:1" x14ac:dyDescent="0.2">
      <c r="A703" s="2"/>
    </row>
    <row r="704" spans="1:1" x14ac:dyDescent="0.2">
      <c r="A704" s="2"/>
    </row>
    <row r="705" spans="1:1" x14ac:dyDescent="0.2">
      <c r="A705" s="2"/>
    </row>
    <row r="706" spans="1:1" x14ac:dyDescent="0.2">
      <c r="A706" s="2"/>
    </row>
    <row r="707" spans="1:1" x14ac:dyDescent="0.2">
      <c r="A707" s="2"/>
    </row>
    <row r="708" spans="1:1" x14ac:dyDescent="0.2">
      <c r="A708" s="2"/>
    </row>
    <row r="709" spans="1:1" x14ac:dyDescent="0.2">
      <c r="A709" s="2"/>
    </row>
    <row r="710" spans="1:1" x14ac:dyDescent="0.2">
      <c r="A710" s="2"/>
    </row>
    <row r="711" spans="1:1" x14ac:dyDescent="0.2">
      <c r="A711" s="2"/>
    </row>
    <row r="712" spans="1:1" x14ac:dyDescent="0.2">
      <c r="A712" s="2"/>
    </row>
    <row r="713" spans="1:1" x14ac:dyDescent="0.2">
      <c r="A713" s="2"/>
    </row>
    <row r="714" spans="1:1" x14ac:dyDescent="0.2">
      <c r="A714" s="2"/>
    </row>
    <row r="715" spans="1:1" x14ac:dyDescent="0.2">
      <c r="A715" s="2"/>
    </row>
    <row r="716" spans="1:1" x14ac:dyDescent="0.2">
      <c r="A716" s="2"/>
    </row>
    <row r="717" spans="1:1" x14ac:dyDescent="0.2">
      <c r="A717" s="2"/>
    </row>
    <row r="718" spans="1:1" x14ac:dyDescent="0.2">
      <c r="A718" s="2"/>
    </row>
    <row r="719" spans="1:1" x14ac:dyDescent="0.2">
      <c r="A719" s="2"/>
    </row>
    <row r="720" spans="1:1" x14ac:dyDescent="0.2">
      <c r="A720" s="2"/>
    </row>
    <row r="721" spans="1:1" x14ac:dyDescent="0.2">
      <c r="A721" s="2"/>
    </row>
    <row r="722" spans="1:1" x14ac:dyDescent="0.2">
      <c r="A722" s="2"/>
    </row>
    <row r="723" spans="1:1" x14ac:dyDescent="0.2">
      <c r="A723" s="2"/>
    </row>
    <row r="724" spans="1:1" x14ac:dyDescent="0.2">
      <c r="A724" s="2"/>
    </row>
    <row r="725" spans="1:1" x14ac:dyDescent="0.2">
      <c r="A725" s="2"/>
    </row>
    <row r="726" spans="1:1" x14ac:dyDescent="0.2">
      <c r="A726" s="2"/>
    </row>
    <row r="727" spans="1:1" x14ac:dyDescent="0.2">
      <c r="A727" s="2"/>
    </row>
    <row r="728" spans="1:1" x14ac:dyDescent="0.2">
      <c r="A728" s="2"/>
    </row>
    <row r="729" spans="1:1" x14ac:dyDescent="0.2">
      <c r="A729" s="2"/>
    </row>
    <row r="730" spans="1:1" x14ac:dyDescent="0.2">
      <c r="A730" s="2"/>
    </row>
    <row r="731" spans="1:1" x14ac:dyDescent="0.2">
      <c r="A731" s="2"/>
    </row>
    <row r="732" spans="1:1" x14ac:dyDescent="0.2">
      <c r="A732" s="2"/>
    </row>
    <row r="733" spans="1:1" x14ac:dyDescent="0.2">
      <c r="A733" s="2"/>
    </row>
    <row r="734" spans="1:1" x14ac:dyDescent="0.2">
      <c r="A734" s="2"/>
    </row>
    <row r="735" spans="1:1" x14ac:dyDescent="0.2">
      <c r="A735" s="2"/>
    </row>
    <row r="736" spans="1:1" x14ac:dyDescent="0.2">
      <c r="A736" s="2"/>
    </row>
    <row r="737" spans="1:1" x14ac:dyDescent="0.2">
      <c r="A737" s="2"/>
    </row>
    <row r="738" spans="1:1" x14ac:dyDescent="0.2">
      <c r="A738" s="2"/>
    </row>
    <row r="739" spans="1:1" x14ac:dyDescent="0.2">
      <c r="A739" s="2"/>
    </row>
    <row r="740" spans="1:1" x14ac:dyDescent="0.2">
      <c r="A740" s="2"/>
    </row>
    <row r="741" spans="1:1" x14ac:dyDescent="0.2">
      <c r="A741" s="2"/>
    </row>
    <row r="742" spans="1:1" x14ac:dyDescent="0.2">
      <c r="A742" s="2"/>
    </row>
    <row r="743" spans="1:1" x14ac:dyDescent="0.2">
      <c r="A743" s="2"/>
    </row>
    <row r="744" spans="1:1" x14ac:dyDescent="0.2">
      <c r="A744" s="2"/>
    </row>
    <row r="745" spans="1:1" x14ac:dyDescent="0.2">
      <c r="A745" s="2"/>
    </row>
    <row r="746" spans="1:1" x14ac:dyDescent="0.2">
      <c r="A746" s="2"/>
    </row>
    <row r="747" spans="1:1" x14ac:dyDescent="0.2">
      <c r="A747" s="2"/>
    </row>
    <row r="748" spans="1:1" x14ac:dyDescent="0.2">
      <c r="A748" s="2"/>
    </row>
    <row r="749" spans="1:1" x14ac:dyDescent="0.2">
      <c r="A749" s="2"/>
    </row>
    <row r="750" spans="1:1" x14ac:dyDescent="0.2">
      <c r="A750" s="2"/>
    </row>
    <row r="751" spans="1:1" x14ac:dyDescent="0.2">
      <c r="A751" s="2"/>
    </row>
    <row r="752" spans="1:1" x14ac:dyDescent="0.2">
      <c r="A752" s="2"/>
    </row>
    <row r="753" spans="1:1" x14ac:dyDescent="0.2">
      <c r="A753" s="2"/>
    </row>
    <row r="754" spans="1:1" x14ac:dyDescent="0.2">
      <c r="A754" s="2"/>
    </row>
    <row r="755" spans="1:1" x14ac:dyDescent="0.2">
      <c r="A755" s="2"/>
    </row>
    <row r="756" spans="1:1" x14ac:dyDescent="0.2">
      <c r="A756" s="2"/>
    </row>
    <row r="757" spans="1:1" x14ac:dyDescent="0.2">
      <c r="A757" s="2"/>
    </row>
    <row r="758" spans="1:1" x14ac:dyDescent="0.2">
      <c r="A758" s="2"/>
    </row>
    <row r="759" spans="1:1" x14ac:dyDescent="0.2">
      <c r="A759" s="2"/>
    </row>
    <row r="760" spans="1:1" x14ac:dyDescent="0.2">
      <c r="A760" s="2"/>
    </row>
    <row r="761" spans="1:1" x14ac:dyDescent="0.2">
      <c r="A761" s="2"/>
    </row>
    <row r="762" spans="1:1" x14ac:dyDescent="0.2">
      <c r="A762" s="2"/>
    </row>
    <row r="763" spans="1:1" x14ac:dyDescent="0.2">
      <c r="A763" s="2"/>
    </row>
    <row r="764" spans="1:1" x14ac:dyDescent="0.2">
      <c r="A764" s="2"/>
    </row>
    <row r="765" spans="1:1" x14ac:dyDescent="0.2">
      <c r="A765" s="2"/>
    </row>
    <row r="766" spans="1:1" x14ac:dyDescent="0.2">
      <c r="A766" s="2"/>
    </row>
    <row r="767" spans="1:1" x14ac:dyDescent="0.2">
      <c r="A767" s="2"/>
    </row>
    <row r="768" spans="1:1" x14ac:dyDescent="0.2">
      <c r="A768" s="2"/>
    </row>
    <row r="769" spans="1:1" x14ac:dyDescent="0.2">
      <c r="A769" s="2"/>
    </row>
    <row r="770" spans="1:1" x14ac:dyDescent="0.2">
      <c r="A770" s="2"/>
    </row>
    <row r="771" spans="1:1" x14ac:dyDescent="0.2">
      <c r="A771" s="2"/>
    </row>
    <row r="772" spans="1:1" x14ac:dyDescent="0.2">
      <c r="A772" s="2"/>
    </row>
    <row r="773" spans="1:1" x14ac:dyDescent="0.2">
      <c r="A773" s="2"/>
    </row>
    <row r="774" spans="1:1" x14ac:dyDescent="0.2">
      <c r="A774" s="2"/>
    </row>
    <row r="775" spans="1:1" x14ac:dyDescent="0.2">
      <c r="A775" s="2"/>
    </row>
    <row r="776" spans="1:1" x14ac:dyDescent="0.2">
      <c r="A776" s="2"/>
    </row>
    <row r="777" spans="1:1" x14ac:dyDescent="0.2">
      <c r="A777" s="2"/>
    </row>
    <row r="778" spans="1:1" x14ac:dyDescent="0.2">
      <c r="A778" s="2"/>
    </row>
    <row r="779" spans="1:1" x14ac:dyDescent="0.2">
      <c r="A779" s="2"/>
    </row>
    <row r="780" spans="1:1" x14ac:dyDescent="0.2">
      <c r="A780" s="2"/>
    </row>
    <row r="781" spans="1:1" x14ac:dyDescent="0.2">
      <c r="A781" s="2"/>
    </row>
    <row r="782" spans="1:1" x14ac:dyDescent="0.2">
      <c r="A782" s="2"/>
    </row>
    <row r="783" spans="1:1" x14ac:dyDescent="0.2">
      <c r="A783" s="2"/>
    </row>
    <row r="784" spans="1:1" x14ac:dyDescent="0.2">
      <c r="A784" s="2"/>
    </row>
    <row r="785" spans="1:1" x14ac:dyDescent="0.2">
      <c r="A785" s="2"/>
    </row>
    <row r="786" spans="1:1" x14ac:dyDescent="0.2">
      <c r="A786" s="2"/>
    </row>
    <row r="787" spans="1:1" x14ac:dyDescent="0.2">
      <c r="A787" s="2"/>
    </row>
    <row r="788" spans="1:1" x14ac:dyDescent="0.2">
      <c r="A788" s="2"/>
    </row>
    <row r="789" spans="1:1" x14ac:dyDescent="0.2">
      <c r="A789" s="2"/>
    </row>
    <row r="790" spans="1:1" x14ac:dyDescent="0.2">
      <c r="A790" s="2"/>
    </row>
    <row r="791" spans="1:1" x14ac:dyDescent="0.2">
      <c r="A791" s="2"/>
    </row>
    <row r="792" spans="1:1" x14ac:dyDescent="0.2">
      <c r="A792" s="2"/>
    </row>
    <row r="793" spans="1:1" x14ac:dyDescent="0.2">
      <c r="A793" s="2"/>
    </row>
    <row r="794" spans="1:1" x14ac:dyDescent="0.2">
      <c r="A794" s="2"/>
    </row>
    <row r="795" spans="1:1" x14ac:dyDescent="0.2">
      <c r="A795" s="2"/>
    </row>
    <row r="796" spans="1:1" x14ac:dyDescent="0.2">
      <c r="A796" s="2"/>
    </row>
    <row r="797" spans="1:1" x14ac:dyDescent="0.2">
      <c r="A797" s="2"/>
    </row>
    <row r="798" spans="1:1" x14ac:dyDescent="0.2">
      <c r="A798" s="2"/>
    </row>
    <row r="799" spans="1:1" x14ac:dyDescent="0.2">
      <c r="A799" s="2"/>
    </row>
    <row r="800" spans="1:1" x14ac:dyDescent="0.2">
      <c r="A800" s="2"/>
    </row>
    <row r="801" spans="1:1" x14ac:dyDescent="0.2">
      <c r="A801" s="2"/>
    </row>
    <row r="802" spans="1:1" x14ac:dyDescent="0.2">
      <c r="A802" s="2"/>
    </row>
    <row r="803" spans="1:1" x14ac:dyDescent="0.2">
      <c r="A803" s="2"/>
    </row>
    <row r="804" spans="1:1" x14ac:dyDescent="0.2">
      <c r="A804" s="2"/>
    </row>
    <row r="805" spans="1:1" x14ac:dyDescent="0.2">
      <c r="A805" s="2"/>
    </row>
    <row r="806" spans="1:1" x14ac:dyDescent="0.2">
      <c r="A806" s="2"/>
    </row>
    <row r="807" spans="1:1" x14ac:dyDescent="0.2">
      <c r="A807" s="2"/>
    </row>
    <row r="808" spans="1:1" x14ac:dyDescent="0.2">
      <c r="A808" s="2"/>
    </row>
    <row r="809" spans="1:1" x14ac:dyDescent="0.2">
      <c r="A809" s="2"/>
    </row>
    <row r="810" spans="1:1" x14ac:dyDescent="0.2">
      <c r="A810" s="2"/>
    </row>
    <row r="811" spans="1:1" x14ac:dyDescent="0.2">
      <c r="A811" s="2"/>
    </row>
    <row r="812" spans="1:1" x14ac:dyDescent="0.2">
      <c r="A812" s="2"/>
    </row>
    <row r="813" spans="1:1" x14ac:dyDescent="0.2">
      <c r="A813" s="2"/>
    </row>
    <row r="814" spans="1:1" x14ac:dyDescent="0.2">
      <c r="A814" s="2"/>
    </row>
    <row r="815" spans="1:1" x14ac:dyDescent="0.2">
      <c r="A815" s="2"/>
    </row>
    <row r="816" spans="1:1" x14ac:dyDescent="0.2">
      <c r="A816" s="2"/>
    </row>
    <row r="817" spans="1:1" x14ac:dyDescent="0.2">
      <c r="A817" s="2"/>
    </row>
    <row r="818" spans="1:1" x14ac:dyDescent="0.2">
      <c r="A818" s="2"/>
    </row>
    <row r="819" spans="1:1" x14ac:dyDescent="0.2">
      <c r="A819" s="2"/>
    </row>
    <row r="820" spans="1:1" x14ac:dyDescent="0.2">
      <c r="A820" s="2"/>
    </row>
    <row r="821" spans="1:1" x14ac:dyDescent="0.2">
      <c r="A821" s="2"/>
    </row>
    <row r="822" spans="1:1" x14ac:dyDescent="0.2">
      <c r="A822" s="2"/>
    </row>
    <row r="823" spans="1:1" x14ac:dyDescent="0.2">
      <c r="A823" s="2"/>
    </row>
    <row r="824" spans="1:1" x14ac:dyDescent="0.2">
      <c r="A824" s="2"/>
    </row>
    <row r="825" spans="1:1" x14ac:dyDescent="0.2">
      <c r="A825" s="2"/>
    </row>
    <row r="826" spans="1:1" x14ac:dyDescent="0.2">
      <c r="A826" s="2"/>
    </row>
    <row r="827" spans="1:1" x14ac:dyDescent="0.2">
      <c r="A827" s="2"/>
    </row>
    <row r="828" spans="1:1" x14ac:dyDescent="0.2">
      <c r="A828" s="2"/>
    </row>
    <row r="829" spans="1:1" x14ac:dyDescent="0.2">
      <c r="A829" s="2"/>
    </row>
    <row r="830" spans="1:1" x14ac:dyDescent="0.2">
      <c r="A830" s="2"/>
    </row>
    <row r="831" spans="1:1" x14ac:dyDescent="0.2">
      <c r="A831" s="2"/>
    </row>
    <row r="832" spans="1:1" x14ac:dyDescent="0.2">
      <c r="A832" s="2"/>
    </row>
    <row r="833" spans="1:1" x14ac:dyDescent="0.2">
      <c r="A833" s="2"/>
    </row>
    <row r="834" spans="1:1" x14ac:dyDescent="0.2">
      <c r="A834" s="2"/>
    </row>
    <row r="835" spans="1:1" x14ac:dyDescent="0.2">
      <c r="A835" s="2"/>
    </row>
    <row r="836" spans="1:1" x14ac:dyDescent="0.2">
      <c r="A836" s="2"/>
    </row>
    <row r="837" spans="1:1" x14ac:dyDescent="0.2">
      <c r="A837" s="2"/>
    </row>
    <row r="838" spans="1:1" x14ac:dyDescent="0.2">
      <c r="A838" s="2"/>
    </row>
    <row r="839" spans="1:1" x14ac:dyDescent="0.2">
      <c r="A839" s="2"/>
    </row>
    <row r="840" spans="1:1" x14ac:dyDescent="0.2">
      <c r="A840" s="2"/>
    </row>
    <row r="841" spans="1:1" x14ac:dyDescent="0.2">
      <c r="A841" s="2"/>
    </row>
    <row r="842" spans="1:1" x14ac:dyDescent="0.2">
      <c r="A842" s="2"/>
    </row>
    <row r="843" spans="1:1" x14ac:dyDescent="0.2">
      <c r="A843" s="2"/>
    </row>
    <row r="844" spans="1:1" x14ac:dyDescent="0.2">
      <c r="A844" s="2"/>
    </row>
    <row r="845" spans="1:1" x14ac:dyDescent="0.2">
      <c r="A845" s="2"/>
    </row>
    <row r="846" spans="1:1" x14ac:dyDescent="0.2">
      <c r="A846" s="2"/>
    </row>
    <row r="847" spans="1:1" x14ac:dyDescent="0.2">
      <c r="A847" s="2"/>
    </row>
    <row r="848" spans="1:1" x14ac:dyDescent="0.2">
      <c r="A848" s="2"/>
    </row>
    <row r="849" spans="1:1" x14ac:dyDescent="0.2">
      <c r="A849" s="2"/>
    </row>
    <row r="850" spans="1:1" x14ac:dyDescent="0.2">
      <c r="A850" s="2"/>
    </row>
    <row r="851" spans="1:1" x14ac:dyDescent="0.2">
      <c r="A851" s="2"/>
    </row>
    <row r="852" spans="1:1" x14ac:dyDescent="0.2">
      <c r="A852" s="2"/>
    </row>
    <row r="853" spans="1:1" x14ac:dyDescent="0.2">
      <c r="A853" s="2"/>
    </row>
    <row r="854" spans="1:1" x14ac:dyDescent="0.2">
      <c r="A854" s="2"/>
    </row>
    <row r="855" spans="1:1" x14ac:dyDescent="0.2">
      <c r="A855" s="2"/>
    </row>
    <row r="856" spans="1:1" x14ac:dyDescent="0.2">
      <c r="A856" s="2"/>
    </row>
    <row r="857" spans="1:1" x14ac:dyDescent="0.2">
      <c r="A857" s="2"/>
    </row>
    <row r="858" spans="1:1" x14ac:dyDescent="0.2">
      <c r="A858" s="2"/>
    </row>
    <row r="859" spans="1:1" x14ac:dyDescent="0.2">
      <c r="A859" s="2"/>
    </row>
    <row r="860" spans="1:1" x14ac:dyDescent="0.2">
      <c r="A860" s="2"/>
    </row>
    <row r="861" spans="1:1" x14ac:dyDescent="0.2">
      <c r="A861" s="2"/>
    </row>
    <row r="862" spans="1:1" x14ac:dyDescent="0.2">
      <c r="A862" s="2"/>
    </row>
    <row r="863" spans="1:1" x14ac:dyDescent="0.2">
      <c r="A863" s="2"/>
    </row>
    <row r="864" spans="1:1" x14ac:dyDescent="0.2">
      <c r="A864" s="2"/>
    </row>
    <row r="865" spans="1:1" x14ac:dyDescent="0.2">
      <c r="A865" s="2"/>
    </row>
    <row r="866" spans="1:1" x14ac:dyDescent="0.2">
      <c r="A866" s="2"/>
    </row>
    <row r="867" spans="1:1" x14ac:dyDescent="0.2">
      <c r="A867" s="2"/>
    </row>
    <row r="868" spans="1:1" x14ac:dyDescent="0.2">
      <c r="A868" s="2"/>
    </row>
    <row r="869" spans="1:1" x14ac:dyDescent="0.2">
      <c r="A869" s="2"/>
    </row>
    <row r="870" spans="1:1" x14ac:dyDescent="0.2">
      <c r="A870" s="2"/>
    </row>
    <row r="871" spans="1:1" x14ac:dyDescent="0.2">
      <c r="A871" s="2"/>
    </row>
    <row r="872" spans="1:1" x14ac:dyDescent="0.2">
      <c r="A872" s="2"/>
    </row>
    <row r="873" spans="1:1" x14ac:dyDescent="0.2">
      <c r="A873" s="2"/>
    </row>
    <row r="874" spans="1:1" x14ac:dyDescent="0.2">
      <c r="A874" s="2"/>
    </row>
    <row r="875" spans="1:1" x14ac:dyDescent="0.2">
      <c r="A875" s="2"/>
    </row>
    <row r="876" spans="1:1" x14ac:dyDescent="0.2">
      <c r="A876" s="2"/>
    </row>
    <row r="877" spans="1:1" x14ac:dyDescent="0.2">
      <c r="A877" s="2"/>
    </row>
    <row r="878" spans="1:1" x14ac:dyDescent="0.2">
      <c r="A878" s="2"/>
    </row>
    <row r="879" spans="1:1" x14ac:dyDescent="0.2">
      <c r="A879" s="2"/>
    </row>
    <row r="880" spans="1:1" x14ac:dyDescent="0.2">
      <c r="A880" s="2"/>
    </row>
    <row r="881" spans="1:1" x14ac:dyDescent="0.2">
      <c r="A881" s="2"/>
    </row>
    <row r="882" spans="1:1" x14ac:dyDescent="0.2">
      <c r="A882" s="2"/>
    </row>
    <row r="883" spans="1:1" x14ac:dyDescent="0.2">
      <c r="A883" s="2"/>
    </row>
    <row r="884" spans="1:1" x14ac:dyDescent="0.2">
      <c r="A884" s="2"/>
    </row>
    <row r="885" spans="1:1" x14ac:dyDescent="0.2">
      <c r="A885" s="2"/>
    </row>
    <row r="886" spans="1:1" x14ac:dyDescent="0.2">
      <c r="A886" s="2"/>
    </row>
    <row r="887" spans="1:1" x14ac:dyDescent="0.2">
      <c r="A887" s="2"/>
    </row>
    <row r="888" spans="1:1" x14ac:dyDescent="0.2">
      <c r="A888" s="2"/>
    </row>
    <row r="889" spans="1:1" x14ac:dyDescent="0.2">
      <c r="A889" s="2"/>
    </row>
    <row r="890" spans="1:1" x14ac:dyDescent="0.2">
      <c r="A890" s="2"/>
    </row>
    <row r="891" spans="1:1" x14ac:dyDescent="0.2">
      <c r="A891" s="2"/>
    </row>
    <row r="892" spans="1:1" x14ac:dyDescent="0.2">
      <c r="A892" s="2"/>
    </row>
    <row r="893" spans="1:1" x14ac:dyDescent="0.2">
      <c r="A893" s="2"/>
    </row>
    <row r="894" spans="1:1" x14ac:dyDescent="0.2">
      <c r="A894" s="2"/>
    </row>
    <row r="895" spans="1:1" x14ac:dyDescent="0.2">
      <c r="A895" s="2"/>
    </row>
    <row r="896" spans="1:1" x14ac:dyDescent="0.2">
      <c r="A896" s="2"/>
    </row>
    <row r="897" spans="1:1" x14ac:dyDescent="0.2">
      <c r="A897" s="2"/>
    </row>
    <row r="898" spans="1:1" x14ac:dyDescent="0.2">
      <c r="A898" s="2"/>
    </row>
    <row r="899" spans="1:1" x14ac:dyDescent="0.2">
      <c r="A899" s="2"/>
    </row>
    <row r="900" spans="1:1" x14ac:dyDescent="0.2">
      <c r="A900" s="2"/>
    </row>
    <row r="901" spans="1:1" x14ac:dyDescent="0.2">
      <c r="A901" s="2"/>
    </row>
    <row r="902" spans="1:1" x14ac:dyDescent="0.2">
      <c r="A902" s="2"/>
    </row>
    <row r="903" spans="1:1" x14ac:dyDescent="0.2">
      <c r="A903" s="2"/>
    </row>
    <row r="904" spans="1:1" x14ac:dyDescent="0.2">
      <c r="A904" s="2"/>
    </row>
    <row r="905" spans="1:1" x14ac:dyDescent="0.2">
      <c r="A905" s="2"/>
    </row>
    <row r="906" spans="1:1" x14ac:dyDescent="0.2">
      <c r="A906" s="2"/>
    </row>
    <row r="907" spans="1:1" x14ac:dyDescent="0.2">
      <c r="A907" s="2"/>
    </row>
    <row r="908" spans="1:1" x14ac:dyDescent="0.2">
      <c r="A908" s="2"/>
    </row>
    <row r="909" spans="1:1" x14ac:dyDescent="0.2">
      <c r="A909" s="2"/>
    </row>
    <row r="910" spans="1:1" x14ac:dyDescent="0.2">
      <c r="A910" s="2"/>
    </row>
    <row r="911" spans="1:1" x14ac:dyDescent="0.2">
      <c r="A911" s="2"/>
    </row>
    <row r="912" spans="1:1" x14ac:dyDescent="0.2">
      <c r="A912" s="2"/>
    </row>
    <row r="913" spans="1:1" x14ac:dyDescent="0.2">
      <c r="A913" s="2"/>
    </row>
    <row r="914" spans="1:1" x14ac:dyDescent="0.2">
      <c r="A914" s="2"/>
    </row>
    <row r="915" spans="1:1" x14ac:dyDescent="0.2">
      <c r="A915" s="2"/>
    </row>
    <row r="916" spans="1:1" x14ac:dyDescent="0.2">
      <c r="A916" s="2"/>
    </row>
    <row r="917" spans="1:1" x14ac:dyDescent="0.2">
      <c r="A917" s="2"/>
    </row>
    <row r="918" spans="1:1" x14ac:dyDescent="0.2">
      <c r="A918" s="2"/>
    </row>
    <row r="919" spans="1:1" x14ac:dyDescent="0.2">
      <c r="A919" s="2"/>
    </row>
    <row r="920" spans="1:1" x14ac:dyDescent="0.2">
      <c r="A920" s="2"/>
    </row>
    <row r="921" spans="1:1" x14ac:dyDescent="0.2">
      <c r="A921" s="2"/>
    </row>
    <row r="922" spans="1:1" x14ac:dyDescent="0.2">
      <c r="A922" s="2"/>
    </row>
    <row r="923" spans="1:1" x14ac:dyDescent="0.2">
      <c r="A923" s="2"/>
    </row>
    <row r="924" spans="1:1" x14ac:dyDescent="0.2">
      <c r="A924" s="2"/>
    </row>
    <row r="925" spans="1:1" x14ac:dyDescent="0.2">
      <c r="A925" s="2"/>
    </row>
    <row r="926" spans="1:1" x14ac:dyDescent="0.2">
      <c r="A926" s="2"/>
    </row>
    <row r="927" spans="1:1" x14ac:dyDescent="0.2">
      <c r="A927" s="2"/>
    </row>
    <row r="928" spans="1:1" x14ac:dyDescent="0.2">
      <c r="A928" s="2"/>
    </row>
    <row r="929" spans="1:1" x14ac:dyDescent="0.2">
      <c r="A929" s="2"/>
    </row>
    <row r="930" spans="1:1" x14ac:dyDescent="0.2">
      <c r="A930" s="2"/>
    </row>
    <row r="931" spans="1:1" x14ac:dyDescent="0.2">
      <c r="A931" s="2"/>
    </row>
    <row r="932" spans="1:1" x14ac:dyDescent="0.2">
      <c r="A932" s="2"/>
    </row>
    <row r="933" spans="1:1" x14ac:dyDescent="0.2">
      <c r="A933" s="2"/>
    </row>
    <row r="934" spans="1:1" x14ac:dyDescent="0.2">
      <c r="A934" s="2"/>
    </row>
    <row r="935" spans="1:1" x14ac:dyDescent="0.2">
      <c r="A935" s="2"/>
    </row>
    <row r="936" spans="1:1" x14ac:dyDescent="0.2">
      <c r="A936" s="2"/>
    </row>
    <row r="937" spans="1:1" x14ac:dyDescent="0.2">
      <c r="A937" s="2"/>
    </row>
    <row r="938" spans="1:1" x14ac:dyDescent="0.2">
      <c r="A938" s="2"/>
    </row>
    <row r="939" spans="1:1" x14ac:dyDescent="0.2">
      <c r="A939" s="2"/>
    </row>
    <row r="940" spans="1:1" x14ac:dyDescent="0.2">
      <c r="A940" s="2"/>
    </row>
    <row r="941" spans="1:1" x14ac:dyDescent="0.2">
      <c r="A941" s="2"/>
    </row>
    <row r="942" spans="1:1" x14ac:dyDescent="0.2">
      <c r="A942" s="2"/>
    </row>
    <row r="943" spans="1:1" x14ac:dyDescent="0.2">
      <c r="A943" s="2"/>
    </row>
    <row r="944" spans="1:1" x14ac:dyDescent="0.2">
      <c r="A944" s="2"/>
    </row>
    <row r="945" spans="1:1" x14ac:dyDescent="0.2">
      <c r="A945" s="2"/>
    </row>
    <row r="946" spans="1:1" x14ac:dyDescent="0.2">
      <c r="A946" s="2"/>
    </row>
    <row r="947" spans="1:1" x14ac:dyDescent="0.2">
      <c r="A947" s="2"/>
    </row>
    <row r="948" spans="1:1" x14ac:dyDescent="0.2">
      <c r="A948" s="2"/>
    </row>
    <row r="949" spans="1:1" x14ac:dyDescent="0.2">
      <c r="A949" s="2"/>
    </row>
    <row r="950" spans="1:1" x14ac:dyDescent="0.2">
      <c r="A950" s="2"/>
    </row>
    <row r="951" spans="1:1" x14ac:dyDescent="0.2">
      <c r="A951" s="2"/>
    </row>
    <row r="952" spans="1:1" x14ac:dyDescent="0.2">
      <c r="A952" s="2"/>
    </row>
    <row r="953" spans="1:1" x14ac:dyDescent="0.2">
      <c r="A953" s="2"/>
    </row>
    <row r="954" spans="1:1" x14ac:dyDescent="0.2">
      <c r="A954" s="2"/>
    </row>
    <row r="955" spans="1:1" x14ac:dyDescent="0.2">
      <c r="A955" s="2"/>
    </row>
    <row r="956" spans="1:1" x14ac:dyDescent="0.2">
      <c r="A956" s="2"/>
    </row>
    <row r="957" spans="1:1" x14ac:dyDescent="0.2">
      <c r="A957" s="2"/>
    </row>
    <row r="958" spans="1:1" x14ac:dyDescent="0.2">
      <c r="A958" s="2"/>
    </row>
    <row r="959" spans="1:1" x14ac:dyDescent="0.2">
      <c r="A959" s="2"/>
    </row>
    <row r="960" spans="1:1" x14ac:dyDescent="0.2">
      <c r="A960" s="2"/>
    </row>
    <row r="961" spans="1:1" x14ac:dyDescent="0.2">
      <c r="A961" s="2"/>
    </row>
    <row r="962" spans="1:1" x14ac:dyDescent="0.2">
      <c r="A962" s="2"/>
    </row>
    <row r="963" spans="1:1" x14ac:dyDescent="0.2">
      <c r="A963" s="2"/>
    </row>
    <row r="964" spans="1:1" x14ac:dyDescent="0.2">
      <c r="A964" s="2"/>
    </row>
    <row r="965" spans="1:1" x14ac:dyDescent="0.2">
      <c r="A965" s="2"/>
    </row>
    <row r="966" spans="1:1" x14ac:dyDescent="0.2">
      <c r="A966" s="2"/>
    </row>
    <row r="967" spans="1:1" x14ac:dyDescent="0.2">
      <c r="A967" s="2"/>
    </row>
    <row r="968" spans="1:1" x14ac:dyDescent="0.2">
      <c r="A968" s="2"/>
    </row>
    <row r="969" spans="1:1" x14ac:dyDescent="0.2">
      <c r="A969" s="2"/>
    </row>
    <row r="970" spans="1:1" x14ac:dyDescent="0.2">
      <c r="A970" s="2"/>
    </row>
    <row r="971" spans="1:1" x14ac:dyDescent="0.2">
      <c r="A971" s="2"/>
    </row>
    <row r="972" spans="1:1" x14ac:dyDescent="0.2">
      <c r="A972" s="2"/>
    </row>
    <row r="973" spans="1:1" x14ac:dyDescent="0.2">
      <c r="A973" s="2"/>
    </row>
    <row r="974" spans="1:1" x14ac:dyDescent="0.2">
      <c r="A974" s="2"/>
    </row>
    <row r="975" spans="1:1" x14ac:dyDescent="0.2">
      <c r="A975" s="2"/>
    </row>
    <row r="976" spans="1:1" x14ac:dyDescent="0.2">
      <c r="A976" s="2"/>
    </row>
    <row r="977" spans="1:1" x14ac:dyDescent="0.2">
      <c r="A977" s="2"/>
    </row>
    <row r="978" spans="1:1" x14ac:dyDescent="0.2">
      <c r="A978" s="2"/>
    </row>
    <row r="979" spans="1:1" x14ac:dyDescent="0.2">
      <c r="A979" s="2"/>
    </row>
    <row r="980" spans="1:1" x14ac:dyDescent="0.2">
      <c r="A980" s="2"/>
    </row>
    <row r="981" spans="1:1" x14ac:dyDescent="0.2">
      <c r="A981" s="2"/>
    </row>
    <row r="982" spans="1:1" x14ac:dyDescent="0.2">
      <c r="A982" s="2"/>
    </row>
    <row r="983" spans="1:1" x14ac:dyDescent="0.2">
      <c r="A983" s="2"/>
    </row>
    <row r="984" spans="1:1" x14ac:dyDescent="0.2">
      <c r="A984" s="2"/>
    </row>
    <row r="985" spans="1:1" x14ac:dyDescent="0.2">
      <c r="A985" s="2"/>
    </row>
    <row r="986" spans="1:1" x14ac:dyDescent="0.2">
      <c r="A986" s="2"/>
    </row>
    <row r="987" spans="1:1" x14ac:dyDescent="0.2">
      <c r="A987" s="2"/>
    </row>
    <row r="988" spans="1:1" x14ac:dyDescent="0.2">
      <c r="A988" s="2"/>
    </row>
    <row r="989" spans="1:1" x14ac:dyDescent="0.2">
      <c r="A989" s="2"/>
    </row>
    <row r="990" spans="1:1" x14ac:dyDescent="0.2">
      <c r="A990" s="2"/>
    </row>
    <row r="991" spans="1:1" x14ac:dyDescent="0.2">
      <c r="A991" s="2"/>
    </row>
    <row r="992" spans="1:1" x14ac:dyDescent="0.2">
      <c r="A992" s="2"/>
    </row>
    <row r="993" spans="1:1" x14ac:dyDescent="0.2">
      <c r="A993" s="2"/>
    </row>
    <row r="994" spans="1:1" x14ac:dyDescent="0.2">
      <c r="A994" s="2"/>
    </row>
    <row r="995" spans="1:1" x14ac:dyDescent="0.2">
      <c r="A995" s="2"/>
    </row>
    <row r="996" spans="1:1" x14ac:dyDescent="0.2">
      <c r="A996" s="2"/>
    </row>
    <row r="997" spans="1:1" x14ac:dyDescent="0.2">
      <c r="A997" s="2"/>
    </row>
    <row r="998" spans="1:1" x14ac:dyDescent="0.2">
      <c r="A998" s="2"/>
    </row>
    <row r="999" spans="1:1" x14ac:dyDescent="0.2">
      <c r="A999" s="2"/>
    </row>
    <row r="1000" spans="1:1" x14ac:dyDescent="0.2">
      <c r="A1000" s="2"/>
    </row>
    <row r="1001" spans="1:1" x14ac:dyDescent="0.2">
      <c r="A1001" s="2"/>
    </row>
    <row r="1002" spans="1:1" x14ac:dyDescent="0.2">
      <c r="A1002" s="2"/>
    </row>
    <row r="1003" spans="1:1" x14ac:dyDescent="0.2">
      <c r="A1003" s="2"/>
    </row>
    <row r="1004" spans="1:1" x14ac:dyDescent="0.2">
      <c r="A1004" s="2"/>
    </row>
    <row r="1005" spans="1:1" x14ac:dyDescent="0.2">
      <c r="A1005" s="2"/>
    </row>
    <row r="1006" spans="1:1" x14ac:dyDescent="0.2">
      <c r="A1006" s="2"/>
    </row>
    <row r="1007" spans="1:1" x14ac:dyDescent="0.2">
      <c r="A1007" s="2"/>
    </row>
    <row r="1008" spans="1:1" x14ac:dyDescent="0.2">
      <c r="A1008" s="2"/>
    </row>
    <row r="1009" spans="1:1" x14ac:dyDescent="0.2">
      <c r="A1009" s="2"/>
    </row>
    <row r="1010" spans="1:1" x14ac:dyDescent="0.2">
      <c r="A1010" s="2"/>
    </row>
    <row r="1011" spans="1:1" x14ac:dyDescent="0.2">
      <c r="A1011" s="2"/>
    </row>
    <row r="1012" spans="1:1" x14ac:dyDescent="0.2">
      <c r="A1012" s="2"/>
    </row>
    <row r="1013" spans="1:1" x14ac:dyDescent="0.2">
      <c r="A1013" s="2"/>
    </row>
    <row r="1014" spans="1:1" x14ac:dyDescent="0.2">
      <c r="A1014" s="2"/>
    </row>
    <row r="1015" spans="1:1" x14ac:dyDescent="0.2">
      <c r="A1015" s="2"/>
    </row>
    <row r="1016" spans="1:1" x14ac:dyDescent="0.2">
      <c r="A1016" s="2"/>
    </row>
    <row r="1017" spans="1:1" x14ac:dyDescent="0.2">
      <c r="A1017" s="2"/>
    </row>
    <row r="1018" spans="1:1" x14ac:dyDescent="0.2">
      <c r="A1018" s="2"/>
    </row>
    <row r="1019" spans="1:1" x14ac:dyDescent="0.2">
      <c r="A1019" s="2"/>
    </row>
    <row r="1020" spans="1:1" x14ac:dyDescent="0.2">
      <c r="A1020" s="2"/>
    </row>
    <row r="1021" spans="1:1" x14ac:dyDescent="0.2">
      <c r="A1021" s="2"/>
    </row>
    <row r="1022" spans="1:1" x14ac:dyDescent="0.2">
      <c r="A1022" s="2"/>
    </row>
    <row r="1023" spans="1:1" x14ac:dyDescent="0.2">
      <c r="A1023" s="2"/>
    </row>
    <row r="1024" spans="1:1" x14ac:dyDescent="0.2">
      <c r="A1024" s="2"/>
    </row>
    <row r="1025" spans="1:1" x14ac:dyDescent="0.2">
      <c r="A1025" s="2"/>
    </row>
    <row r="1026" spans="1:1" x14ac:dyDescent="0.2">
      <c r="A1026" s="2"/>
    </row>
    <row r="1027" spans="1:1" x14ac:dyDescent="0.2">
      <c r="A1027" s="2"/>
    </row>
    <row r="1028" spans="1:1" x14ac:dyDescent="0.2">
      <c r="A1028" s="2"/>
    </row>
    <row r="1029" spans="1:1" x14ac:dyDescent="0.2">
      <c r="A1029" s="2"/>
    </row>
    <row r="1030" spans="1:1" x14ac:dyDescent="0.2">
      <c r="A1030" s="2"/>
    </row>
    <row r="1031" spans="1:1" x14ac:dyDescent="0.2">
      <c r="A1031" s="2"/>
    </row>
    <row r="1032" spans="1:1" x14ac:dyDescent="0.2">
      <c r="A1032" s="2"/>
    </row>
    <row r="1033" spans="1:1" x14ac:dyDescent="0.2">
      <c r="A1033" s="2"/>
    </row>
    <row r="1034" spans="1:1" x14ac:dyDescent="0.2">
      <c r="A1034" s="2"/>
    </row>
    <row r="1035" spans="1:1" x14ac:dyDescent="0.2">
      <c r="A1035" s="2"/>
    </row>
    <row r="1036" spans="1:1" x14ac:dyDescent="0.2">
      <c r="A1036" s="2"/>
    </row>
    <row r="1037" spans="1:1" x14ac:dyDescent="0.2">
      <c r="A1037" s="2"/>
    </row>
    <row r="1038" spans="1:1" x14ac:dyDescent="0.2">
      <c r="A1038" s="2"/>
    </row>
    <row r="1039" spans="1:1" x14ac:dyDescent="0.2">
      <c r="A1039" s="2"/>
    </row>
    <row r="1040" spans="1:1" x14ac:dyDescent="0.2">
      <c r="A1040" s="2"/>
    </row>
    <row r="1041" spans="1:1" x14ac:dyDescent="0.2">
      <c r="A1041" s="2"/>
    </row>
    <row r="1042" spans="1:1" x14ac:dyDescent="0.2">
      <c r="A1042" s="2"/>
    </row>
    <row r="1043" spans="1:1" x14ac:dyDescent="0.2">
      <c r="A1043" s="2"/>
    </row>
    <row r="1044" spans="1:1" x14ac:dyDescent="0.2">
      <c r="A1044" s="2"/>
    </row>
    <row r="1045" spans="1:1" x14ac:dyDescent="0.2">
      <c r="A1045" s="2"/>
    </row>
    <row r="1046" spans="1:1" x14ac:dyDescent="0.2">
      <c r="A1046" s="2"/>
    </row>
    <row r="1047" spans="1:1" x14ac:dyDescent="0.2">
      <c r="A1047" s="2"/>
    </row>
    <row r="1048" spans="1:1" x14ac:dyDescent="0.2">
      <c r="A1048" s="2"/>
    </row>
    <row r="1049" spans="1:1" x14ac:dyDescent="0.2">
      <c r="A1049" s="2"/>
    </row>
    <row r="1050" spans="1:1" x14ac:dyDescent="0.2">
      <c r="A1050" s="2"/>
    </row>
    <row r="1051" spans="1:1" x14ac:dyDescent="0.2">
      <c r="A1051" s="2"/>
    </row>
    <row r="1052" spans="1:1" x14ac:dyDescent="0.2">
      <c r="A1052" s="2"/>
    </row>
    <row r="1053" spans="1:1" x14ac:dyDescent="0.2">
      <c r="A1053" s="2"/>
    </row>
    <row r="1054" spans="1:1" x14ac:dyDescent="0.2">
      <c r="A1054" s="2"/>
    </row>
    <row r="1055" spans="1:1" x14ac:dyDescent="0.2">
      <c r="A1055" s="2"/>
    </row>
    <row r="1056" spans="1:1" x14ac:dyDescent="0.2">
      <c r="A1056" s="2"/>
    </row>
    <row r="1057" spans="1:1" x14ac:dyDescent="0.2">
      <c r="A1057" s="2"/>
    </row>
    <row r="1058" spans="1:1" x14ac:dyDescent="0.2">
      <c r="A1058" s="2"/>
    </row>
    <row r="1059" spans="1:1" x14ac:dyDescent="0.2">
      <c r="A1059" s="2"/>
    </row>
    <row r="1060" spans="1:1" x14ac:dyDescent="0.2">
      <c r="A1060" s="2"/>
    </row>
    <row r="1061" spans="1:1" x14ac:dyDescent="0.2">
      <c r="A1061" s="2"/>
    </row>
    <row r="1062" spans="1:1" x14ac:dyDescent="0.2">
      <c r="A1062" s="2"/>
    </row>
    <row r="1063" spans="1:1" x14ac:dyDescent="0.2">
      <c r="A1063" s="2"/>
    </row>
    <row r="1064" spans="1:1" x14ac:dyDescent="0.2">
      <c r="A1064" s="2"/>
    </row>
    <row r="1065" spans="1:1" x14ac:dyDescent="0.2">
      <c r="A1065" s="2"/>
    </row>
    <row r="1066" spans="1:1" x14ac:dyDescent="0.2">
      <c r="A1066" s="2"/>
    </row>
    <row r="1067" spans="1:1" x14ac:dyDescent="0.2">
      <c r="A1067" s="2"/>
    </row>
    <row r="1068" spans="1:1" x14ac:dyDescent="0.2">
      <c r="A1068" s="2"/>
    </row>
    <row r="1069" spans="1:1" x14ac:dyDescent="0.2">
      <c r="A1069" s="2"/>
    </row>
    <row r="1070" spans="1:1" x14ac:dyDescent="0.2">
      <c r="A1070" s="2"/>
    </row>
    <row r="1071" spans="1:1" x14ac:dyDescent="0.2">
      <c r="A1071" s="2"/>
    </row>
    <row r="1072" spans="1:1" x14ac:dyDescent="0.2">
      <c r="A1072" s="2"/>
    </row>
    <row r="1073" spans="1:1" x14ac:dyDescent="0.2">
      <c r="A1073" s="2"/>
    </row>
    <row r="1074" spans="1:1" x14ac:dyDescent="0.2">
      <c r="A1074" s="2"/>
    </row>
    <row r="1075" spans="1:1" x14ac:dyDescent="0.2">
      <c r="A1075" s="2"/>
    </row>
    <row r="1076" spans="1:1" x14ac:dyDescent="0.2">
      <c r="A1076" s="2"/>
    </row>
    <row r="1077" spans="1:1" x14ac:dyDescent="0.2">
      <c r="A1077" s="2"/>
    </row>
    <row r="1078" spans="1:1" x14ac:dyDescent="0.2">
      <c r="A1078" s="2"/>
    </row>
    <row r="1079" spans="1:1" x14ac:dyDescent="0.2">
      <c r="A1079" s="2"/>
    </row>
    <row r="1080" spans="1:1" x14ac:dyDescent="0.2">
      <c r="A1080" s="2"/>
    </row>
    <row r="1081" spans="1:1" x14ac:dyDescent="0.2">
      <c r="A1081" s="2"/>
    </row>
    <row r="1082" spans="1:1" x14ac:dyDescent="0.2">
      <c r="A1082" s="2"/>
    </row>
    <row r="1083" spans="1:1" x14ac:dyDescent="0.2">
      <c r="A1083" s="2"/>
    </row>
    <row r="1084" spans="1:1" x14ac:dyDescent="0.2">
      <c r="A1084" s="2"/>
    </row>
    <row r="1085" spans="1:1" x14ac:dyDescent="0.2">
      <c r="A1085" s="2"/>
    </row>
    <row r="1086" spans="1:1" x14ac:dyDescent="0.2">
      <c r="A1086" s="2"/>
    </row>
    <row r="1087" spans="1:1" x14ac:dyDescent="0.2">
      <c r="A1087" s="2"/>
    </row>
    <row r="1088" spans="1:1" x14ac:dyDescent="0.2">
      <c r="A1088" s="2"/>
    </row>
    <row r="1089" spans="1:1" x14ac:dyDescent="0.2">
      <c r="A1089" s="2"/>
    </row>
    <row r="1090" spans="1:1" x14ac:dyDescent="0.2">
      <c r="A1090" s="2"/>
    </row>
    <row r="1091" spans="1:1" x14ac:dyDescent="0.2">
      <c r="A1091" s="2"/>
    </row>
    <row r="1092" spans="1:1" x14ac:dyDescent="0.2">
      <c r="A1092" s="2"/>
    </row>
    <row r="1093" spans="1:1" x14ac:dyDescent="0.2">
      <c r="A1093" s="2"/>
    </row>
    <row r="1094" spans="1:1" x14ac:dyDescent="0.2">
      <c r="A1094" s="2"/>
    </row>
    <row r="1095" spans="1:1" x14ac:dyDescent="0.2">
      <c r="A1095" s="2"/>
    </row>
    <row r="1096" spans="1:1" x14ac:dyDescent="0.2">
      <c r="A1096" s="2"/>
    </row>
    <row r="1097" spans="1:1" x14ac:dyDescent="0.2">
      <c r="A1097" s="2"/>
    </row>
    <row r="1098" spans="1:1" x14ac:dyDescent="0.2">
      <c r="A1098" s="2"/>
    </row>
    <row r="1099" spans="1:1" x14ac:dyDescent="0.2">
      <c r="A1099" s="2"/>
    </row>
    <row r="1100" spans="1:1" x14ac:dyDescent="0.2">
      <c r="A1100" s="2"/>
    </row>
    <row r="1101" spans="1:1" x14ac:dyDescent="0.2">
      <c r="A1101" s="2"/>
    </row>
    <row r="1102" spans="1:1" x14ac:dyDescent="0.2">
      <c r="A1102" s="2"/>
    </row>
    <row r="1103" spans="1:1" x14ac:dyDescent="0.2">
      <c r="A1103" s="2"/>
    </row>
    <row r="1104" spans="1:1" x14ac:dyDescent="0.2">
      <c r="A1104" s="2"/>
    </row>
    <row r="1105" spans="1:1" x14ac:dyDescent="0.2">
      <c r="A1105" s="2"/>
    </row>
    <row r="1106" spans="1:1" x14ac:dyDescent="0.2">
      <c r="A1106" s="2"/>
    </row>
    <row r="1107" spans="1:1" x14ac:dyDescent="0.2">
      <c r="A1107" s="2"/>
    </row>
    <row r="1108" spans="1:1" x14ac:dyDescent="0.2">
      <c r="A1108" s="2"/>
    </row>
    <row r="1109" spans="1:1" x14ac:dyDescent="0.2">
      <c r="A1109" s="2"/>
    </row>
    <row r="1110" spans="1:1" x14ac:dyDescent="0.2">
      <c r="A1110" s="2"/>
    </row>
    <row r="1111" spans="1:1" x14ac:dyDescent="0.2">
      <c r="A1111" s="2"/>
    </row>
    <row r="1112" spans="1:1" x14ac:dyDescent="0.2">
      <c r="A1112" s="2"/>
    </row>
    <row r="1113" spans="1:1" x14ac:dyDescent="0.2">
      <c r="A1113" s="2"/>
    </row>
    <row r="1114" spans="1:1" x14ac:dyDescent="0.2">
      <c r="A1114" s="2"/>
    </row>
    <row r="1115" spans="1:1" x14ac:dyDescent="0.2">
      <c r="A1115" s="2"/>
    </row>
    <row r="1116" spans="1:1" x14ac:dyDescent="0.2">
      <c r="A1116" s="2"/>
    </row>
    <row r="1117" spans="1:1" x14ac:dyDescent="0.2">
      <c r="A1117" s="2"/>
    </row>
    <row r="1118" spans="1:1" x14ac:dyDescent="0.2">
      <c r="A1118" s="2"/>
    </row>
    <row r="1119" spans="1:1" x14ac:dyDescent="0.2">
      <c r="A1119" s="2"/>
    </row>
    <row r="1120" spans="1:1" x14ac:dyDescent="0.2">
      <c r="A1120" s="2"/>
    </row>
    <row r="1121" spans="1:1" x14ac:dyDescent="0.2">
      <c r="A1121" s="2"/>
    </row>
    <row r="1122" spans="1:1" x14ac:dyDescent="0.2">
      <c r="A1122" s="2"/>
    </row>
    <row r="1123" spans="1:1" x14ac:dyDescent="0.2">
      <c r="A1123" s="2"/>
    </row>
    <row r="1124" spans="1:1" x14ac:dyDescent="0.2">
      <c r="A1124" s="2"/>
    </row>
    <row r="1125" spans="1:1" x14ac:dyDescent="0.2">
      <c r="A1125" s="2"/>
    </row>
    <row r="1126" spans="1:1" x14ac:dyDescent="0.2">
      <c r="A1126" s="2"/>
    </row>
    <row r="1127" spans="1:1" x14ac:dyDescent="0.2">
      <c r="A1127" s="2"/>
    </row>
    <row r="1128" spans="1:1" x14ac:dyDescent="0.2">
      <c r="A1128" s="2"/>
    </row>
    <row r="1129" spans="1:1" x14ac:dyDescent="0.2">
      <c r="A1129" s="2"/>
    </row>
    <row r="1130" spans="1:1" x14ac:dyDescent="0.2">
      <c r="A1130" s="2"/>
    </row>
    <row r="1131" spans="1:1" x14ac:dyDescent="0.2">
      <c r="A1131" s="2"/>
    </row>
    <row r="1132" spans="1:1" x14ac:dyDescent="0.2">
      <c r="A1132" s="2"/>
    </row>
    <row r="1133" spans="1:1" x14ac:dyDescent="0.2">
      <c r="A1133" s="2"/>
    </row>
    <row r="1134" spans="1:1" x14ac:dyDescent="0.2">
      <c r="A1134" s="2"/>
    </row>
    <row r="1135" spans="1:1" x14ac:dyDescent="0.2">
      <c r="A1135" s="2"/>
    </row>
    <row r="1136" spans="1:1" x14ac:dyDescent="0.2">
      <c r="A1136" s="2"/>
    </row>
    <row r="1137" spans="1:1" x14ac:dyDescent="0.2">
      <c r="A1137" s="2"/>
    </row>
    <row r="1138" spans="1:1" x14ac:dyDescent="0.2">
      <c r="A1138" s="2"/>
    </row>
    <row r="1139" spans="1:1" x14ac:dyDescent="0.2">
      <c r="A1139" s="2"/>
    </row>
    <row r="1140" spans="1:1" x14ac:dyDescent="0.2">
      <c r="A1140" s="2"/>
    </row>
    <row r="1141" spans="1:1" x14ac:dyDescent="0.2">
      <c r="A1141" s="2"/>
    </row>
    <row r="1142" spans="1:1" x14ac:dyDescent="0.2">
      <c r="A1142" s="2"/>
    </row>
    <row r="1143" spans="1:1" x14ac:dyDescent="0.2">
      <c r="A1143" s="2"/>
    </row>
    <row r="1144" spans="1:1" x14ac:dyDescent="0.2">
      <c r="A1144" s="2"/>
    </row>
    <row r="1145" spans="1:1" x14ac:dyDescent="0.2">
      <c r="A1145" s="2"/>
    </row>
    <row r="1146" spans="1:1" x14ac:dyDescent="0.2">
      <c r="A1146" s="2"/>
    </row>
    <row r="1147" spans="1:1" x14ac:dyDescent="0.2">
      <c r="A1147" s="2"/>
    </row>
    <row r="1148" spans="1:1" x14ac:dyDescent="0.2">
      <c r="A1148" s="2"/>
    </row>
    <row r="1149" spans="1:1" x14ac:dyDescent="0.2">
      <c r="A1149" s="2"/>
    </row>
    <row r="1150" spans="1:1" x14ac:dyDescent="0.2">
      <c r="A1150" s="2"/>
    </row>
    <row r="1151" spans="1:1" x14ac:dyDescent="0.2">
      <c r="A1151" s="2"/>
    </row>
    <row r="1152" spans="1:1" x14ac:dyDescent="0.2">
      <c r="A1152" s="2"/>
    </row>
    <row r="1153" spans="1:1" x14ac:dyDescent="0.2">
      <c r="A1153" s="2"/>
    </row>
    <row r="1154" spans="1:1" x14ac:dyDescent="0.2">
      <c r="A1154" s="2"/>
    </row>
    <row r="1155" spans="1:1" x14ac:dyDescent="0.2">
      <c r="A1155" s="2"/>
    </row>
    <row r="1156" spans="1:1" x14ac:dyDescent="0.2">
      <c r="A1156" s="2"/>
    </row>
    <row r="1157" spans="1:1" x14ac:dyDescent="0.2">
      <c r="A1157" s="2"/>
    </row>
    <row r="1158" spans="1:1" x14ac:dyDescent="0.2">
      <c r="A1158" s="2"/>
    </row>
    <row r="1159" spans="1:1" x14ac:dyDescent="0.2">
      <c r="A1159" s="2"/>
    </row>
    <row r="1160" spans="1:1" x14ac:dyDescent="0.2">
      <c r="A1160" s="2"/>
    </row>
    <row r="1161" spans="1:1" x14ac:dyDescent="0.2">
      <c r="A1161" s="2"/>
    </row>
    <row r="1162" spans="1:1" x14ac:dyDescent="0.2">
      <c r="A1162" s="2"/>
    </row>
    <row r="1163" spans="1:1" x14ac:dyDescent="0.2">
      <c r="A1163" s="2"/>
    </row>
    <row r="1164" spans="1:1" x14ac:dyDescent="0.2">
      <c r="A1164" s="2"/>
    </row>
    <row r="1165" spans="1:1" x14ac:dyDescent="0.2">
      <c r="A1165" s="2"/>
    </row>
    <row r="1166" spans="1:1" x14ac:dyDescent="0.2">
      <c r="A1166" s="2"/>
    </row>
    <row r="1167" spans="1:1" x14ac:dyDescent="0.2">
      <c r="A1167" s="2"/>
    </row>
    <row r="1168" spans="1:1" x14ac:dyDescent="0.2">
      <c r="A1168" s="2"/>
    </row>
    <row r="1169" spans="1:1" x14ac:dyDescent="0.2">
      <c r="A1169" s="2"/>
    </row>
    <row r="1170" spans="1:1" x14ac:dyDescent="0.2">
      <c r="A1170" s="2"/>
    </row>
    <row r="1171" spans="1:1" x14ac:dyDescent="0.2">
      <c r="A1171" s="2"/>
    </row>
    <row r="1172" spans="1:1" x14ac:dyDescent="0.2">
      <c r="A1172" s="2"/>
    </row>
    <row r="1173" spans="1:1" x14ac:dyDescent="0.2">
      <c r="A1173" s="2"/>
    </row>
    <row r="1174" spans="1:1" x14ac:dyDescent="0.2">
      <c r="A1174" s="2"/>
    </row>
    <row r="1175" spans="1:1" x14ac:dyDescent="0.2">
      <c r="A1175" s="2"/>
    </row>
    <row r="1176" spans="1:1" x14ac:dyDescent="0.2">
      <c r="A1176" s="2"/>
    </row>
    <row r="1177" spans="1:1" x14ac:dyDescent="0.2">
      <c r="A1177" s="2"/>
    </row>
    <row r="1178" spans="1:1" x14ac:dyDescent="0.2">
      <c r="A1178" s="2"/>
    </row>
    <row r="1179" spans="1:1" x14ac:dyDescent="0.2">
      <c r="A1179" s="2"/>
    </row>
    <row r="1180" spans="1:1" x14ac:dyDescent="0.2">
      <c r="A1180" s="2"/>
    </row>
    <row r="1181" spans="1:1" x14ac:dyDescent="0.2">
      <c r="A1181" s="2"/>
    </row>
    <row r="1182" spans="1:1" x14ac:dyDescent="0.2">
      <c r="A1182" s="2"/>
    </row>
    <row r="1183" spans="1:1" x14ac:dyDescent="0.2">
      <c r="A1183" s="2"/>
    </row>
    <row r="1184" spans="1:1" x14ac:dyDescent="0.2">
      <c r="A1184" s="2"/>
    </row>
    <row r="1185" spans="1:1" x14ac:dyDescent="0.2">
      <c r="A1185" s="2"/>
    </row>
    <row r="1186" spans="1:1" x14ac:dyDescent="0.2">
      <c r="A1186" s="2"/>
    </row>
    <row r="1187" spans="1:1" x14ac:dyDescent="0.2">
      <c r="A1187" s="2"/>
    </row>
    <row r="1188" spans="1:1" x14ac:dyDescent="0.2">
      <c r="A1188" s="2"/>
    </row>
    <row r="1189" spans="1:1" x14ac:dyDescent="0.2">
      <c r="A1189" s="2"/>
    </row>
    <row r="1190" spans="1:1" x14ac:dyDescent="0.2">
      <c r="A1190" s="2"/>
    </row>
    <row r="1191" spans="1:1" x14ac:dyDescent="0.2">
      <c r="A1191" s="2"/>
    </row>
    <row r="1192" spans="1:1" x14ac:dyDescent="0.2">
      <c r="A1192" s="2"/>
    </row>
    <row r="1193" spans="1:1" x14ac:dyDescent="0.2">
      <c r="A1193" s="2"/>
    </row>
    <row r="1194" spans="1:1" x14ac:dyDescent="0.2">
      <c r="A1194" s="2"/>
    </row>
    <row r="1195" spans="1:1" x14ac:dyDescent="0.2">
      <c r="A1195" s="2"/>
    </row>
    <row r="1196" spans="1:1" x14ac:dyDescent="0.2">
      <c r="A1196" s="2"/>
    </row>
    <row r="1197" spans="1:1" x14ac:dyDescent="0.2">
      <c r="A1197" s="2"/>
    </row>
    <row r="1198" spans="1:1" x14ac:dyDescent="0.2">
      <c r="A1198" s="2"/>
    </row>
    <row r="1199" spans="1:1" x14ac:dyDescent="0.2">
      <c r="A1199" s="2"/>
    </row>
    <row r="1200" spans="1:1" x14ac:dyDescent="0.2">
      <c r="A1200" s="2"/>
    </row>
    <row r="1201" spans="1:1" x14ac:dyDescent="0.2">
      <c r="A1201" s="2"/>
    </row>
    <row r="1202" spans="1:1" x14ac:dyDescent="0.2">
      <c r="A1202" s="2"/>
    </row>
    <row r="1203" spans="1:1" x14ac:dyDescent="0.2">
      <c r="A1203" s="2"/>
    </row>
    <row r="1204" spans="1:1" x14ac:dyDescent="0.2">
      <c r="A1204" s="2"/>
    </row>
    <row r="1205" spans="1:1" x14ac:dyDescent="0.2">
      <c r="A1205" s="2"/>
    </row>
    <row r="1206" spans="1:1" x14ac:dyDescent="0.2">
      <c r="A1206" s="2"/>
    </row>
    <row r="1207" spans="1:1" x14ac:dyDescent="0.2">
      <c r="A1207" s="2"/>
    </row>
    <row r="1208" spans="1:1" x14ac:dyDescent="0.2">
      <c r="A1208" s="2"/>
    </row>
    <row r="1209" spans="1:1" x14ac:dyDescent="0.2">
      <c r="A1209" s="2"/>
    </row>
    <row r="1210" spans="1:1" x14ac:dyDescent="0.2">
      <c r="A1210" s="2"/>
    </row>
    <row r="1211" spans="1:1" x14ac:dyDescent="0.2">
      <c r="A1211" s="2"/>
    </row>
    <row r="1212" spans="1:1" x14ac:dyDescent="0.2">
      <c r="A1212" s="2"/>
    </row>
    <row r="1213" spans="1:1" x14ac:dyDescent="0.2">
      <c r="A1213" s="2"/>
    </row>
    <row r="1214" spans="1:1" x14ac:dyDescent="0.2">
      <c r="A1214" s="2"/>
    </row>
    <row r="1215" spans="1:1" x14ac:dyDescent="0.2">
      <c r="A1215" s="2"/>
    </row>
    <row r="1216" spans="1:1" x14ac:dyDescent="0.2">
      <c r="A1216" s="2"/>
    </row>
    <row r="1217" spans="1:1" x14ac:dyDescent="0.2">
      <c r="A1217" s="2"/>
    </row>
    <row r="1218" spans="1:1" x14ac:dyDescent="0.2">
      <c r="A1218" s="2"/>
    </row>
    <row r="1219" spans="1:1" x14ac:dyDescent="0.2">
      <c r="A1219" s="2"/>
    </row>
    <row r="1220" spans="1:1" x14ac:dyDescent="0.2">
      <c r="A1220" s="2"/>
    </row>
    <row r="1221" spans="1:1" x14ac:dyDescent="0.2">
      <c r="A1221" s="2"/>
    </row>
    <row r="1222" spans="1:1" x14ac:dyDescent="0.2">
      <c r="A1222" s="2"/>
    </row>
    <row r="1223" spans="1:1" x14ac:dyDescent="0.2">
      <c r="A1223" s="2"/>
    </row>
    <row r="1224" spans="1:1" x14ac:dyDescent="0.2">
      <c r="A1224" s="2"/>
    </row>
    <row r="1225" spans="1:1" x14ac:dyDescent="0.2">
      <c r="A1225" s="2"/>
    </row>
    <row r="1226" spans="1:1" x14ac:dyDescent="0.2">
      <c r="A1226" s="2"/>
    </row>
    <row r="1227" spans="1:1" x14ac:dyDescent="0.2">
      <c r="A1227" s="2"/>
    </row>
    <row r="1228" spans="1:1" x14ac:dyDescent="0.2">
      <c r="A1228" s="2"/>
    </row>
    <row r="1229" spans="1:1" x14ac:dyDescent="0.2">
      <c r="A1229" s="2"/>
    </row>
    <row r="1230" spans="1:1" x14ac:dyDescent="0.2">
      <c r="A1230" s="2"/>
    </row>
    <row r="1231" spans="1:1" x14ac:dyDescent="0.2">
      <c r="A1231" s="2"/>
    </row>
    <row r="1232" spans="1:1" x14ac:dyDescent="0.2">
      <c r="A1232" s="2"/>
    </row>
    <row r="1233" spans="1:1" x14ac:dyDescent="0.2">
      <c r="A1233" s="2"/>
    </row>
    <row r="1234" spans="1:1" x14ac:dyDescent="0.2">
      <c r="A1234" s="2"/>
    </row>
    <row r="1235" spans="1:1" x14ac:dyDescent="0.2">
      <c r="A1235" s="2"/>
    </row>
    <row r="1236" spans="1:1" x14ac:dyDescent="0.2">
      <c r="A1236" s="2"/>
    </row>
    <row r="1237" spans="1:1" x14ac:dyDescent="0.2">
      <c r="A1237" s="2"/>
    </row>
    <row r="1238" spans="1:1" x14ac:dyDescent="0.2">
      <c r="A1238" s="2"/>
    </row>
    <row r="1239" spans="1:1" x14ac:dyDescent="0.2">
      <c r="A1239" s="2"/>
    </row>
    <row r="1240" spans="1:1" x14ac:dyDescent="0.2">
      <c r="A1240" s="2"/>
    </row>
    <row r="1241" spans="1:1" x14ac:dyDescent="0.2">
      <c r="A1241" s="2"/>
    </row>
    <row r="1242" spans="1:1" x14ac:dyDescent="0.2">
      <c r="A1242" s="2"/>
    </row>
    <row r="1243" spans="1:1" x14ac:dyDescent="0.2">
      <c r="A1243" s="2"/>
    </row>
    <row r="1244" spans="1:1" x14ac:dyDescent="0.2">
      <c r="A1244" s="2"/>
    </row>
    <row r="1245" spans="1:1" x14ac:dyDescent="0.2">
      <c r="A1245" s="2"/>
    </row>
    <row r="1246" spans="1:1" x14ac:dyDescent="0.2">
      <c r="A1246" s="2"/>
    </row>
    <row r="1247" spans="1:1" x14ac:dyDescent="0.2">
      <c r="A1247" s="2"/>
    </row>
    <row r="1248" spans="1:1" x14ac:dyDescent="0.2">
      <c r="A1248" s="2"/>
    </row>
    <row r="1249" spans="1:1" x14ac:dyDescent="0.2">
      <c r="A1249" s="2"/>
    </row>
    <row r="1250" spans="1:1" x14ac:dyDescent="0.2">
      <c r="A1250" s="2"/>
    </row>
    <row r="1251" spans="1:1" x14ac:dyDescent="0.2">
      <c r="A1251" s="2"/>
    </row>
    <row r="1252" spans="1:1" x14ac:dyDescent="0.2">
      <c r="A1252" s="2"/>
    </row>
    <row r="1253" spans="1:1" x14ac:dyDescent="0.2">
      <c r="A1253" s="2"/>
    </row>
    <row r="1254" spans="1:1" x14ac:dyDescent="0.2">
      <c r="A1254" s="2"/>
    </row>
    <row r="1255" spans="1:1" x14ac:dyDescent="0.2">
      <c r="A1255" s="2"/>
    </row>
    <row r="1256" spans="1:1" x14ac:dyDescent="0.2">
      <c r="A1256" s="2"/>
    </row>
    <row r="1257" spans="1:1" x14ac:dyDescent="0.2">
      <c r="A1257" s="2"/>
    </row>
    <row r="1258" spans="1:1" x14ac:dyDescent="0.2">
      <c r="A1258" s="2"/>
    </row>
    <row r="1259" spans="1:1" x14ac:dyDescent="0.2">
      <c r="A1259" s="2"/>
    </row>
    <row r="1260" spans="1:1" x14ac:dyDescent="0.2">
      <c r="A1260" s="2"/>
    </row>
    <row r="1261" spans="1:1" x14ac:dyDescent="0.2">
      <c r="A1261" s="2"/>
    </row>
    <row r="1262" spans="1:1" x14ac:dyDescent="0.2">
      <c r="A1262" s="2"/>
    </row>
    <row r="1263" spans="1:1" x14ac:dyDescent="0.2">
      <c r="A1263" s="2"/>
    </row>
    <row r="1264" spans="1:1" x14ac:dyDescent="0.2">
      <c r="A1264" s="2"/>
    </row>
    <row r="1265" spans="1:1" x14ac:dyDescent="0.2">
      <c r="A1265" s="2"/>
    </row>
    <row r="1266" spans="1:1" x14ac:dyDescent="0.2">
      <c r="A1266" s="2"/>
    </row>
    <row r="1267" spans="1:1" x14ac:dyDescent="0.2">
      <c r="A1267" s="2"/>
    </row>
    <row r="1268" spans="1:1" x14ac:dyDescent="0.2">
      <c r="A1268" s="2"/>
    </row>
    <row r="1269" spans="1:1" x14ac:dyDescent="0.2">
      <c r="A1269" s="2"/>
    </row>
    <row r="1270" spans="1:1" x14ac:dyDescent="0.2">
      <c r="A1270" s="2"/>
    </row>
    <row r="1271" spans="1:1" x14ac:dyDescent="0.2">
      <c r="A1271" s="2"/>
    </row>
    <row r="1272" spans="1:1" x14ac:dyDescent="0.2">
      <c r="A1272" s="2"/>
    </row>
    <row r="1273" spans="1:1" x14ac:dyDescent="0.2">
      <c r="A1273" s="2"/>
    </row>
    <row r="1274" spans="1:1" x14ac:dyDescent="0.2">
      <c r="A1274" s="2"/>
    </row>
    <row r="1275" spans="1:1" x14ac:dyDescent="0.2">
      <c r="A1275" s="2"/>
    </row>
    <row r="1276" spans="1:1" x14ac:dyDescent="0.2">
      <c r="A1276" s="2"/>
    </row>
    <row r="1277" spans="1:1" x14ac:dyDescent="0.2">
      <c r="A1277" s="2"/>
    </row>
    <row r="1278" spans="1:1" x14ac:dyDescent="0.2">
      <c r="A1278" s="2"/>
    </row>
    <row r="1279" spans="1:1" x14ac:dyDescent="0.2">
      <c r="A1279" s="2"/>
    </row>
    <row r="1280" spans="1:1" x14ac:dyDescent="0.2">
      <c r="A1280" s="2"/>
    </row>
    <row r="1281" spans="1:1" x14ac:dyDescent="0.2">
      <c r="A1281" s="2"/>
    </row>
    <row r="1282" spans="1:1" x14ac:dyDescent="0.2">
      <c r="A1282" s="2"/>
    </row>
    <row r="1283" spans="1:1" x14ac:dyDescent="0.2">
      <c r="A1283" s="2"/>
    </row>
    <row r="1284" spans="1:1" x14ac:dyDescent="0.2">
      <c r="A1284" s="2"/>
    </row>
    <row r="1285" spans="1:1" x14ac:dyDescent="0.2">
      <c r="A1285" s="2"/>
    </row>
    <row r="1286" spans="1:1" x14ac:dyDescent="0.2">
      <c r="A1286" s="2"/>
    </row>
    <row r="1287" spans="1:1" x14ac:dyDescent="0.2">
      <c r="A1287" s="2"/>
    </row>
    <row r="1288" spans="1:1" x14ac:dyDescent="0.2">
      <c r="A1288" s="2"/>
    </row>
    <row r="1289" spans="1:1" x14ac:dyDescent="0.2">
      <c r="A1289" s="2"/>
    </row>
    <row r="1290" spans="1:1" x14ac:dyDescent="0.2">
      <c r="A1290" s="2"/>
    </row>
    <row r="1291" spans="1:1" x14ac:dyDescent="0.2">
      <c r="A1291" s="2"/>
    </row>
    <row r="1292" spans="1:1" x14ac:dyDescent="0.2">
      <c r="A1292" s="2"/>
    </row>
    <row r="1293" spans="1:1" x14ac:dyDescent="0.2">
      <c r="A1293" s="2"/>
    </row>
    <row r="1294" spans="1:1" x14ac:dyDescent="0.2">
      <c r="A1294" s="2"/>
    </row>
    <row r="1295" spans="1:1" x14ac:dyDescent="0.2">
      <c r="A1295" s="2"/>
    </row>
    <row r="1296" spans="1:1" x14ac:dyDescent="0.2">
      <c r="A1296" s="2"/>
    </row>
    <row r="1297" spans="1:1" x14ac:dyDescent="0.2">
      <c r="A1297" s="2"/>
    </row>
    <row r="1298" spans="1:1" x14ac:dyDescent="0.2">
      <c r="A1298" s="2"/>
    </row>
    <row r="1299" spans="1:1" x14ac:dyDescent="0.2">
      <c r="A1299" s="2"/>
    </row>
    <row r="1300" spans="1:1" x14ac:dyDescent="0.2">
      <c r="A1300" s="2"/>
    </row>
    <row r="1301" spans="1:1" x14ac:dyDescent="0.2">
      <c r="A1301" s="2"/>
    </row>
    <row r="1302" spans="1:1" x14ac:dyDescent="0.2">
      <c r="A1302" s="2"/>
    </row>
    <row r="1303" spans="1:1" x14ac:dyDescent="0.2">
      <c r="A1303" s="2"/>
    </row>
    <row r="1304" spans="1:1" x14ac:dyDescent="0.2">
      <c r="A1304" s="2"/>
    </row>
    <row r="1305" spans="1:1" x14ac:dyDescent="0.2">
      <c r="A1305" s="2"/>
    </row>
    <row r="1306" spans="1:1" x14ac:dyDescent="0.2">
      <c r="A1306" s="2"/>
    </row>
    <row r="1307" spans="1:1" x14ac:dyDescent="0.2">
      <c r="A1307" s="2"/>
    </row>
    <row r="1308" spans="1:1" x14ac:dyDescent="0.2">
      <c r="A1308" s="2"/>
    </row>
    <row r="1309" spans="1:1" x14ac:dyDescent="0.2">
      <c r="A1309" s="2"/>
    </row>
    <row r="1310" spans="1:1" x14ac:dyDescent="0.2">
      <c r="A1310" s="2"/>
    </row>
    <row r="1311" spans="1:1" x14ac:dyDescent="0.2">
      <c r="A1311" s="2"/>
    </row>
    <row r="1312" spans="1:1" x14ac:dyDescent="0.2">
      <c r="A1312" s="2"/>
    </row>
    <row r="1313" spans="1:1" x14ac:dyDescent="0.2">
      <c r="A1313" s="2"/>
    </row>
    <row r="1314" spans="1:1" x14ac:dyDescent="0.2">
      <c r="A1314" s="2"/>
    </row>
    <row r="1315" spans="1:1" x14ac:dyDescent="0.2">
      <c r="A1315" s="2"/>
    </row>
    <row r="1316" spans="1:1" x14ac:dyDescent="0.2">
      <c r="A1316" s="2"/>
    </row>
    <row r="1317" spans="1:1" x14ac:dyDescent="0.2">
      <c r="A1317" s="2"/>
    </row>
    <row r="1318" spans="1:1" x14ac:dyDescent="0.2">
      <c r="A1318" s="2"/>
    </row>
    <row r="1319" spans="1:1" x14ac:dyDescent="0.2">
      <c r="A1319" s="2"/>
    </row>
    <row r="1320" spans="1:1" x14ac:dyDescent="0.2">
      <c r="A1320" s="2"/>
    </row>
    <row r="1321" spans="1:1" x14ac:dyDescent="0.2">
      <c r="A1321" s="2"/>
    </row>
    <row r="1322" spans="1:1" x14ac:dyDescent="0.2">
      <c r="A1322" s="2"/>
    </row>
    <row r="1323" spans="1:1" x14ac:dyDescent="0.2">
      <c r="A1323" s="2"/>
    </row>
    <row r="1324" spans="1:1" x14ac:dyDescent="0.2">
      <c r="A1324" s="2"/>
    </row>
    <row r="1325" spans="1:1" x14ac:dyDescent="0.2">
      <c r="A1325" s="2"/>
    </row>
    <row r="1326" spans="1:1" x14ac:dyDescent="0.2">
      <c r="A1326" s="2"/>
    </row>
    <row r="1327" spans="1:1" x14ac:dyDescent="0.2">
      <c r="A1327" s="2"/>
    </row>
    <row r="1328" spans="1:1" x14ac:dyDescent="0.2">
      <c r="A1328" s="2"/>
    </row>
    <row r="1329" spans="1:1" x14ac:dyDescent="0.2">
      <c r="A1329" s="2"/>
    </row>
    <row r="1330" spans="1:1" x14ac:dyDescent="0.2">
      <c r="A1330" s="2"/>
    </row>
    <row r="1331" spans="1:1" x14ac:dyDescent="0.2">
      <c r="A1331" s="2"/>
    </row>
    <row r="1332" spans="1:1" x14ac:dyDescent="0.2">
      <c r="A1332" s="2"/>
    </row>
    <row r="1333" spans="1:1" x14ac:dyDescent="0.2">
      <c r="A1333" s="2"/>
    </row>
    <row r="1334" spans="1:1" x14ac:dyDescent="0.2">
      <c r="A1334" s="2"/>
    </row>
    <row r="1335" spans="1:1" x14ac:dyDescent="0.2">
      <c r="A1335" s="2"/>
    </row>
    <row r="1336" spans="1:1" x14ac:dyDescent="0.2">
      <c r="A1336" s="2"/>
    </row>
    <row r="1337" spans="1:1" x14ac:dyDescent="0.2">
      <c r="A1337" s="2"/>
    </row>
    <row r="1338" spans="1:1" x14ac:dyDescent="0.2">
      <c r="A1338" s="2"/>
    </row>
    <row r="1339" spans="1:1" x14ac:dyDescent="0.2">
      <c r="A1339" s="2"/>
    </row>
    <row r="1340" spans="1:1" x14ac:dyDescent="0.2">
      <c r="A1340" s="2"/>
    </row>
    <row r="1341" spans="1:1" x14ac:dyDescent="0.2">
      <c r="A1341" s="2"/>
    </row>
    <row r="1342" spans="1:1" x14ac:dyDescent="0.2">
      <c r="A1342" s="2"/>
    </row>
    <row r="1343" spans="1:1" x14ac:dyDescent="0.2">
      <c r="A1343" s="2"/>
    </row>
    <row r="1344" spans="1:1" x14ac:dyDescent="0.2">
      <c r="A1344" s="2"/>
    </row>
    <row r="1345" spans="1:1" x14ac:dyDescent="0.2">
      <c r="A1345" s="2"/>
    </row>
    <row r="1346" spans="1:1" x14ac:dyDescent="0.2">
      <c r="A1346" s="2"/>
    </row>
    <row r="1347" spans="1:1" x14ac:dyDescent="0.2">
      <c r="A1347" s="2"/>
    </row>
    <row r="1348" spans="1:1" x14ac:dyDescent="0.2">
      <c r="A1348" s="2"/>
    </row>
    <row r="1349" spans="1:1" x14ac:dyDescent="0.2">
      <c r="A1349" s="2"/>
    </row>
    <row r="1350" spans="1:1" x14ac:dyDescent="0.2">
      <c r="A1350" s="2"/>
    </row>
    <row r="1351" spans="1:1" x14ac:dyDescent="0.2">
      <c r="A1351" s="2"/>
    </row>
    <row r="1352" spans="1:1" x14ac:dyDescent="0.2">
      <c r="A1352" s="2"/>
    </row>
    <row r="1353" spans="1:1" x14ac:dyDescent="0.2">
      <c r="A1353" s="2"/>
    </row>
    <row r="1354" spans="1:1" x14ac:dyDescent="0.2">
      <c r="A1354" s="2"/>
    </row>
    <row r="1355" spans="1:1" x14ac:dyDescent="0.2">
      <c r="A1355" s="2"/>
    </row>
    <row r="1356" spans="1:1" x14ac:dyDescent="0.2">
      <c r="A1356" s="2"/>
    </row>
    <row r="1357" spans="1:1" x14ac:dyDescent="0.2">
      <c r="A1357" s="2"/>
    </row>
    <row r="1358" spans="1:1" x14ac:dyDescent="0.2">
      <c r="A1358" s="2"/>
    </row>
    <row r="1359" spans="1:1" x14ac:dyDescent="0.2">
      <c r="A1359" s="2"/>
    </row>
    <row r="1360" spans="1:1" x14ac:dyDescent="0.2">
      <c r="A1360" s="2"/>
    </row>
    <row r="1361" spans="1:1" x14ac:dyDescent="0.2">
      <c r="A1361" s="2"/>
    </row>
    <row r="1362" spans="1:1" x14ac:dyDescent="0.2">
      <c r="A1362" s="2"/>
    </row>
    <row r="1363" spans="1:1" x14ac:dyDescent="0.2">
      <c r="A1363" s="2"/>
    </row>
    <row r="1364" spans="1:1" x14ac:dyDescent="0.2">
      <c r="A1364" s="2"/>
    </row>
    <row r="1365" spans="1:1" x14ac:dyDescent="0.2">
      <c r="A1365" s="2"/>
    </row>
    <row r="1366" spans="1:1" x14ac:dyDescent="0.2">
      <c r="A1366" s="2"/>
    </row>
    <row r="1367" spans="1:1" x14ac:dyDescent="0.2">
      <c r="A1367" s="2"/>
    </row>
    <row r="1368" spans="1:1" x14ac:dyDescent="0.2">
      <c r="A1368" s="2"/>
    </row>
    <row r="1369" spans="1:1" x14ac:dyDescent="0.2">
      <c r="A1369" s="2"/>
    </row>
    <row r="1370" spans="1:1" x14ac:dyDescent="0.2">
      <c r="A1370" s="2"/>
    </row>
    <row r="1371" spans="1:1" x14ac:dyDescent="0.2">
      <c r="A1371" s="2"/>
    </row>
    <row r="1372" spans="1:1" x14ac:dyDescent="0.2">
      <c r="A1372" s="2"/>
    </row>
    <row r="1373" spans="1:1" x14ac:dyDescent="0.2">
      <c r="A1373" s="2"/>
    </row>
    <row r="1374" spans="1:1" x14ac:dyDescent="0.2">
      <c r="A1374" s="2"/>
    </row>
    <row r="1375" spans="1:1" x14ac:dyDescent="0.2">
      <c r="A1375" s="2"/>
    </row>
    <row r="1376" spans="1:1" x14ac:dyDescent="0.2">
      <c r="A1376" s="2"/>
    </row>
    <row r="1377" spans="1:1" x14ac:dyDescent="0.2">
      <c r="A1377" s="2"/>
    </row>
    <row r="1378" spans="1:1" x14ac:dyDescent="0.2">
      <c r="A1378" s="2"/>
    </row>
    <row r="1379" spans="1:1" x14ac:dyDescent="0.2">
      <c r="A1379" s="2"/>
    </row>
    <row r="1380" spans="1:1" x14ac:dyDescent="0.2">
      <c r="A1380" s="2"/>
    </row>
    <row r="1381" spans="1:1" x14ac:dyDescent="0.2">
      <c r="A1381" s="2"/>
    </row>
    <row r="1382" spans="1:1" x14ac:dyDescent="0.2">
      <c r="A1382" s="2"/>
    </row>
    <row r="1383" spans="1:1" x14ac:dyDescent="0.2">
      <c r="A1383" s="2"/>
    </row>
    <row r="1384" spans="1:1" x14ac:dyDescent="0.2">
      <c r="A1384" s="2"/>
    </row>
    <row r="1385" spans="1:1" x14ac:dyDescent="0.2">
      <c r="A1385" s="2"/>
    </row>
    <row r="1386" spans="1:1" x14ac:dyDescent="0.2">
      <c r="A1386" s="2"/>
    </row>
    <row r="1387" spans="1:1" x14ac:dyDescent="0.2">
      <c r="A1387" s="2"/>
    </row>
    <row r="1388" spans="1:1" x14ac:dyDescent="0.2">
      <c r="A1388" s="2"/>
    </row>
    <row r="1389" spans="1:1" x14ac:dyDescent="0.2">
      <c r="A1389" s="2"/>
    </row>
    <row r="1390" spans="1:1" x14ac:dyDescent="0.2">
      <c r="A1390" s="2"/>
    </row>
    <row r="1391" spans="1:1" x14ac:dyDescent="0.2">
      <c r="A1391" s="2"/>
    </row>
    <row r="1392" spans="1:1" x14ac:dyDescent="0.2">
      <c r="A1392" s="2"/>
    </row>
    <row r="1393" spans="1:1" x14ac:dyDescent="0.2">
      <c r="A1393" s="2"/>
    </row>
    <row r="1394" spans="1:1" x14ac:dyDescent="0.2">
      <c r="A1394" s="2"/>
    </row>
    <row r="1395" spans="1:1" x14ac:dyDescent="0.2">
      <c r="A1395" s="2"/>
    </row>
    <row r="1396" spans="1:1" x14ac:dyDescent="0.2">
      <c r="A1396" s="2"/>
    </row>
    <row r="1397" spans="1:1" x14ac:dyDescent="0.2">
      <c r="A1397" s="2"/>
    </row>
    <row r="1398" spans="1:1" x14ac:dyDescent="0.2">
      <c r="A1398" s="2"/>
    </row>
    <row r="1399" spans="1:1" x14ac:dyDescent="0.2">
      <c r="A1399" s="2"/>
    </row>
    <row r="1400" spans="1:1" x14ac:dyDescent="0.2">
      <c r="A1400" s="2"/>
    </row>
    <row r="1401" spans="1:1" x14ac:dyDescent="0.2">
      <c r="A1401" s="2"/>
    </row>
    <row r="1402" spans="1:1" x14ac:dyDescent="0.2">
      <c r="A1402" s="2"/>
    </row>
    <row r="1403" spans="1:1" x14ac:dyDescent="0.2">
      <c r="A1403" s="2"/>
    </row>
    <row r="1404" spans="1:1" x14ac:dyDescent="0.2">
      <c r="A1404" s="2"/>
    </row>
    <row r="1405" spans="1:1" x14ac:dyDescent="0.2">
      <c r="A1405" s="2"/>
    </row>
    <row r="1406" spans="1:1" x14ac:dyDescent="0.2">
      <c r="A1406" s="2"/>
    </row>
    <row r="1407" spans="1:1" x14ac:dyDescent="0.2">
      <c r="A1407" s="2"/>
    </row>
    <row r="1408" spans="1:1" x14ac:dyDescent="0.2">
      <c r="A1408" s="2"/>
    </row>
    <row r="1409" spans="1:1" x14ac:dyDescent="0.2">
      <c r="A1409" s="2"/>
    </row>
    <row r="1410" spans="1:1" x14ac:dyDescent="0.2">
      <c r="A1410" s="2"/>
    </row>
    <row r="1411" spans="1:1" x14ac:dyDescent="0.2">
      <c r="A1411" s="2"/>
    </row>
    <row r="1412" spans="1:1" x14ac:dyDescent="0.2">
      <c r="A1412" s="2"/>
    </row>
    <row r="1413" spans="1:1" x14ac:dyDescent="0.2">
      <c r="A1413" s="2"/>
    </row>
    <row r="1414" spans="1:1" x14ac:dyDescent="0.2">
      <c r="A1414" s="2"/>
    </row>
    <row r="1415" spans="1:1" x14ac:dyDescent="0.2">
      <c r="A1415" s="2"/>
    </row>
    <row r="1416" spans="1:1" x14ac:dyDescent="0.2">
      <c r="A1416" s="2"/>
    </row>
    <row r="1417" spans="1:1" x14ac:dyDescent="0.2">
      <c r="A1417" s="2"/>
    </row>
    <row r="1418" spans="1:1" x14ac:dyDescent="0.2">
      <c r="A1418" s="2"/>
    </row>
    <row r="1419" spans="1:1" x14ac:dyDescent="0.2">
      <c r="A1419" s="2"/>
    </row>
    <row r="1420" spans="1:1" x14ac:dyDescent="0.2">
      <c r="A1420" s="2"/>
    </row>
    <row r="1421" spans="1:1" x14ac:dyDescent="0.2">
      <c r="A1421" s="2"/>
    </row>
    <row r="1422" spans="1:1" x14ac:dyDescent="0.2">
      <c r="A1422" s="2"/>
    </row>
    <row r="1423" spans="1:1" x14ac:dyDescent="0.2">
      <c r="A1423" s="2"/>
    </row>
    <row r="1424" spans="1:1" x14ac:dyDescent="0.2">
      <c r="A1424" s="2"/>
    </row>
    <row r="1425" spans="1:1" x14ac:dyDescent="0.2">
      <c r="A1425" s="2"/>
    </row>
    <row r="1426" spans="1:1" x14ac:dyDescent="0.2">
      <c r="A1426" s="2"/>
    </row>
    <row r="1427" spans="1:1" x14ac:dyDescent="0.2">
      <c r="A1427" s="2"/>
    </row>
    <row r="1428" spans="1:1" x14ac:dyDescent="0.2">
      <c r="A1428" s="2"/>
    </row>
    <row r="1429" spans="1:1" x14ac:dyDescent="0.2">
      <c r="A1429" s="2"/>
    </row>
    <row r="1430" spans="1:1" x14ac:dyDescent="0.2">
      <c r="A1430" s="2"/>
    </row>
    <row r="1431" spans="1:1" x14ac:dyDescent="0.2">
      <c r="A1431" s="2"/>
    </row>
    <row r="1432" spans="1:1" x14ac:dyDescent="0.2">
      <c r="A1432" s="2"/>
    </row>
    <row r="1433" spans="1:1" x14ac:dyDescent="0.2">
      <c r="A1433" s="2"/>
    </row>
    <row r="1434" spans="1:1" x14ac:dyDescent="0.2">
      <c r="A1434" s="2"/>
    </row>
    <row r="1435" spans="1:1" x14ac:dyDescent="0.2">
      <c r="A1435" s="2"/>
    </row>
    <row r="1436" spans="1:1" x14ac:dyDescent="0.2">
      <c r="A1436" s="2"/>
    </row>
    <row r="1437" spans="1:1" x14ac:dyDescent="0.2">
      <c r="A1437" s="2"/>
    </row>
    <row r="1438" spans="1:1" x14ac:dyDescent="0.2">
      <c r="A1438" s="2"/>
    </row>
    <row r="1439" spans="1:1" x14ac:dyDescent="0.2">
      <c r="A1439" s="2"/>
    </row>
    <row r="1440" spans="1:1" x14ac:dyDescent="0.2">
      <c r="A1440" s="2"/>
    </row>
    <row r="1441" spans="1:1" x14ac:dyDescent="0.2">
      <c r="A1441" s="2"/>
    </row>
    <row r="1442" spans="1:1" x14ac:dyDescent="0.2">
      <c r="A1442" s="2"/>
    </row>
    <row r="1443" spans="1:1" x14ac:dyDescent="0.2">
      <c r="A1443" s="2"/>
    </row>
    <row r="1444" spans="1:1" x14ac:dyDescent="0.2">
      <c r="A1444" s="2"/>
    </row>
    <row r="1445" spans="1:1" x14ac:dyDescent="0.2">
      <c r="A1445" s="2"/>
    </row>
    <row r="1446" spans="1:1" x14ac:dyDescent="0.2">
      <c r="A1446" s="2"/>
    </row>
    <row r="1447" spans="1:1" x14ac:dyDescent="0.2">
      <c r="A1447" s="2"/>
    </row>
    <row r="1448" spans="1:1" x14ac:dyDescent="0.2">
      <c r="A1448" s="2"/>
    </row>
    <row r="1449" spans="1:1" x14ac:dyDescent="0.2">
      <c r="A1449" s="2"/>
    </row>
    <row r="1450" spans="1:1" x14ac:dyDescent="0.2">
      <c r="A1450" s="2"/>
    </row>
    <row r="1451" spans="1:1" x14ac:dyDescent="0.2">
      <c r="A1451" s="2"/>
    </row>
    <row r="1452" spans="1:1" x14ac:dyDescent="0.2">
      <c r="A1452" s="2"/>
    </row>
    <row r="1453" spans="1:1" x14ac:dyDescent="0.2">
      <c r="A1453" s="2"/>
    </row>
    <row r="1454" spans="1:1" x14ac:dyDescent="0.2">
      <c r="A1454" s="2"/>
    </row>
    <row r="1455" spans="1:1" x14ac:dyDescent="0.2">
      <c r="A1455" s="2"/>
    </row>
    <row r="1456" spans="1:1" x14ac:dyDescent="0.2">
      <c r="A1456" s="2"/>
    </row>
    <row r="1457" spans="1:1" x14ac:dyDescent="0.2">
      <c r="A1457" s="2"/>
    </row>
    <row r="1458" spans="1:1" x14ac:dyDescent="0.2">
      <c r="A1458" s="2"/>
    </row>
    <row r="1459" spans="1:1" x14ac:dyDescent="0.2">
      <c r="A1459" s="2"/>
    </row>
    <row r="1460" spans="1:1" x14ac:dyDescent="0.2">
      <c r="A1460" s="2"/>
    </row>
    <row r="1461" spans="1:1" x14ac:dyDescent="0.2">
      <c r="A1461" s="2"/>
    </row>
    <row r="1462" spans="1:1" x14ac:dyDescent="0.2">
      <c r="A1462" s="2"/>
    </row>
    <row r="1463" spans="1:1" x14ac:dyDescent="0.2">
      <c r="A1463" s="2"/>
    </row>
    <row r="1464" spans="1:1" x14ac:dyDescent="0.2">
      <c r="A1464" s="2"/>
    </row>
    <row r="1465" spans="1:1" x14ac:dyDescent="0.2">
      <c r="A1465" s="2"/>
    </row>
    <row r="1466" spans="1:1" x14ac:dyDescent="0.2">
      <c r="A1466" s="2"/>
    </row>
    <row r="1467" spans="1:1" x14ac:dyDescent="0.2">
      <c r="A1467" s="2"/>
    </row>
    <row r="1468" spans="1:1" x14ac:dyDescent="0.2">
      <c r="A1468" s="2"/>
    </row>
    <row r="1469" spans="1:1" x14ac:dyDescent="0.2">
      <c r="A1469" s="2"/>
    </row>
    <row r="1470" spans="1:1" x14ac:dyDescent="0.2">
      <c r="A1470" s="2"/>
    </row>
    <row r="1471" spans="1:1" x14ac:dyDescent="0.2">
      <c r="A1471" s="2"/>
    </row>
    <row r="1472" spans="1:1" x14ac:dyDescent="0.2">
      <c r="A1472" s="2"/>
    </row>
    <row r="1473" spans="1:1" x14ac:dyDescent="0.2">
      <c r="A1473" s="2"/>
    </row>
    <row r="1474" spans="1:1" x14ac:dyDescent="0.2">
      <c r="A1474" s="2"/>
    </row>
    <row r="1475" spans="1:1" x14ac:dyDescent="0.2">
      <c r="A1475" s="2"/>
    </row>
    <row r="1476" spans="1:1" x14ac:dyDescent="0.2">
      <c r="A1476" s="2"/>
    </row>
    <row r="1477" spans="1:1" x14ac:dyDescent="0.2">
      <c r="A1477" s="2"/>
    </row>
    <row r="1478" spans="1:1" x14ac:dyDescent="0.2">
      <c r="A1478" s="2"/>
    </row>
    <row r="1479" spans="1:1" x14ac:dyDescent="0.2">
      <c r="A1479" s="2"/>
    </row>
    <row r="1480" spans="1:1" x14ac:dyDescent="0.2">
      <c r="A1480" s="2"/>
    </row>
    <row r="1481" spans="1:1" x14ac:dyDescent="0.2">
      <c r="A1481" s="2"/>
    </row>
    <row r="1482" spans="1:1" x14ac:dyDescent="0.2">
      <c r="A1482" s="2"/>
    </row>
    <row r="1483" spans="1:1" x14ac:dyDescent="0.2">
      <c r="A1483" s="2"/>
    </row>
    <row r="1484" spans="1:1" x14ac:dyDescent="0.2">
      <c r="A1484" s="2"/>
    </row>
    <row r="1485" spans="1:1" x14ac:dyDescent="0.2">
      <c r="A1485" s="2"/>
    </row>
    <row r="1486" spans="1:1" x14ac:dyDescent="0.2">
      <c r="A1486" s="2"/>
    </row>
    <row r="1487" spans="1:1" x14ac:dyDescent="0.2">
      <c r="A1487" s="2"/>
    </row>
    <row r="1488" spans="1:1" x14ac:dyDescent="0.2">
      <c r="A1488" s="2"/>
    </row>
    <row r="1489" spans="1:1" x14ac:dyDescent="0.2">
      <c r="A1489" s="2"/>
    </row>
    <row r="1490" spans="1:1" x14ac:dyDescent="0.2">
      <c r="A1490" s="2"/>
    </row>
    <row r="1491" spans="1:1" x14ac:dyDescent="0.2">
      <c r="A1491" s="2"/>
    </row>
    <row r="1492" spans="1:1" x14ac:dyDescent="0.2">
      <c r="A1492" s="2"/>
    </row>
    <row r="1493" spans="1:1" x14ac:dyDescent="0.2">
      <c r="A1493" s="2"/>
    </row>
    <row r="1494" spans="1:1" x14ac:dyDescent="0.2">
      <c r="A1494" s="2"/>
    </row>
    <row r="1495" spans="1:1" x14ac:dyDescent="0.2">
      <c r="A1495" s="2"/>
    </row>
    <row r="1496" spans="1:1" x14ac:dyDescent="0.2">
      <c r="A1496" s="2"/>
    </row>
    <row r="1497" spans="1:1" x14ac:dyDescent="0.2">
      <c r="A1497" s="2"/>
    </row>
    <row r="1498" spans="1:1" x14ac:dyDescent="0.2">
      <c r="A1498" s="2"/>
    </row>
    <row r="1499" spans="1:1" x14ac:dyDescent="0.2">
      <c r="A1499" s="2"/>
    </row>
    <row r="1500" spans="1:1" x14ac:dyDescent="0.2">
      <c r="A1500" s="2"/>
    </row>
    <row r="1501" spans="1:1" x14ac:dyDescent="0.2">
      <c r="A1501" s="2"/>
    </row>
    <row r="1502" spans="1:1" x14ac:dyDescent="0.2">
      <c r="A1502" s="2"/>
    </row>
    <row r="1503" spans="1:1" x14ac:dyDescent="0.2">
      <c r="A1503" s="2"/>
    </row>
    <row r="1504" spans="1:1" x14ac:dyDescent="0.2">
      <c r="A1504" s="2"/>
    </row>
    <row r="1505" spans="1:1" x14ac:dyDescent="0.2">
      <c r="A1505" s="2"/>
    </row>
    <row r="1506" spans="1:1" x14ac:dyDescent="0.2">
      <c r="A1506" s="2"/>
    </row>
    <row r="1507" spans="1:1" x14ac:dyDescent="0.2">
      <c r="A1507" s="2"/>
    </row>
    <row r="1508" spans="1:1" x14ac:dyDescent="0.2">
      <c r="A1508" s="2"/>
    </row>
    <row r="1509" spans="1:1" x14ac:dyDescent="0.2">
      <c r="A1509" s="2"/>
    </row>
    <row r="1510" spans="1:1" x14ac:dyDescent="0.2">
      <c r="A1510" s="2"/>
    </row>
    <row r="1511" spans="1:1" x14ac:dyDescent="0.2">
      <c r="A1511" s="2"/>
    </row>
    <row r="1512" spans="1:1" x14ac:dyDescent="0.2">
      <c r="A1512" s="2"/>
    </row>
    <row r="1513" spans="1:1" x14ac:dyDescent="0.2">
      <c r="A1513" s="2"/>
    </row>
    <row r="1514" spans="1:1" x14ac:dyDescent="0.2">
      <c r="A1514" s="2"/>
    </row>
    <row r="1515" spans="1:1" x14ac:dyDescent="0.2">
      <c r="A1515" s="2"/>
    </row>
    <row r="1516" spans="1:1" x14ac:dyDescent="0.2">
      <c r="A1516" s="2"/>
    </row>
    <row r="1517" spans="1:1" x14ac:dyDescent="0.2">
      <c r="A1517" s="2"/>
    </row>
    <row r="1518" spans="1:1" x14ac:dyDescent="0.2">
      <c r="A1518" s="2"/>
    </row>
    <row r="1519" spans="1:1" x14ac:dyDescent="0.2">
      <c r="A1519" s="2"/>
    </row>
    <row r="1520" spans="1:1" x14ac:dyDescent="0.2">
      <c r="A1520" s="2"/>
    </row>
    <row r="1521" spans="1:1" x14ac:dyDescent="0.2">
      <c r="A1521" s="2"/>
    </row>
    <row r="1522" spans="1:1" x14ac:dyDescent="0.2">
      <c r="A1522" s="2"/>
    </row>
    <row r="1523" spans="1:1" x14ac:dyDescent="0.2">
      <c r="A1523" s="2"/>
    </row>
    <row r="1524" spans="1:1" x14ac:dyDescent="0.2">
      <c r="A1524" s="2"/>
    </row>
    <row r="1525" spans="1:1" x14ac:dyDescent="0.2">
      <c r="A1525" s="2"/>
    </row>
    <row r="1526" spans="1:1" x14ac:dyDescent="0.2">
      <c r="A1526" s="2"/>
    </row>
    <row r="1527" spans="1:1" x14ac:dyDescent="0.2">
      <c r="A1527" s="2"/>
    </row>
    <row r="1528" spans="1:1" x14ac:dyDescent="0.2">
      <c r="A1528" s="2"/>
    </row>
    <row r="1529" spans="1:1" x14ac:dyDescent="0.2">
      <c r="A1529" s="2"/>
    </row>
    <row r="1530" spans="1:1" x14ac:dyDescent="0.2">
      <c r="A1530" s="2"/>
    </row>
    <row r="1531" spans="1:1" x14ac:dyDescent="0.2">
      <c r="A1531" s="2"/>
    </row>
    <row r="1532" spans="1:1" x14ac:dyDescent="0.2">
      <c r="A1532" s="2"/>
    </row>
    <row r="1533" spans="1:1" x14ac:dyDescent="0.2">
      <c r="A1533" s="2"/>
    </row>
    <row r="1534" spans="1:1" x14ac:dyDescent="0.2">
      <c r="A1534" s="2"/>
    </row>
    <row r="1535" spans="1:1" x14ac:dyDescent="0.2">
      <c r="A1535" s="2"/>
    </row>
    <row r="1536" spans="1:1" x14ac:dyDescent="0.2">
      <c r="A1536" s="2"/>
    </row>
    <row r="1537" spans="1:1" x14ac:dyDescent="0.2">
      <c r="A1537" s="2"/>
    </row>
    <row r="1538" spans="1:1" x14ac:dyDescent="0.2">
      <c r="A1538" s="2"/>
    </row>
    <row r="1539" spans="1:1" x14ac:dyDescent="0.2">
      <c r="A1539" s="2"/>
    </row>
    <row r="1540" spans="1:1" x14ac:dyDescent="0.2">
      <c r="A1540" s="2"/>
    </row>
    <row r="1541" spans="1:1" x14ac:dyDescent="0.2">
      <c r="A1541" s="2"/>
    </row>
    <row r="1542" spans="1:1" x14ac:dyDescent="0.2">
      <c r="A1542" s="2"/>
    </row>
    <row r="1543" spans="1:1" x14ac:dyDescent="0.2">
      <c r="A1543" s="2"/>
    </row>
    <row r="1544" spans="1:1" x14ac:dyDescent="0.2">
      <c r="A1544" s="2"/>
    </row>
    <row r="1545" spans="1:1" x14ac:dyDescent="0.2">
      <c r="A1545" s="2"/>
    </row>
    <row r="1546" spans="1:1" x14ac:dyDescent="0.2">
      <c r="A1546" s="2"/>
    </row>
    <row r="1547" spans="1:1" x14ac:dyDescent="0.2">
      <c r="A1547" s="2"/>
    </row>
    <row r="1548" spans="1:1" x14ac:dyDescent="0.2">
      <c r="A1548" s="2"/>
    </row>
    <row r="1549" spans="1:1" x14ac:dyDescent="0.2">
      <c r="A1549" s="2"/>
    </row>
    <row r="1550" spans="1:1" x14ac:dyDescent="0.2">
      <c r="A1550" s="2"/>
    </row>
    <row r="1551" spans="1:1" x14ac:dyDescent="0.2">
      <c r="A1551" s="2"/>
    </row>
    <row r="1552" spans="1:1" x14ac:dyDescent="0.2">
      <c r="A1552" s="2"/>
    </row>
    <row r="1553" spans="1:1" x14ac:dyDescent="0.2">
      <c r="A1553" s="2"/>
    </row>
    <row r="1554" spans="1:1" x14ac:dyDescent="0.2">
      <c r="A1554" s="2"/>
    </row>
    <row r="1555" spans="1:1" x14ac:dyDescent="0.2">
      <c r="A1555" s="2"/>
    </row>
    <row r="1556" spans="1:1" x14ac:dyDescent="0.2">
      <c r="A1556" s="2"/>
    </row>
    <row r="1557" spans="1:1" x14ac:dyDescent="0.2">
      <c r="A1557" s="2"/>
    </row>
    <row r="1558" spans="1:1" x14ac:dyDescent="0.2">
      <c r="A1558" s="2"/>
    </row>
    <row r="1559" spans="1:1" x14ac:dyDescent="0.2">
      <c r="A1559" s="2"/>
    </row>
    <row r="1560" spans="1:1" x14ac:dyDescent="0.2">
      <c r="A1560" s="2"/>
    </row>
    <row r="1561" spans="1:1" x14ac:dyDescent="0.2">
      <c r="A1561" s="2"/>
    </row>
    <row r="1562" spans="1:1" x14ac:dyDescent="0.2">
      <c r="A1562" s="2"/>
    </row>
    <row r="1563" spans="1:1" x14ac:dyDescent="0.2">
      <c r="A1563" s="2"/>
    </row>
    <row r="1564" spans="1:1" x14ac:dyDescent="0.2">
      <c r="A1564" s="2"/>
    </row>
    <row r="1565" spans="1:1" x14ac:dyDescent="0.2">
      <c r="A1565" s="2"/>
    </row>
    <row r="1566" spans="1:1" x14ac:dyDescent="0.2">
      <c r="A1566" s="2"/>
    </row>
    <row r="1567" spans="1:1" x14ac:dyDescent="0.2">
      <c r="A1567" s="2"/>
    </row>
    <row r="1568" spans="1:1" x14ac:dyDescent="0.2">
      <c r="A1568" s="2"/>
    </row>
    <row r="1569" spans="1:1" x14ac:dyDescent="0.2">
      <c r="A1569" s="2"/>
    </row>
    <row r="1570" spans="1:1" x14ac:dyDescent="0.2">
      <c r="A1570" s="2"/>
    </row>
    <row r="1571" spans="1:1" x14ac:dyDescent="0.2">
      <c r="A1571" s="2"/>
    </row>
    <row r="1572" spans="1:1" x14ac:dyDescent="0.2">
      <c r="A1572" s="2"/>
    </row>
    <row r="1573" spans="1:1" x14ac:dyDescent="0.2">
      <c r="A1573" s="2"/>
    </row>
    <row r="1574" spans="1:1" x14ac:dyDescent="0.2">
      <c r="A1574" s="2"/>
    </row>
    <row r="1575" spans="1:1" x14ac:dyDescent="0.2">
      <c r="A1575" s="2"/>
    </row>
    <row r="1576" spans="1:1" x14ac:dyDescent="0.2">
      <c r="A1576" s="2"/>
    </row>
    <row r="1577" spans="1:1" x14ac:dyDescent="0.2">
      <c r="A1577" s="2"/>
    </row>
    <row r="1578" spans="1:1" x14ac:dyDescent="0.2">
      <c r="A1578" s="2"/>
    </row>
    <row r="1579" spans="1:1" x14ac:dyDescent="0.2">
      <c r="A1579" s="2"/>
    </row>
    <row r="1580" spans="1:1" x14ac:dyDescent="0.2">
      <c r="A1580" s="2"/>
    </row>
    <row r="1581" spans="1:1" x14ac:dyDescent="0.2">
      <c r="A1581" s="2"/>
    </row>
    <row r="1582" spans="1:1" x14ac:dyDescent="0.2">
      <c r="A1582" s="2"/>
    </row>
    <row r="1583" spans="1:1" x14ac:dyDescent="0.2">
      <c r="A1583" s="2"/>
    </row>
    <row r="1584" spans="1:1" x14ac:dyDescent="0.2">
      <c r="A1584" s="2"/>
    </row>
    <row r="1585" spans="1:1" x14ac:dyDescent="0.2">
      <c r="A1585" s="2"/>
    </row>
    <row r="1586" spans="1:1" x14ac:dyDescent="0.2">
      <c r="A1586" s="2"/>
    </row>
    <row r="1587" spans="1:1" x14ac:dyDescent="0.2">
      <c r="A1587" s="2"/>
    </row>
    <row r="1588" spans="1:1" x14ac:dyDescent="0.2">
      <c r="A1588" s="2"/>
    </row>
    <row r="1589" spans="1:1" x14ac:dyDescent="0.2">
      <c r="A1589" s="2"/>
    </row>
    <row r="1590" spans="1:1" x14ac:dyDescent="0.2">
      <c r="A1590" s="2"/>
    </row>
    <row r="1591" spans="1:1" x14ac:dyDescent="0.2">
      <c r="A1591" s="2"/>
    </row>
    <row r="1592" spans="1:1" x14ac:dyDescent="0.2">
      <c r="A1592" s="2"/>
    </row>
    <row r="1593" spans="1:1" x14ac:dyDescent="0.2">
      <c r="A1593" s="2"/>
    </row>
    <row r="1594" spans="1:1" x14ac:dyDescent="0.2">
      <c r="A1594" s="2"/>
    </row>
    <row r="1595" spans="1:1" x14ac:dyDescent="0.2">
      <c r="A1595" s="2"/>
    </row>
    <row r="1596" spans="1:1" x14ac:dyDescent="0.2">
      <c r="A1596" s="2"/>
    </row>
    <row r="1597" spans="1:1" x14ac:dyDescent="0.2">
      <c r="A1597" s="2"/>
    </row>
    <row r="1598" spans="1:1" x14ac:dyDescent="0.2">
      <c r="A1598" s="2"/>
    </row>
    <row r="1599" spans="1:1" x14ac:dyDescent="0.2">
      <c r="A1599" s="2"/>
    </row>
    <row r="1600" spans="1:1" x14ac:dyDescent="0.2">
      <c r="A1600" s="2"/>
    </row>
    <row r="1601" spans="1:1" x14ac:dyDescent="0.2">
      <c r="A1601" s="2"/>
    </row>
    <row r="1602" spans="1:1" x14ac:dyDescent="0.2">
      <c r="A1602" s="2"/>
    </row>
    <row r="1603" spans="1:1" x14ac:dyDescent="0.2">
      <c r="A1603" s="2"/>
    </row>
    <row r="1604" spans="1:1" x14ac:dyDescent="0.2">
      <c r="A1604" s="2"/>
    </row>
    <row r="1605" spans="1:1" x14ac:dyDescent="0.2">
      <c r="A1605" s="2"/>
    </row>
    <row r="1606" spans="1:1" x14ac:dyDescent="0.2">
      <c r="A1606" s="2"/>
    </row>
    <row r="1607" spans="1:1" x14ac:dyDescent="0.2">
      <c r="A1607" s="2"/>
    </row>
    <row r="1608" spans="1:1" x14ac:dyDescent="0.2">
      <c r="A1608" s="2"/>
    </row>
    <row r="1609" spans="1:1" x14ac:dyDescent="0.2">
      <c r="A1609" s="2"/>
    </row>
    <row r="1610" spans="1:1" x14ac:dyDescent="0.2">
      <c r="A1610" s="2"/>
    </row>
    <row r="1611" spans="1:1" x14ac:dyDescent="0.2">
      <c r="A1611" s="2"/>
    </row>
    <row r="1612" spans="1:1" x14ac:dyDescent="0.2">
      <c r="A1612" s="2"/>
    </row>
    <row r="1613" spans="1:1" x14ac:dyDescent="0.2">
      <c r="A1613" s="2"/>
    </row>
    <row r="1614" spans="1:1" x14ac:dyDescent="0.2">
      <c r="A1614" s="2"/>
    </row>
    <row r="1615" spans="1:1" x14ac:dyDescent="0.2">
      <c r="A1615" s="2"/>
    </row>
    <row r="1616" spans="1:1" x14ac:dyDescent="0.2">
      <c r="A1616" s="2"/>
    </row>
    <row r="1617" spans="1:1" x14ac:dyDescent="0.2">
      <c r="A1617" s="2"/>
    </row>
    <row r="1618" spans="1:1" x14ac:dyDescent="0.2">
      <c r="A1618" s="2"/>
    </row>
    <row r="1619" spans="1:1" x14ac:dyDescent="0.2">
      <c r="A1619" s="2"/>
    </row>
    <row r="1620" spans="1:1" x14ac:dyDescent="0.2">
      <c r="A1620" s="2"/>
    </row>
    <row r="1621" spans="1:1" x14ac:dyDescent="0.2">
      <c r="A1621" s="2"/>
    </row>
    <row r="1622" spans="1:1" x14ac:dyDescent="0.2">
      <c r="A1622" s="2"/>
    </row>
    <row r="1623" spans="1:1" x14ac:dyDescent="0.2">
      <c r="A1623" s="2"/>
    </row>
    <row r="1624" spans="1:1" x14ac:dyDescent="0.2">
      <c r="A1624" s="2"/>
    </row>
    <row r="1625" spans="1:1" x14ac:dyDescent="0.2">
      <c r="A1625" s="2"/>
    </row>
    <row r="1626" spans="1:1" x14ac:dyDescent="0.2">
      <c r="A1626" s="2"/>
    </row>
    <row r="1627" spans="1:1" x14ac:dyDescent="0.2">
      <c r="A1627" s="2"/>
    </row>
    <row r="1628" spans="1:1" x14ac:dyDescent="0.2">
      <c r="A1628" s="2"/>
    </row>
    <row r="1629" spans="1:1" x14ac:dyDescent="0.2">
      <c r="A1629" s="2"/>
    </row>
    <row r="1630" spans="1:1" x14ac:dyDescent="0.2">
      <c r="A1630" s="2"/>
    </row>
    <row r="1631" spans="1:1" x14ac:dyDescent="0.2">
      <c r="A1631" s="2"/>
    </row>
    <row r="1632" spans="1:1" x14ac:dyDescent="0.2">
      <c r="A1632" s="2"/>
    </row>
    <row r="1633" spans="1:1" x14ac:dyDescent="0.2">
      <c r="A1633" s="2"/>
    </row>
    <row r="1634" spans="1:1" x14ac:dyDescent="0.2">
      <c r="A1634" s="2"/>
    </row>
    <row r="1635" spans="1:1" x14ac:dyDescent="0.2">
      <c r="A1635" s="2"/>
    </row>
    <row r="1636" spans="1:1" x14ac:dyDescent="0.2">
      <c r="A1636" s="2"/>
    </row>
    <row r="1637" spans="1:1" x14ac:dyDescent="0.2">
      <c r="A1637" s="2"/>
    </row>
    <row r="1638" spans="1:1" x14ac:dyDescent="0.2">
      <c r="A1638" s="2"/>
    </row>
    <row r="1639" spans="1:1" x14ac:dyDescent="0.2">
      <c r="A1639" s="2"/>
    </row>
    <row r="1640" spans="1:1" x14ac:dyDescent="0.2">
      <c r="A1640" s="2"/>
    </row>
    <row r="1641" spans="1:1" x14ac:dyDescent="0.2">
      <c r="A1641" s="2"/>
    </row>
    <row r="1642" spans="1:1" x14ac:dyDescent="0.2">
      <c r="A1642" s="2"/>
    </row>
    <row r="1643" spans="1:1" x14ac:dyDescent="0.2">
      <c r="A1643" s="2"/>
    </row>
    <row r="1644" spans="1:1" x14ac:dyDescent="0.2">
      <c r="A1644" s="2"/>
    </row>
    <row r="1645" spans="1:1" x14ac:dyDescent="0.2">
      <c r="A1645" s="2"/>
    </row>
    <row r="1646" spans="1:1" x14ac:dyDescent="0.2">
      <c r="A1646" s="2"/>
    </row>
    <row r="1647" spans="1:1" x14ac:dyDescent="0.2">
      <c r="A1647" s="2"/>
    </row>
    <row r="1648" spans="1:1" x14ac:dyDescent="0.2">
      <c r="A1648" s="2"/>
    </row>
    <row r="1649" spans="1:1" x14ac:dyDescent="0.2">
      <c r="A1649" s="2"/>
    </row>
    <row r="1650" spans="1:1" x14ac:dyDescent="0.2">
      <c r="A1650" s="2"/>
    </row>
    <row r="1651" spans="1:1" x14ac:dyDescent="0.2">
      <c r="A1651" s="2"/>
    </row>
    <row r="1652" spans="1:1" x14ac:dyDescent="0.2">
      <c r="A1652" s="2"/>
    </row>
    <row r="1653" spans="1:1" x14ac:dyDescent="0.2">
      <c r="A1653" s="2"/>
    </row>
    <row r="1654" spans="1:1" x14ac:dyDescent="0.2">
      <c r="A1654" s="2"/>
    </row>
    <row r="1655" spans="1:1" x14ac:dyDescent="0.2">
      <c r="A1655" s="2"/>
    </row>
    <row r="1656" spans="1:1" x14ac:dyDescent="0.2">
      <c r="A1656" s="2"/>
    </row>
    <row r="1657" spans="1:1" x14ac:dyDescent="0.2">
      <c r="A1657" s="2"/>
    </row>
    <row r="1658" spans="1:1" x14ac:dyDescent="0.2">
      <c r="A1658" s="2"/>
    </row>
    <row r="1659" spans="1:1" x14ac:dyDescent="0.2">
      <c r="A1659" s="2"/>
    </row>
    <row r="1660" spans="1:1" x14ac:dyDescent="0.2">
      <c r="A1660" s="2"/>
    </row>
    <row r="1661" spans="1:1" x14ac:dyDescent="0.2">
      <c r="A1661" s="2"/>
    </row>
    <row r="1662" spans="1:1" x14ac:dyDescent="0.2">
      <c r="A1662" s="2"/>
    </row>
    <row r="1663" spans="1:1" x14ac:dyDescent="0.2">
      <c r="A1663" s="2"/>
    </row>
    <row r="1664" spans="1:1" x14ac:dyDescent="0.2">
      <c r="A1664" s="2"/>
    </row>
    <row r="1665" spans="1:1" x14ac:dyDescent="0.2">
      <c r="A1665" s="2"/>
    </row>
    <row r="1666" spans="1:1" x14ac:dyDescent="0.2">
      <c r="A1666" s="2"/>
    </row>
    <row r="1667" spans="1:1" x14ac:dyDescent="0.2">
      <c r="A1667" s="2"/>
    </row>
    <row r="1668" spans="1:1" x14ac:dyDescent="0.2">
      <c r="A1668" s="2"/>
    </row>
    <row r="1669" spans="1:1" x14ac:dyDescent="0.2">
      <c r="A1669" s="2"/>
    </row>
    <row r="1670" spans="1:1" x14ac:dyDescent="0.2">
      <c r="A1670" s="2"/>
    </row>
    <row r="1671" spans="1:1" x14ac:dyDescent="0.2">
      <c r="A1671" s="2"/>
    </row>
    <row r="1672" spans="1:1" x14ac:dyDescent="0.2">
      <c r="A1672" s="2"/>
    </row>
    <row r="1673" spans="1:1" x14ac:dyDescent="0.2">
      <c r="A1673" s="2"/>
    </row>
    <row r="1674" spans="1:1" x14ac:dyDescent="0.2">
      <c r="A1674" s="2"/>
    </row>
    <row r="1675" spans="1:1" x14ac:dyDescent="0.2">
      <c r="A1675" s="2"/>
    </row>
    <row r="1676" spans="1:1" x14ac:dyDescent="0.2">
      <c r="A1676" s="2"/>
    </row>
    <row r="1677" spans="1:1" x14ac:dyDescent="0.2">
      <c r="A1677" s="2"/>
    </row>
    <row r="1678" spans="1:1" x14ac:dyDescent="0.2">
      <c r="A1678" s="2"/>
    </row>
    <row r="1679" spans="1:1" x14ac:dyDescent="0.2">
      <c r="A1679" s="2"/>
    </row>
    <row r="1680" spans="1:1" x14ac:dyDescent="0.2">
      <c r="A1680" s="2"/>
    </row>
    <row r="1681" spans="1:1" x14ac:dyDescent="0.2">
      <c r="A1681" s="2"/>
    </row>
    <row r="1682" spans="1:1" x14ac:dyDescent="0.2">
      <c r="A1682" s="2"/>
    </row>
    <row r="1683" spans="1:1" x14ac:dyDescent="0.2">
      <c r="A1683" s="2"/>
    </row>
    <row r="1684" spans="1:1" x14ac:dyDescent="0.2">
      <c r="A1684" s="2"/>
    </row>
    <row r="1685" spans="1:1" x14ac:dyDescent="0.2">
      <c r="A1685" s="2"/>
    </row>
    <row r="1686" spans="1:1" x14ac:dyDescent="0.2">
      <c r="A1686" s="2"/>
    </row>
    <row r="1687" spans="1:1" x14ac:dyDescent="0.2">
      <c r="A1687" s="2"/>
    </row>
    <row r="1688" spans="1:1" x14ac:dyDescent="0.2">
      <c r="A1688" s="2"/>
    </row>
    <row r="1689" spans="1:1" x14ac:dyDescent="0.2">
      <c r="A1689" s="2"/>
    </row>
    <row r="1690" spans="1:1" x14ac:dyDescent="0.2">
      <c r="A1690" s="2"/>
    </row>
    <row r="1691" spans="1:1" x14ac:dyDescent="0.2">
      <c r="A1691" s="2"/>
    </row>
    <row r="1692" spans="1:1" x14ac:dyDescent="0.2">
      <c r="A1692" s="2"/>
    </row>
    <row r="1693" spans="1:1" x14ac:dyDescent="0.2">
      <c r="A1693" s="2"/>
    </row>
    <row r="1694" spans="1:1" x14ac:dyDescent="0.2">
      <c r="A1694" s="2"/>
    </row>
    <row r="1695" spans="1:1" x14ac:dyDescent="0.2">
      <c r="A1695" s="2"/>
    </row>
    <row r="1696" spans="1:1" x14ac:dyDescent="0.2">
      <c r="A1696" s="2"/>
    </row>
    <row r="1697" spans="1:1" x14ac:dyDescent="0.2">
      <c r="A1697" s="2"/>
    </row>
    <row r="1698" spans="1:1" x14ac:dyDescent="0.2">
      <c r="A1698" s="2"/>
    </row>
    <row r="1699" spans="1:1" x14ac:dyDescent="0.2">
      <c r="A1699" s="2"/>
    </row>
    <row r="1700" spans="1:1" x14ac:dyDescent="0.2">
      <c r="A1700" s="2"/>
    </row>
    <row r="1701" spans="1:1" x14ac:dyDescent="0.2">
      <c r="A1701" s="2"/>
    </row>
    <row r="1702" spans="1:1" x14ac:dyDescent="0.2">
      <c r="A1702" s="2"/>
    </row>
    <row r="1703" spans="1:1" x14ac:dyDescent="0.2">
      <c r="A1703" s="2"/>
    </row>
    <row r="1704" spans="1:1" x14ac:dyDescent="0.2">
      <c r="A1704" s="2"/>
    </row>
    <row r="1705" spans="1:1" x14ac:dyDescent="0.2">
      <c r="A1705" s="2"/>
    </row>
    <row r="1706" spans="1:1" x14ac:dyDescent="0.2">
      <c r="A1706" s="2"/>
    </row>
    <row r="1707" spans="1:1" x14ac:dyDescent="0.2">
      <c r="A1707" s="2"/>
    </row>
    <row r="1708" spans="1:1" x14ac:dyDescent="0.2">
      <c r="A1708" s="2"/>
    </row>
    <row r="1709" spans="1:1" x14ac:dyDescent="0.2">
      <c r="A1709" s="2"/>
    </row>
    <row r="1710" spans="1:1" x14ac:dyDescent="0.2">
      <c r="A1710" s="2"/>
    </row>
    <row r="1711" spans="1:1" x14ac:dyDescent="0.2">
      <c r="A1711" s="2"/>
    </row>
    <row r="1712" spans="1:1" x14ac:dyDescent="0.2">
      <c r="A1712" s="2"/>
    </row>
    <row r="1713" spans="1:1" x14ac:dyDescent="0.2">
      <c r="A1713" s="2"/>
    </row>
    <row r="1714" spans="1:1" x14ac:dyDescent="0.2">
      <c r="A1714" s="2"/>
    </row>
    <row r="1715" spans="1:1" x14ac:dyDescent="0.2">
      <c r="A1715" s="2"/>
    </row>
    <row r="1716" spans="1:1" x14ac:dyDescent="0.2">
      <c r="A1716" s="2"/>
    </row>
    <row r="1717" spans="1:1" x14ac:dyDescent="0.2">
      <c r="A1717" s="2"/>
    </row>
    <row r="1718" spans="1:1" x14ac:dyDescent="0.2">
      <c r="A1718" s="2"/>
    </row>
    <row r="1719" spans="1:1" x14ac:dyDescent="0.2">
      <c r="A1719" s="2"/>
    </row>
    <row r="1720" spans="1:1" x14ac:dyDescent="0.2">
      <c r="A1720" s="2"/>
    </row>
    <row r="1721" spans="1:1" x14ac:dyDescent="0.2">
      <c r="A1721" s="2"/>
    </row>
    <row r="1722" spans="1:1" x14ac:dyDescent="0.2">
      <c r="A1722" s="2"/>
    </row>
    <row r="1723" spans="1:1" x14ac:dyDescent="0.2">
      <c r="A1723" s="2"/>
    </row>
    <row r="1724" spans="1:1" x14ac:dyDescent="0.2">
      <c r="A1724" s="2"/>
    </row>
    <row r="1725" spans="1:1" x14ac:dyDescent="0.2">
      <c r="A1725" s="2"/>
    </row>
    <row r="1726" spans="1:1" x14ac:dyDescent="0.2">
      <c r="A1726" s="2"/>
    </row>
    <row r="1727" spans="1:1" x14ac:dyDescent="0.2">
      <c r="A1727" s="2"/>
    </row>
    <row r="1728" spans="1:1" x14ac:dyDescent="0.2">
      <c r="A1728" s="2"/>
    </row>
    <row r="1729" spans="1:1" x14ac:dyDescent="0.2">
      <c r="A1729" s="2"/>
    </row>
    <row r="1730" spans="1:1" x14ac:dyDescent="0.2">
      <c r="A1730" s="2"/>
    </row>
    <row r="1731" spans="1:1" x14ac:dyDescent="0.2">
      <c r="A1731" s="2"/>
    </row>
    <row r="1732" spans="1:1" x14ac:dyDescent="0.2">
      <c r="A1732" s="2"/>
    </row>
    <row r="1733" spans="1:1" x14ac:dyDescent="0.2">
      <c r="A1733" s="2"/>
    </row>
    <row r="1734" spans="1:1" x14ac:dyDescent="0.2">
      <c r="A1734" s="2"/>
    </row>
    <row r="1735" spans="1:1" x14ac:dyDescent="0.2">
      <c r="A1735" s="2"/>
    </row>
    <row r="1736" spans="1:1" x14ac:dyDescent="0.2">
      <c r="A1736" s="2"/>
    </row>
    <row r="1737" spans="1:1" x14ac:dyDescent="0.2">
      <c r="A1737" s="2"/>
    </row>
    <row r="1738" spans="1:1" x14ac:dyDescent="0.2">
      <c r="A1738" s="2"/>
    </row>
    <row r="1739" spans="1:1" x14ac:dyDescent="0.2">
      <c r="A1739" s="2"/>
    </row>
    <row r="1740" spans="1:1" x14ac:dyDescent="0.2">
      <c r="A1740" s="2"/>
    </row>
    <row r="1741" spans="1:1" x14ac:dyDescent="0.2">
      <c r="A1741" s="2"/>
    </row>
    <row r="1742" spans="1:1" x14ac:dyDescent="0.2">
      <c r="A1742" s="2"/>
    </row>
    <row r="1743" spans="1:1" x14ac:dyDescent="0.2">
      <c r="A1743" s="2"/>
    </row>
    <row r="1744" spans="1:1" x14ac:dyDescent="0.2">
      <c r="A1744" s="2"/>
    </row>
    <row r="1745" spans="1:1" x14ac:dyDescent="0.2">
      <c r="A1745" s="2"/>
    </row>
    <row r="1746" spans="1:1" x14ac:dyDescent="0.2">
      <c r="A1746" s="2"/>
    </row>
    <row r="1747" spans="1:1" x14ac:dyDescent="0.2">
      <c r="A1747" s="2"/>
    </row>
    <row r="1748" spans="1:1" x14ac:dyDescent="0.2">
      <c r="A1748" s="2"/>
    </row>
    <row r="1749" spans="1:1" x14ac:dyDescent="0.2">
      <c r="A1749" s="2"/>
    </row>
    <row r="1750" spans="1:1" x14ac:dyDescent="0.2">
      <c r="A1750" s="2"/>
    </row>
    <row r="1751" spans="1:1" x14ac:dyDescent="0.2">
      <c r="A1751" s="2"/>
    </row>
    <row r="1752" spans="1:1" x14ac:dyDescent="0.2">
      <c r="A1752" s="2"/>
    </row>
    <row r="1753" spans="1:1" x14ac:dyDescent="0.2">
      <c r="A1753" s="2"/>
    </row>
    <row r="1754" spans="1:1" x14ac:dyDescent="0.2">
      <c r="A1754" s="2"/>
    </row>
    <row r="1755" spans="1:1" x14ac:dyDescent="0.2">
      <c r="A1755" s="2"/>
    </row>
    <row r="1756" spans="1:1" x14ac:dyDescent="0.2">
      <c r="A1756" s="2"/>
    </row>
    <row r="1757" spans="1:1" x14ac:dyDescent="0.2">
      <c r="A1757" s="2"/>
    </row>
    <row r="1758" spans="1:1" x14ac:dyDescent="0.2">
      <c r="A1758" s="2"/>
    </row>
    <row r="1759" spans="1:1" x14ac:dyDescent="0.2">
      <c r="A1759" s="2"/>
    </row>
    <row r="1760" spans="1:1" x14ac:dyDescent="0.2">
      <c r="A1760" s="2"/>
    </row>
    <row r="1761" spans="1:1" x14ac:dyDescent="0.2">
      <c r="A1761" s="2"/>
    </row>
    <row r="1762" spans="1:1" x14ac:dyDescent="0.2">
      <c r="A1762" s="2"/>
    </row>
    <row r="1763" spans="1:1" x14ac:dyDescent="0.2">
      <c r="A1763" s="2"/>
    </row>
    <row r="1764" spans="1:1" x14ac:dyDescent="0.2">
      <c r="A1764" s="2"/>
    </row>
    <row r="1765" spans="1:1" x14ac:dyDescent="0.2">
      <c r="A1765" s="2"/>
    </row>
    <row r="1766" spans="1:1" x14ac:dyDescent="0.2">
      <c r="A1766" s="2"/>
    </row>
    <row r="1767" spans="1:1" x14ac:dyDescent="0.2">
      <c r="A1767" s="2"/>
    </row>
    <row r="1768" spans="1:1" x14ac:dyDescent="0.2">
      <c r="A1768" s="2"/>
    </row>
    <row r="1769" spans="1:1" x14ac:dyDescent="0.2">
      <c r="A1769" s="2"/>
    </row>
    <row r="1770" spans="1:1" x14ac:dyDescent="0.2">
      <c r="A1770" s="2"/>
    </row>
    <row r="1771" spans="1:1" x14ac:dyDescent="0.2">
      <c r="A1771" s="2"/>
    </row>
    <row r="1772" spans="1:1" x14ac:dyDescent="0.2">
      <c r="A1772" s="2"/>
    </row>
    <row r="1773" spans="1:1" x14ac:dyDescent="0.2">
      <c r="A1773" s="2"/>
    </row>
    <row r="1774" spans="1:1" x14ac:dyDescent="0.2">
      <c r="A1774" s="2"/>
    </row>
    <row r="1775" spans="1:1" x14ac:dyDescent="0.2">
      <c r="A1775" s="2"/>
    </row>
    <row r="1776" spans="1:1" x14ac:dyDescent="0.2">
      <c r="A1776" s="2"/>
    </row>
    <row r="1777" spans="1:1" x14ac:dyDescent="0.2">
      <c r="A1777" s="2"/>
    </row>
    <row r="1778" spans="1:1" x14ac:dyDescent="0.2">
      <c r="A1778" s="2"/>
    </row>
    <row r="1779" spans="1:1" x14ac:dyDescent="0.2">
      <c r="A1779" s="2"/>
    </row>
    <row r="1780" spans="1:1" x14ac:dyDescent="0.2">
      <c r="A1780" s="2"/>
    </row>
    <row r="1781" spans="1:1" x14ac:dyDescent="0.2">
      <c r="A1781" s="2"/>
    </row>
    <row r="1782" spans="1:1" x14ac:dyDescent="0.2">
      <c r="A1782" s="2"/>
    </row>
    <row r="1783" spans="1:1" x14ac:dyDescent="0.2">
      <c r="A1783" s="2"/>
    </row>
    <row r="1784" spans="1:1" x14ac:dyDescent="0.2">
      <c r="A1784" s="2"/>
    </row>
    <row r="1785" spans="1:1" x14ac:dyDescent="0.2">
      <c r="A1785" s="2"/>
    </row>
    <row r="1786" spans="1:1" x14ac:dyDescent="0.2">
      <c r="A1786" s="2"/>
    </row>
    <row r="1787" spans="1:1" x14ac:dyDescent="0.2">
      <c r="A1787" s="2"/>
    </row>
    <row r="1788" spans="1:1" x14ac:dyDescent="0.2">
      <c r="A1788" s="2"/>
    </row>
    <row r="1789" spans="1:1" x14ac:dyDescent="0.2">
      <c r="A1789" s="2"/>
    </row>
    <row r="1790" spans="1:1" x14ac:dyDescent="0.2">
      <c r="A1790" s="2"/>
    </row>
    <row r="1791" spans="1:1" x14ac:dyDescent="0.2">
      <c r="A1791" s="2"/>
    </row>
    <row r="1792" spans="1:1" x14ac:dyDescent="0.2">
      <c r="A1792" s="2"/>
    </row>
    <row r="1793" spans="1:1" x14ac:dyDescent="0.2">
      <c r="A1793" s="2"/>
    </row>
    <row r="1794" spans="1:1" x14ac:dyDescent="0.2">
      <c r="A1794" s="2"/>
    </row>
    <row r="1795" spans="1:1" x14ac:dyDescent="0.2">
      <c r="A1795" s="2"/>
    </row>
    <row r="1796" spans="1:1" x14ac:dyDescent="0.2">
      <c r="A1796" s="2"/>
    </row>
    <row r="1797" spans="1:1" x14ac:dyDescent="0.2">
      <c r="A1797" s="2"/>
    </row>
    <row r="1798" spans="1:1" x14ac:dyDescent="0.2">
      <c r="A1798" s="2"/>
    </row>
    <row r="1799" spans="1:1" x14ac:dyDescent="0.2">
      <c r="A1799" s="2"/>
    </row>
    <row r="1800" spans="1:1" x14ac:dyDescent="0.2">
      <c r="A1800" s="2"/>
    </row>
    <row r="1801" spans="1:1" x14ac:dyDescent="0.2">
      <c r="A1801" s="2"/>
    </row>
    <row r="1802" spans="1:1" x14ac:dyDescent="0.2">
      <c r="A1802" s="2"/>
    </row>
    <row r="1803" spans="1:1" x14ac:dyDescent="0.2">
      <c r="A1803" s="2"/>
    </row>
    <row r="1804" spans="1:1" x14ac:dyDescent="0.2">
      <c r="A1804" s="2"/>
    </row>
    <row r="1805" spans="1:1" x14ac:dyDescent="0.2">
      <c r="A1805" s="2"/>
    </row>
    <row r="1806" spans="1:1" x14ac:dyDescent="0.2">
      <c r="A1806" s="2"/>
    </row>
    <row r="1807" spans="1:1" x14ac:dyDescent="0.2">
      <c r="A1807" s="2"/>
    </row>
    <row r="1808" spans="1:1" x14ac:dyDescent="0.2">
      <c r="A1808" s="2"/>
    </row>
    <row r="1809" spans="1:1" x14ac:dyDescent="0.2">
      <c r="A1809" s="2"/>
    </row>
    <row r="1810" spans="1:1" x14ac:dyDescent="0.2">
      <c r="A1810" s="2"/>
    </row>
    <row r="1811" spans="1:1" x14ac:dyDescent="0.2">
      <c r="A1811" s="2"/>
    </row>
    <row r="1812" spans="1:1" x14ac:dyDescent="0.2">
      <c r="A1812" s="2"/>
    </row>
    <row r="1813" spans="1:1" x14ac:dyDescent="0.2">
      <c r="A1813" s="2"/>
    </row>
    <row r="1814" spans="1:1" x14ac:dyDescent="0.2">
      <c r="A1814" s="2"/>
    </row>
    <row r="1815" spans="1:1" x14ac:dyDescent="0.2">
      <c r="A1815" s="2"/>
    </row>
    <row r="1816" spans="1:1" x14ac:dyDescent="0.2">
      <c r="A1816" s="2"/>
    </row>
    <row r="1817" spans="1:1" x14ac:dyDescent="0.2">
      <c r="A1817" s="2"/>
    </row>
    <row r="1818" spans="1:1" x14ac:dyDescent="0.2">
      <c r="A1818" s="2"/>
    </row>
    <row r="1819" spans="1:1" x14ac:dyDescent="0.2">
      <c r="A1819" s="2"/>
    </row>
    <row r="1820" spans="1:1" x14ac:dyDescent="0.2">
      <c r="A1820" s="2"/>
    </row>
    <row r="1821" spans="1:1" x14ac:dyDescent="0.2">
      <c r="A1821" s="2"/>
    </row>
    <row r="1822" spans="1:1" x14ac:dyDescent="0.2">
      <c r="A1822" s="2"/>
    </row>
    <row r="1823" spans="1:1" x14ac:dyDescent="0.2">
      <c r="A1823" s="2"/>
    </row>
    <row r="1824" spans="1:1" x14ac:dyDescent="0.2">
      <c r="A1824" s="2"/>
    </row>
    <row r="1825" spans="1:1" x14ac:dyDescent="0.2">
      <c r="A1825" s="2"/>
    </row>
    <row r="1826" spans="1:1" x14ac:dyDescent="0.2">
      <c r="A1826" s="2"/>
    </row>
    <row r="1827" spans="1:1" x14ac:dyDescent="0.2">
      <c r="A1827" s="2"/>
    </row>
    <row r="1828" spans="1:1" x14ac:dyDescent="0.2">
      <c r="A1828" s="2"/>
    </row>
    <row r="1829" spans="1:1" x14ac:dyDescent="0.2">
      <c r="A1829" s="2"/>
    </row>
    <row r="1830" spans="1:1" x14ac:dyDescent="0.2">
      <c r="A1830" s="2"/>
    </row>
    <row r="1831" spans="1:1" x14ac:dyDescent="0.2">
      <c r="A1831" s="2"/>
    </row>
    <row r="1832" spans="1:1" x14ac:dyDescent="0.2">
      <c r="A1832" s="2"/>
    </row>
    <row r="1833" spans="1:1" x14ac:dyDescent="0.2">
      <c r="A1833" s="2"/>
    </row>
    <row r="1834" spans="1:1" x14ac:dyDescent="0.2">
      <c r="A1834" s="2"/>
    </row>
    <row r="1835" spans="1:1" x14ac:dyDescent="0.2">
      <c r="A1835" s="2"/>
    </row>
    <row r="1836" spans="1:1" x14ac:dyDescent="0.2">
      <c r="A1836" s="2"/>
    </row>
    <row r="1837" spans="1:1" x14ac:dyDescent="0.2">
      <c r="A1837" s="2"/>
    </row>
    <row r="1838" spans="1:1" x14ac:dyDescent="0.2">
      <c r="A1838" s="2"/>
    </row>
    <row r="1839" spans="1:1" x14ac:dyDescent="0.2">
      <c r="A1839" s="2"/>
    </row>
    <row r="1840" spans="1:1" x14ac:dyDescent="0.2">
      <c r="A1840" s="2"/>
    </row>
    <row r="1841" spans="1:1" x14ac:dyDescent="0.2">
      <c r="A1841" s="2"/>
    </row>
    <row r="1842" spans="1:1" x14ac:dyDescent="0.2">
      <c r="A1842" s="2"/>
    </row>
    <row r="1843" spans="1:1" x14ac:dyDescent="0.2">
      <c r="A1843" s="2"/>
    </row>
    <row r="1844" spans="1:1" x14ac:dyDescent="0.2">
      <c r="A1844" s="2"/>
    </row>
    <row r="1845" spans="1:1" x14ac:dyDescent="0.2">
      <c r="A1845" s="2"/>
    </row>
    <row r="1846" spans="1:1" x14ac:dyDescent="0.2">
      <c r="A1846" s="2"/>
    </row>
    <row r="1847" spans="1:1" x14ac:dyDescent="0.2">
      <c r="A1847" s="2"/>
    </row>
    <row r="1848" spans="1:1" x14ac:dyDescent="0.2">
      <c r="A1848" s="2"/>
    </row>
    <row r="1849" spans="1:1" x14ac:dyDescent="0.2">
      <c r="A1849" s="2"/>
    </row>
    <row r="1850" spans="1:1" x14ac:dyDescent="0.2">
      <c r="A1850" s="2"/>
    </row>
    <row r="1851" spans="1:1" x14ac:dyDescent="0.2">
      <c r="A1851" s="2"/>
    </row>
    <row r="1852" spans="1:1" x14ac:dyDescent="0.2">
      <c r="A1852" s="2"/>
    </row>
    <row r="1853" spans="1:1" x14ac:dyDescent="0.2">
      <c r="A1853" s="2"/>
    </row>
    <row r="1854" spans="1:1" x14ac:dyDescent="0.2">
      <c r="A1854" s="2"/>
    </row>
    <row r="1855" spans="1:1" x14ac:dyDescent="0.2">
      <c r="A1855" s="2"/>
    </row>
    <row r="1856" spans="1:1" x14ac:dyDescent="0.2">
      <c r="A1856" s="2"/>
    </row>
    <row r="1857" spans="1:1" x14ac:dyDescent="0.2">
      <c r="A1857" s="2"/>
    </row>
    <row r="1858" spans="1:1" x14ac:dyDescent="0.2">
      <c r="A1858" s="2"/>
    </row>
    <row r="1859" spans="1:1" x14ac:dyDescent="0.2">
      <c r="A1859" s="2"/>
    </row>
    <row r="1860" spans="1:1" x14ac:dyDescent="0.2">
      <c r="A1860" s="2"/>
    </row>
    <row r="1861" spans="1:1" x14ac:dyDescent="0.2">
      <c r="A1861" s="2"/>
    </row>
    <row r="1862" spans="1:1" x14ac:dyDescent="0.2">
      <c r="A1862" s="2"/>
    </row>
    <row r="1863" spans="1:1" x14ac:dyDescent="0.2">
      <c r="A1863" s="2"/>
    </row>
    <row r="1864" spans="1:1" x14ac:dyDescent="0.2">
      <c r="A1864" s="2"/>
    </row>
    <row r="1865" spans="1:1" x14ac:dyDescent="0.2">
      <c r="A1865" s="2"/>
    </row>
    <row r="1866" spans="1:1" x14ac:dyDescent="0.2">
      <c r="A1866" s="2"/>
    </row>
    <row r="1867" spans="1:1" x14ac:dyDescent="0.2">
      <c r="A1867" s="2"/>
    </row>
    <row r="1868" spans="1:1" x14ac:dyDescent="0.2">
      <c r="A1868" s="2"/>
    </row>
    <row r="1869" spans="1:1" x14ac:dyDescent="0.2">
      <c r="A1869" s="2"/>
    </row>
    <row r="1870" spans="1:1" x14ac:dyDescent="0.2">
      <c r="A1870" s="2"/>
    </row>
    <row r="1871" spans="1:1" x14ac:dyDescent="0.2">
      <c r="A1871" s="2"/>
    </row>
    <row r="1872" spans="1:1" x14ac:dyDescent="0.2">
      <c r="A1872" s="2"/>
    </row>
    <row r="1873" spans="1:1" x14ac:dyDescent="0.2">
      <c r="A1873" s="2"/>
    </row>
    <row r="1874" spans="1:1" x14ac:dyDescent="0.2">
      <c r="A1874" s="2"/>
    </row>
    <row r="1875" spans="1:1" x14ac:dyDescent="0.2">
      <c r="A1875" s="2"/>
    </row>
    <row r="1876" spans="1:1" x14ac:dyDescent="0.2">
      <c r="A1876" s="2"/>
    </row>
    <row r="1877" spans="1:1" x14ac:dyDescent="0.2">
      <c r="A1877" s="2"/>
    </row>
    <row r="1878" spans="1:1" x14ac:dyDescent="0.2">
      <c r="A1878" s="2"/>
    </row>
    <row r="1879" spans="1:1" x14ac:dyDescent="0.2">
      <c r="A1879" s="2"/>
    </row>
    <row r="1880" spans="1:1" x14ac:dyDescent="0.2">
      <c r="A1880" s="2"/>
    </row>
    <row r="1881" spans="1:1" x14ac:dyDescent="0.2">
      <c r="A1881" s="2"/>
    </row>
    <row r="1882" spans="1:1" x14ac:dyDescent="0.2">
      <c r="A1882" s="2"/>
    </row>
    <row r="1883" spans="1:1" x14ac:dyDescent="0.2">
      <c r="A1883" s="2"/>
    </row>
    <row r="1884" spans="1:1" x14ac:dyDescent="0.2">
      <c r="A1884" s="2"/>
    </row>
    <row r="1885" spans="1:1" x14ac:dyDescent="0.2">
      <c r="A1885" s="2"/>
    </row>
    <row r="1886" spans="1:1" x14ac:dyDescent="0.2">
      <c r="A1886" s="2"/>
    </row>
    <row r="1887" spans="1:1" x14ac:dyDescent="0.2">
      <c r="A1887" s="2"/>
    </row>
    <row r="1888" spans="1:1" x14ac:dyDescent="0.2">
      <c r="A1888" s="2"/>
    </row>
    <row r="1889" spans="1:1" x14ac:dyDescent="0.2">
      <c r="A1889" s="2"/>
    </row>
    <row r="1890" spans="1:1" x14ac:dyDescent="0.2">
      <c r="A1890" s="2"/>
    </row>
    <row r="1891" spans="1:1" x14ac:dyDescent="0.2">
      <c r="A1891" s="2"/>
    </row>
    <row r="1892" spans="1:1" x14ac:dyDescent="0.2">
      <c r="A1892" s="2"/>
    </row>
    <row r="1893" spans="1:1" x14ac:dyDescent="0.2">
      <c r="A1893" s="2"/>
    </row>
    <row r="1894" spans="1:1" x14ac:dyDescent="0.2">
      <c r="A1894" s="2"/>
    </row>
    <row r="1895" spans="1:1" x14ac:dyDescent="0.2">
      <c r="A1895" s="2"/>
    </row>
    <row r="1896" spans="1:1" x14ac:dyDescent="0.2">
      <c r="A1896" s="2"/>
    </row>
    <row r="1897" spans="1:1" x14ac:dyDescent="0.2">
      <c r="A1897" s="2"/>
    </row>
    <row r="1898" spans="1:1" x14ac:dyDescent="0.2">
      <c r="A1898" s="2"/>
    </row>
    <row r="1899" spans="1:1" x14ac:dyDescent="0.2">
      <c r="A1899" s="2"/>
    </row>
    <row r="1900" spans="1:1" x14ac:dyDescent="0.2">
      <c r="A1900" s="2"/>
    </row>
    <row r="1901" spans="1:1" x14ac:dyDescent="0.2">
      <c r="A1901" s="2"/>
    </row>
    <row r="1902" spans="1:1" x14ac:dyDescent="0.2">
      <c r="A1902" s="2"/>
    </row>
    <row r="1903" spans="1:1" x14ac:dyDescent="0.2">
      <c r="A1903" s="2"/>
    </row>
    <row r="1904" spans="1:1" x14ac:dyDescent="0.2">
      <c r="A1904" s="2"/>
    </row>
    <row r="1905" spans="1:1" x14ac:dyDescent="0.2">
      <c r="A1905" s="2"/>
    </row>
    <row r="1906" spans="1:1" x14ac:dyDescent="0.2">
      <c r="A1906" s="2"/>
    </row>
    <row r="1907" spans="1:1" x14ac:dyDescent="0.2">
      <c r="A1907" s="2"/>
    </row>
    <row r="1908" spans="1:1" x14ac:dyDescent="0.2">
      <c r="A1908" s="2"/>
    </row>
    <row r="1909" spans="1:1" x14ac:dyDescent="0.2">
      <c r="A1909" s="2"/>
    </row>
    <row r="1910" spans="1:1" x14ac:dyDescent="0.2">
      <c r="A1910" s="2"/>
    </row>
    <row r="1911" spans="1:1" x14ac:dyDescent="0.2">
      <c r="A1911" s="2"/>
    </row>
    <row r="1912" spans="1:1" x14ac:dyDescent="0.2">
      <c r="A1912" s="2"/>
    </row>
    <row r="1913" spans="1:1" x14ac:dyDescent="0.2">
      <c r="A1913" s="2"/>
    </row>
    <row r="1914" spans="1:1" x14ac:dyDescent="0.2">
      <c r="A1914" s="2"/>
    </row>
    <row r="1915" spans="1:1" x14ac:dyDescent="0.2">
      <c r="A1915" s="2"/>
    </row>
    <row r="1916" spans="1:1" x14ac:dyDescent="0.2">
      <c r="A1916" s="2"/>
    </row>
    <row r="1917" spans="1:1" x14ac:dyDescent="0.2">
      <c r="A1917" s="2"/>
    </row>
    <row r="1918" spans="1:1" x14ac:dyDescent="0.2">
      <c r="A1918" s="2"/>
    </row>
    <row r="1919" spans="1:1" x14ac:dyDescent="0.2">
      <c r="A1919" s="2"/>
    </row>
    <row r="1920" spans="1:1" x14ac:dyDescent="0.2">
      <c r="A1920" s="2"/>
    </row>
    <row r="1921" spans="1:1" x14ac:dyDescent="0.2">
      <c r="A1921" s="2"/>
    </row>
    <row r="1922" spans="1:1" x14ac:dyDescent="0.2">
      <c r="A1922" s="2"/>
    </row>
    <row r="1923" spans="1:1" x14ac:dyDescent="0.2">
      <c r="A1923" s="2"/>
    </row>
    <row r="1924" spans="1:1" x14ac:dyDescent="0.2">
      <c r="A1924" s="2"/>
    </row>
    <row r="1925" spans="1:1" x14ac:dyDescent="0.2">
      <c r="A1925" s="2"/>
    </row>
    <row r="1926" spans="1:1" x14ac:dyDescent="0.2">
      <c r="A1926" s="2"/>
    </row>
    <row r="1927" spans="1:1" x14ac:dyDescent="0.2">
      <c r="A1927" s="2"/>
    </row>
    <row r="1928" spans="1:1" x14ac:dyDescent="0.2">
      <c r="A1928" s="2"/>
    </row>
    <row r="1929" spans="1:1" x14ac:dyDescent="0.2">
      <c r="A1929" s="2"/>
    </row>
    <row r="1930" spans="1:1" x14ac:dyDescent="0.2">
      <c r="A1930" s="2"/>
    </row>
    <row r="1931" spans="1:1" x14ac:dyDescent="0.2">
      <c r="A1931" s="2"/>
    </row>
    <row r="1932" spans="1:1" x14ac:dyDescent="0.2">
      <c r="A1932" s="2"/>
    </row>
    <row r="1933" spans="1:1" x14ac:dyDescent="0.2">
      <c r="A1933" s="2"/>
    </row>
    <row r="1934" spans="1:1" x14ac:dyDescent="0.2">
      <c r="A1934" s="2"/>
    </row>
    <row r="1935" spans="1:1" x14ac:dyDescent="0.2">
      <c r="A1935" s="2"/>
    </row>
    <row r="1936" spans="1:1" x14ac:dyDescent="0.2">
      <c r="A1936" s="2"/>
    </row>
    <row r="1937" spans="1:1" x14ac:dyDescent="0.2">
      <c r="A1937" s="2"/>
    </row>
    <row r="1938" spans="1:1" x14ac:dyDescent="0.2">
      <c r="A1938" s="2"/>
    </row>
    <row r="1939" spans="1:1" x14ac:dyDescent="0.2">
      <c r="A1939" s="2"/>
    </row>
    <row r="1940" spans="1:1" x14ac:dyDescent="0.2">
      <c r="A1940" s="2"/>
    </row>
    <row r="1941" spans="1:1" x14ac:dyDescent="0.2">
      <c r="A1941" s="2"/>
    </row>
    <row r="1942" spans="1:1" x14ac:dyDescent="0.2">
      <c r="A1942" s="2"/>
    </row>
    <row r="1943" spans="1:1" x14ac:dyDescent="0.2">
      <c r="A1943" s="2"/>
    </row>
    <row r="1944" spans="1:1" x14ac:dyDescent="0.2">
      <c r="A1944" s="2"/>
    </row>
    <row r="1945" spans="1:1" x14ac:dyDescent="0.2">
      <c r="A1945" s="2"/>
    </row>
    <row r="1946" spans="1:1" x14ac:dyDescent="0.2">
      <c r="A1946" s="2"/>
    </row>
    <row r="1947" spans="1:1" x14ac:dyDescent="0.2">
      <c r="A1947" s="2"/>
    </row>
    <row r="1948" spans="1:1" x14ac:dyDescent="0.2">
      <c r="A1948" s="2"/>
    </row>
    <row r="1949" spans="1:1" x14ac:dyDescent="0.2">
      <c r="A1949" s="2"/>
    </row>
    <row r="1950" spans="1:1" x14ac:dyDescent="0.2">
      <c r="A1950" s="2"/>
    </row>
    <row r="1951" spans="1:1" x14ac:dyDescent="0.2">
      <c r="A1951" s="2"/>
    </row>
    <row r="1952" spans="1:1" x14ac:dyDescent="0.2">
      <c r="A1952" s="2"/>
    </row>
    <row r="1953" spans="1:1" x14ac:dyDescent="0.2">
      <c r="A1953" s="2"/>
    </row>
    <row r="1954" spans="1:1" x14ac:dyDescent="0.2">
      <c r="A1954" s="2"/>
    </row>
    <row r="1955" spans="1:1" x14ac:dyDescent="0.2">
      <c r="A1955" s="2"/>
    </row>
    <row r="1956" spans="1:1" x14ac:dyDescent="0.2">
      <c r="A1956" s="2"/>
    </row>
    <row r="1957" spans="1:1" x14ac:dyDescent="0.2">
      <c r="A1957" s="2"/>
    </row>
    <row r="1958" spans="1:1" x14ac:dyDescent="0.2">
      <c r="A1958" s="2"/>
    </row>
    <row r="1959" spans="1:1" x14ac:dyDescent="0.2">
      <c r="A1959" s="2"/>
    </row>
    <row r="1960" spans="1:1" x14ac:dyDescent="0.2">
      <c r="A1960" s="2"/>
    </row>
    <row r="1961" spans="1:1" x14ac:dyDescent="0.2">
      <c r="A1961" s="2"/>
    </row>
    <row r="1962" spans="1:1" x14ac:dyDescent="0.2">
      <c r="A1962" s="2"/>
    </row>
    <row r="1963" spans="1:1" x14ac:dyDescent="0.2">
      <c r="A1963" s="2"/>
    </row>
    <row r="1964" spans="1:1" x14ac:dyDescent="0.2">
      <c r="A1964" s="2"/>
    </row>
    <row r="1965" spans="1:1" x14ac:dyDescent="0.2">
      <c r="A1965" s="2"/>
    </row>
    <row r="1966" spans="1:1" x14ac:dyDescent="0.2">
      <c r="A1966" s="2"/>
    </row>
    <row r="1967" spans="1:1" x14ac:dyDescent="0.2">
      <c r="A1967" s="2"/>
    </row>
    <row r="1968" spans="1:1" x14ac:dyDescent="0.2">
      <c r="A1968" s="2"/>
    </row>
    <row r="1969" spans="1:1" x14ac:dyDescent="0.2">
      <c r="A1969" s="2"/>
    </row>
    <row r="1970" spans="1:1" x14ac:dyDescent="0.2">
      <c r="A1970" s="2"/>
    </row>
    <row r="1971" spans="1:1" x14ac:dyDescent="0.2">
      <c r="A1971" s="2"/>
    </row>
    <row r="1972" spans="1:1" x14ac:dyDescent="0.2">
      <c r="A1972" s="2"/>
    </row>
    <row r="1973" spans="1:1" x14ac:dyDescent="0.2">
      <c r="A1973" s="2"/>
    </row>
    <row r="1974" spans="1:1" x14ac:dyDescent="0.2">
      <c r="A1974" s="2"/>
    </row>
    <row r="1975" spans="1:1" x14ac:dyDescent="0.2">
      <c r="A1975" s="2"/>
    </row>
    <row r="1976" spans="1:1" x14ac:dyDescent="0.2">
      <c r="A1976" s="2"/>
    </row>
    <row r="1977" spans="1:1" x14ac:dyDescent="0.2">
      <c r="A1977" s="2"/>
    </row>
    <row r="1978" spans="1:1" x14ac:dyDescent="0.2">
      <c r="A1978" s="2"/>
    </row>
    <row r="1979" spans="1:1" x14ac:dyDescent="0.2">
      <c r="A1979" s="2"/>
    </row>
    <row r="1980" spans="1:1" x14ac:dyDescent="0.2">
      <c r="A1980" s="2"/>
    </row>
    <row r="1981" spans="1:1" x14ac:dyDescent="0.2">
      <c r="A1981" s="2"/>
    </row>
    <row r="1982" spans="1:1" x14ac:dyDescent="0.2">
      <c r="A1982" s="2"/>
    </row>
    <row r="1983" spans="1:1" x14ac:dyDescent="0.2">
      <c r="A1983" s="2"/>
    </row>
    <row r="1984" spans="1:1" x14ac:dyDescent="0.2">
      <c r="A1984" s="2"/>
    </row>
    <row r="1985" spans="1:1" x14ac:dyDescent="0.2">
      <c r="A1985" s="2"/>
    </row>
    <row r="1986" spans="1:1" x14ac:dyDescent="0.2">
      <c r="A1986" s="2"/>
    </row>
    <row r="1987" spans="1:1" x14ac:dyDescent="0.2">
      <c r="A1987" s="2"/>
    </row>
    <row r="1988" spans="1:1" x14ac:dyDescent="0.2">
      <c r="A1988" s="2"/>
    </row>
    <row r="1989" spans="1:1" x14ac:dyDescent="0.2">
      <c r="A1989" s="2"/>
    </row>
    <row r="1990" spans="1:1" x14ac:dyDescent="0.2">
      <c r="A1990" s="2"/>
    </row>
    <row r="1991" spans="1:1" x14ac:dyDescent="0.2">
      <c r="A1991" s="2"/>
    </row>
    <row r="1992" spans="1:1" x14ac:dyDescent="0.2">
      <c r="A1992" s="2"/>
    </row>
    <row r="1993" spans="1:1" x14ac:dyDescent="0.2">
      <c r="A1993" s="2"/>
    </row>
    <row r="1994" spans="1:1" x14ac:dyDescent="0.2">
      <c r="A1994" s="2"/>
    </row>
    <row r="1995" spans="1:1" x14ac:dyDescent="0.2">
      <c r="A1995" s="2"/>
    </row>
    <row r="1996" spans="1:1" x14ac:dyDescent="0.2">
      <c r="A1996" s="2"/>
    </row>
    <row r="1997" spans="1:1" x14ac:dyDescent="0.2">
      <c r="A1997" s="2"/>
    </row>
    <row r="1998" spans="1:1" x14ac:dyDescent="0.2">
      <c r="A1998" s="2"/>
    </row>
    <row r="1999" spans="1:1" x14ac:dyDescent="0.2">
      <c r="A1999" s="2"/>
    </row>
    <row r="2000" spans="1:1" x14ac:dyDescent="0.2">
      <c r="A2000" s="2"/>
    </row>
    <row r="2001" spans="1:1" x14ac:dyDescent="0.2">
      <c r="A2001" s="2"/>
    </row>
    <row r="2002" spans="1:1" x14ac:dyDescent="0.2">
      <c r="A2002" s="2"/>
    </row>
    <row r="2003" spans="1:1" x14ac:dyDescent="0.2">
      <c r="A2003" s="2"/>
    </row>
    <row r="2004" spans="1:1" x14ac:dyDescent="0.2">
      <c r="A2004" s="2"/>
    </row>
    <row r="2005" spans="1:1" x14ac:dyDescent="0.2">
      <c r="A2005" s="2"/>
    </row>
    <row r="2006" spans="1:1" x14ac:dyDescent="0.2">
      <c r="A2006" s="2"/>
    </row>
    <row r="2007" spans="1:1" x14ac:dyDescent="0.2">
      <c r="A2007" s="2"/>
    </row>
    <row r="2008" spans="1:1" x14ac:dyDescent="0.2">
      <c r="A2008" s="2"/>
    </row>
    <row r="2009" spans="1:1" x14ac:dyDescent="0.2">
      <c r="A2009" s="2"/>
    </row>
    <row r="2010" spans="1:1" x14ac:dyDescent="0.2">
      <c r="A2010" s="2"/>
    </row>
    <row r="2011" spans="1:1" x14ac:dyDescent="0.2">
      <c r="A2011" s="2"/>
    </row>
    <row r="2012" spans="1:1" x14ac:dyDescent="0.2">
      <c r="A2012" s="2"/>
    </row>
    <row r="2013" spans="1:1" x14ac:dyDescent="0.2">
      <c r="A2013" s="2"/>
    </row>
    <row r="2014" spans="1:1" x14ac:dyDescent="0.2">
      <c r="A2014" s="2"/>
    </row>
    <row r="2015" spans="1:1" x14ac:dyDescent="0.2">
      <c r="A2015" s="2"/>
    </row>
    <row r="2016" spans="1:1" x14ac:dyDescent="0.2">
      <c r="A2016" s="2"/>
    </row>
    <row r="2017" spans="1:1" x14ac:dyDescent="0.2">
      <c r="A2017" s="2"/>
    </row>
    <row r="2018" spans="1:1" x14ac:dyDescent="0.2">
      <c r="A2018" s="2"/>
    </row>
    <row r="2019" spans="1:1" x14ac:dyDescent="0.2">
      <c r="A2019" s="2"/>
    </row>
    <row r="2020" spans="1:1" x14ac:dyDescent="0.2">
      <c r="A2020" s="2"/>
    </row>
    <row r="2021" spans="1:1" x14ac:dyDescent="0.2">
      <c r="A2021" s="2"/>
    </row>
    <row r="2022" spans="1:1" x14ac:dyDescent="0.2">
      <c r="A2022" s="2"/>
    </row>
    <row r="2023" spans="1:1" x14ac:dyDescent="0.2">
      <c r="A2023" s="2"/>
    </row>
    <row r="2024" spans="1:1" x14ac:dyDescent="0.2">
      <c r="A2024" s="2"/>
    </row>
    <row r="2025" spans="1:1" x14ac:dyDescent="0.2">
      <c r="A2025" s="2"/>
    </row>
    <row r="2026" spans="1:1" x14ac:dyDescent="0.2">
      <c r="A2026" s="2"/>
    </row>
    <row r="2027" spans="1:1" x14ac:dyDescent="0.2">
      <c r="A2027" s="2"/>
    </row>
    <row r="2028" spans="1:1" x14ac:dyDescent="0.2">
      <c r="A2028" s="2"/>
    </row>
    <row r="2029" spans="1:1" x14ac:dyDescent="0.2">
      <c r="A2029" s="2"/>
    </row>
    <row r="2030" spans="1:1" x14ac:dyDescent="0.2">
      <c r="A2030" s="2"/>
    </row>
    <row r="2031" spans="1:1" x14ac:dyDescent="0.2">
      <c r="A2031" s="2"/>
    </row>
    <row r="2032" spans="1:1" x14ac:dyDescent="0.2">
      <c r="A2032" s="2"/>
    </row>
    <row r="2033" spans="1:1" x14ac:dyDescent="0.2">
      <c r="A2033" s="2"/>
    </row>
    <row r="2034" spans="1:1" x14ac:dyDescent="0.2">
      <c r="A2034" s="2"/>
    </row>
    <row r="2035" spans="1:1" x14ac:dyDescent="0.2">
      <c r="A2035" s="2"/>
    </row>
    <row r="2036" spans="1:1" x14ac:dyDescent="0.2">
      <c r="A2036" s="2"/>
    </row>
    <row r="2037" spans="1:1" x14ac:dyDescent="0.2">
      <c r="A2037" s="2"/>
    </row>
    <row r="2038" spans="1:1" x14ac:dyDescent="0.2">
      <c r="A2038" s="2"/>
    </row>
    <row r="2039" spans="1:1" x14ac:dyDescent="0.2">
      <c r="A2039" s="2"/>
    </row>
    <row r="2040" spans="1:1" x14ac:dyDescent="0.2">
      <c r="A2040" s="2"/>
    </row>
    <row r="2041" spans="1:1" x14ac:dyDescent="0.2">
      <c r="A2041" s="2"/>
    </row>
    <row r="2042" spans="1:1" x14ac:dyDescent="0.2">
      <c r="A2042" s="2"/>
    </row>
    <row r="2043" spans="1:1" x14ac:dyDescent="0.2">
      <c r="A2043" s="2"/>
    </row>
    <row r="2044" spans="1:1" x14ac:dyDescent="0.2">
      <c r="A2044" s="2"/>
    </row>
    <row r="2045" spans="1:1" x14ac:dyDescent="0.2">
      <c r="A2045" s="2"/>
    </row>
    <row r="2046" spans="1:1" x14ac:dyDescent="0.2">
      <c r="A2046" s="2"/>
    </row>
    <row r="2047" spans="1:1" x14ac:dyDescent="0.2">
      <c r="A2047" s="2"/>
    </row>
    <row r="2048" spans="1:1" x14ac:dyDescent="0.2">
      <c r="A2048" s="2"/>
    </row>
    <row r="2049" spans="1:1" x14ac:dyDescent="0.2">
      <c r="A2049" s="2"/>
    </row>
    <row r="2050" spans="1:1" x14ac:dyDescent="0.2">
      <c r="A2050" s="2"/>
    </row>
    <row r="2051" spans="1:1" x14ac:dyDescent="0.2">
      <c r="A2051" s="2"/>
    </row>
    <row r="2052" spans="1:1" x14ac:dyDescent="0.2">
      <c r="A2052" s="2"/>
    </row>
    <row r="2053" spans="1:1" x14ac:dyDescent="0.2">
      <c r="A2053" s="2"/>
    </row>
    <row r="2054" spans="1:1" x14ac:dyDescent="0.2">
      <c r="A2054" s="2"/>
    </row>
    <row r="2055" spans="1:1" x14ac:dyDescent="0.2">
      <c r="A2055" s="2"/>
    </row>
    <row r="2056" spans="1:1" x14ac:dyDescent="0.2">
      <c r="A2056" s="2"/>
    </row>
    <row r="2057" spans="1:1" x14ac:dyDescent="0.2">
      <c r="A2057" s="2"/>
    </row>
    <row r="2058" spans="1:1" x14ac:dyDescent="0.2">
      <c r="A2058" s="2"/>
    </row>
    <row r="2059" spans="1:1" x14ac:dyDescent="0.2">
      <c r="A2059" s="2"/>
    </row>
    <row r="2060" spans="1:1" x14ac:dyDescent="0.2">
      <c r="A2060" s="2"/>
    </row>
    <row r="2061" spans="1:1" x14ac:dyDescent="0.2">
      <c r="A2061" s="2"/>
    </row>
    <row r="2062" spans="1:1" x14ac:dyDescent="0.2">
      <c r="A2062" s="2"/>
    </row>
    <row r="2063" spans="1:1" x14ac:dyDescent="0.2">
      <c r="A2063" s="2"/>
    </row>
    <row r="2064" spans="1:1" x14ac:dyDescent="0.2">
      <c r="A2064" s="2"/>
    </row>
    <row r="2065" spans="1:1" x14ac:dyDescent="0.2">
      <c r="A2065" s="2"/>
    </row>
    <row r="2066" spans="1:1" x14ac:dyDescent="0.2">
      <c r="A2066" s="2"/>
    </row>
    <row r="2067" spans="1:1" x14ac:dyDescent="0.2">
      <c r="A2067" s="2"/>
    </row>
    <row r="2068" spans="1:1" x14ac:dyDescent="0.2">
      <c r="A2068" s="2"/>
    </row>
    <row r="2069" spans="1:1" x14ac:dyDescent="0.2">
      <c r="A2069" s="2"/>
    </row>
    <row r="2070" spans="1:1" x14ac:dyDescent="0.2">
      <c r="A2070" s="2"/>
    </row>
    <row r="2071" spans="1:1" x14ac:dyDescent="0.2">
      <c r="A2071" s="2"/>
    </row>
    <row r="2072" spans="1:1" x14ac:dyDescent="0.2">
      <c r="A2072" s="2"/>
    </row>
    <row r="2073" spans="1:1" x14ac:dyDescent="0.2">
      <c r="A2073" s="2"/>
    </row>
    <row r="2074" spans="1:1" x14ac:dyDescent="0.2">
      <c r="A2074" s="2"/>
    </row>
    <row r="2075" spans="1:1" x14ac:dyDescent="0.2">
      <c r="A2075" s="2"/>
    </row>
    <row r="2076" spans="1:1" x14ac:dyDescent="0.2">
      <c r="A2076" s="2"/>
    </row>
    <row r="2077" spans="1:1" x14ac:dyDescent="0.2">
      <c r="A2077" s="2"/>
    </row>
    <row r="2078" spans="1:1" x14ac:dyDescent="0.2">
      <c r="A2078" s="2"/>
    </row>
    <row r="2079" spans="1:1" x14ac:dyDescent="0.2">
      <c r="A2079" s="2"/>
    </row>
    <row r="2080" spans="1:1" x14ac:dyDescent="0.2">
      <c r="A2080" s="2"/>
    </row>
    <row r="2081" spans="1:1" x14ac:dyDescent="0.2">
      <c r="A2081" s="2"/>
    </row>
    <row r="2082" spans="1:1" x14ac:dyDescent="0.2">
      <c r="A2082" s="2"/>
    </row>
    <row r="2083" spans="1:1" x14ac:dyDescent="0.2">
      <c r="A2083" s="2"/>
    </row>
    <row r="2084" spans="1:1" x14ac:dyDescent="0.2">
      <c r="A2084" s="2"/>
    </row>
    <row r="2085" spans="1:1" x14ac:dyDescent="0.2">
      <c r="A2085" s="2"/>
    </row>
    <row r="2086" spans="1:1" x14ac:dyDescent="0.2">
      <c r="A2086" s="2"/>
    </row>
    <row r="2087" spans="1:1" x14ac:dyDescent="0.2">
      <c r="A2087" s="2"/>
    </row>
    <row r="2088" spans="1:1" x14ac:dyDescent="0.2">
      <c r="A2088" s="2"/>
    </row>
    <row r="2089" spans="1:1" x14ac:dyDescent="0.2">
      <c r="A2089" s="2"/>
    </row>
    <row r="2090" spans="1:1" x14ac:dyDescent="0.2">
      <c r="A2090" s="2"/>
    </row>
    <row r="2091" spans="1:1" x14ac:dyDescent="0.2">
      <c r="A2091" s="2"/>
    </row>
    <row r="2092" spans="1:1" x14ac:dyDescent="0.2">
      <c r="A2092" s="2"/>
    </row>
    <row r="2093" spans="1:1" x14ac:dyDescent="0.2">
      <c r="A2093" s="2"/>
    </row>
    <row r="2094" spans="1:1" x14ac:dyDescent="0.2">
      <c r="A2094" s="2"/>
    </row>
    <row r="2095" spans="1:1" x14ac:dyDescent="0.2">
      <c r="A2095" s="2"/>
    </row>
    <row r="2096" spans="1:1" x14ac:dyDescent="0.2">
      <c r="A2096" s="2"/>
    </row>
    <row r="2097" spans="1:1" x14ac:dyDescent="0.2">
      <c r="A2097" s="2"/>
    </row>
    <row r="2098" spans="1:1" x14ac:dyDescent="0.2">
      <c r="A2098" s="2"/>
    </row>
    <row r="2099" spans="1:1" x14ac:dyDescent="0.2">
      <c r="A2099" s="2"/>
    </row>
    <row r="2100" spans="1:1" x14ac:dyDescent="0.2">
      <c r="A2100" s="2"/>
    </row>
    <row r="2101" spans="1:1" x14ac:dyDescent="0.2">
      <c r="A2101" s="2"/>
    </row>
    <row r="2102" spans="1:1" x14ac:dyDescent="0.2">
      <c r="A2102" s="2"/>
    </row>
    <row r="2103" spans="1:1" x14ac:dyDescent="0.2">
      <c r="A2103" s="2"/>
    </row>
    <row r="2104" spans="1:1" x14ac:dyDescent="0.2">
      <c r="A2104" s="2"/>
    </row>
    <row r="2105" spans="1:1" x14ac:dyDescent="0.2">
      <c r="A2105" s="2"/>
    </row>
    <row r="2106" spans="1:1" x14ac:dyDescent="0.2">
      <c r="A2106" s="2"/>
    </row>
    <row r="2107" spans="1:1" x14ac:dyDescent="0.2">
      <c r="A2107" s="2"/>
    </row>
    <row r="2108" spans="1:1" x14ac:dyDescent="0.2">
      <c r="A2108" s="2"/>
    </row>
    <row r="2109" spans="1:1" x14ac:dyDescent="0.2">
      <c r="A2109" s="2"/>
    </row>
    <row r="2110" spans="1:1" x14ac:dyDescent="0.2">
      <c r="A2110" s="2"/>
    </row>
    <row r="2111" spans="1:1" x14ac:dyDescent="0.2">
      <c r="A2111" s="2"/>
    </row>
    <row r="2112" spans="1:1" x14ac:dyDescent="0.2">
      <c r="A2112" s="2"/>
    </row>
    <row r="2113" spans="1:1" x14ac:dyDescent="0.2">
      <c r="A2113" s="2"/>
    </row>
    <row r="2114" spans="1:1" x14ac:dyDescent="0.2">
      <c r="A2114" s="2"/>
    </row>
    <row r="2115" spans="1:1" x14ac:dyDescent="0.2">
      <c r="A2115" s="2"/>
    </row>
    <row r="2116" spans="1:1" x14ac:dyDescent="0.2">
      <c r="A2116" s="2"/>
    </row>
    <row r="2117" spans="1:1" x14ac:dyDescent="0.2">
      <c r="A2117" s="2"/>
    </row>
    <row r="2118" spans="1:1" x14ac:dyDescent="0.2">
      <c r="A2118" s="2"/>
    </row>
    <row r="2119" spans="1:1" x14ac:dyDescent="0.2">
      <c r="A2119" s="2"/>
    </row>
    <row r="2120" spans="1:1" x14ac:dyDescent="0.2">
      <c r="A2120" s="2"/>
    </row>
    <row r="2121" spans="1:1" x14ac:dyDescent="0.2">
      <c r="A2121" s="2"/>
    </row>
    <row r="2122" spans="1:1" x14ac:dyDescent="0.2">
      <c r="A2122" s="2"/>
    </row>
    <row r="2123" spans="1:1" x14ac:dyDescent="0.2">
      <c r="A2123" s="2"/>
    </row>
    <row r="2124" spans="1:1" x14ac:dyDescent="0.2">
      <c r="A2124" s="2"/>
    </row>
    <row r="2125" spans="1:1" x14ac:dyDescent="0.2">
      <c r="A2125" s="2"/>
    </row>
    <row r="2126" spans="1:1" x14ac:dyDescent="0.2">
      <c r="A2126" s="2"/>
    </row>
    <row r="2127" spans="1:1" x14ac:dyDescent="0.2">
      <c r="A2127" s="2"/>
    </row>
    <row r="2128" spans="1:1" x14ac:dyDescent="0.2">
      <c r="A2128" s="2"/>
    </row>
    <row r="2129" spans="1:1" x14ac:dyDescent="0.2">
      <c r="A2129" s="2"/>
    </row>
    <row r="2130" spans="1:1" x14ac:dyDescent="0.2">
      <c r="A2130" s="2"/>
    </row>
    <row r="2131" spans="1:1" x14ac:dyDescent="0.2">
      <c r="A2131" s="2"/>
    </row>
    <row r="2132" spans="1:1" x14ac:dyDescent="0.2">
      <c r="A2132" s="2"/>
    </row>
    <row r="2133" spans="1:1" x14ac:dyDescent="0.2">
      <c r="A2133" s="2"/>
    </row>
    <row r="2134" spans="1:1" x14ac:dyDescent="0.2">
      <c r="A2134" s="2"/>
    </row>
    <row r="2135" spans="1:1" x14ac:dyDescent="0.2">
      <c r="A2135" s="2"/>
    </row>
    <row r="2136" spans="1:1" x14ac:dyDescent="0.2">
      <c r="A2136" s="2"/>
    </row>
    <row r="2137" spans="1:1" x14ac:dyDescent="0.2">
      <c r="A2137" s="2"/>
    </row>
    <row r="2138" spans="1:1" x14ac:dyDescent="0.2">
      <c r="A2138" s="2"/>
    </row>
    <row r="2139" spans="1:1" x14ac:dyDescent="0.2">
      <c r="A2139" s="2"/>
    </row>
    <row r="2140" spans="1:1" x14ac:dyDescent="0.2">
      <c r="A2140" s="2"/>
    </row>
    <row r="2141" spans="1:1" x14ac:dyDescent="0.2">
      <c r="A2141" s="2"/>
    </row>
    <row r="2142" spans="1:1" x14ac:dyDescent="0.2">
      <c r="A2142" s="2"/>
    </row>
    <row r="2143" spans="1:1" x14ac:dyDescent="0.2">
      <c r="A2143" s="2"/>
    </row>
    <row r="2144" spans="1:1" x14ac:dyDescent="0.2">
      <c r="A2144" s="2"/>
    </row>
    <row r="2145" spans="1:1" x14ac:dyDescent="0.2">
      <c r="A2145" s="2"/>
    </row>
    <row r="2146" spans="1:1" x14ac:dyDescent="0.2">
      <c r="A2146" s="2"/>
    </row>
    <row r="2147" spans="1:1" x14ac:dyDescent="0.2">
      <c r="A2147" s="2"/>
    </row>
    <row r="2148" spans="1:1" x14ac:dyDescent="0.2">
      <c r="A2148" s="2"/>
    </row>
    <row r="2149" spans="1:1" x14ac:dyDescent="0.2">
      <c r="A2149" s="2"/>
    </row>
    <row r="2150" spans="1:1" x14ac:dyDescent="0.2">
      <c r="A2150" s="2"/>
    </row>
    <row r="2151" spans="1:1" x14ac:dyDescent="0.2">
      <c r="A2151" s="2"/>
    </row>
    <row r="2152" spans="1:1" x14ac:dyDescent="0.2">
      <c r="A2152" s="2"/>
    </row>
    <row r="2153" spans="1:1" x14ac:dyDescent="0.2">
      <c r="A2153" s="2"/>
    </row>
    <row r="2154" spans="1:1" x14ac:dyDescent="0.2">
      <c r="A2154" s="2"/>
    </row>
    <row r="2155" spans="1:1" x14ac:dyDescent="0.2">
      <c r="A2155" s="2"/>
    </row>
    <row r="2156" spans="1:1" x14ac:dyDescent="0.2">
      <c r="A2156" s="2"/>
    </row>
    <row r="2157" spans="1:1" x14ac:dyDescent="0.2">
      <c r="A2157" s="2"/>
    </row>
    <row r="2158" spans="1:1" x14ac:dyDescent="0.2">
      <c r="A2158" s="2"/>
    </row>
    <row r="2159" spans="1:1" x14ac:dyDescent="0.2">
      <c r="A2159" s="2"/>
    </row>
    <row r="2160" spans="1:1" x14ac:dyDescent="0.2">
      <c r="A2160" s="2"/>
    </row>
    <row r="2161" spans="1:1" x14ac:dyDescent="0.2">
      <c r="A2161" s="2"/>
    </row>
    <row r="2162" spans="1:1" x14ac:dyDescent="0.2">
      <c r="A2162" s="2"/>
    </row>
    <row r="2163" spans="1:1" x14ac:dyDescent="0.2">
      <c r="A2163" s="2"/>
    </row>
    <row r="2164" spans="1:1" x14ac:dyDescent="0.2">
      <c r="A2164" s="2"/>
    </row>
    <row r="2165" spans="1:1" x14ac:dyDescent="0.2">
      <c r="A2165" s="2"/>
    </row>
    <row r="2166" spans="1:1" x14ac:dyDescent="0.2">
      <c r="A2166" s="2"/>
    </row>
    <row r="2167" spans="1:1" x14ac:dyDescent="0.2">
      <c r="A2167" s="2"/>
    </row>
    <row r="2168" spans="1:1" x14ac:dyDescent="0.2">
      <c r="A2168" s="2"/>
    </row>
    <row r="2169" spans="1:1" x14ac:dyDescent="0.2">
      <c r="A2169" s="2"/>
    </row>
    <row r="2170" spans="1:1" x14ac:dyDescent="0.2">
      <c r="A2170" s="2"/>
    </row>
    <row r="2171" spans="1:1" x14ac:dyDescent="0.2">
      <c r="A2171" s="2"/>
    </row>
    <row r="2172" spans="1:1" x14ac:dyDescent="0.2">
      <c r="A2172" s="2"/>
    </row>
    <row r="2173" spans="1:1" x14ac:dyDescent="0.2">
      <c r="A2173" s="2"/>
    </row>
    <row r="2174" spans="1:1" x14ac:dyDescent="0.2">
      <c r="A2174" s="2"/>
    </row>
    <row r="2175" spans="1:1" x14ac:dyDescent="0.2">
      <c r="A2175" s="2"/>
    </row>
    <row r="2176" spans="1:1" x14ac:dyDescent="0.2">
      <c r="A2176" s="2"/>
    </row>
    <row r="2177" spans="1:1" x14ac:dyDescent="0.2">
      <c r="A2177" s="2"/>
    </row>
    <row r="2178" spans="1:1" x14ac:dyDescent="0.2">
      <c r="A2178" s="2"/>
    </row>
    <row r="2179" spans="1:1" x14ac:dyDescent="0.2">
      <c r="A2179" s="2"/>
    </row>
    <row r="2180" spans="1:1" x14ac:dyDescent="0.2">
      <c r="A2180" s="2"/>
    </row>
    <row r="2181" spans="1:1" x14ac:dyDescent="0.2">
      <c r="A2181" s="2"/>
    </row>
    <row r="2182" spans="1:1" x14ac:dyDescent="0.2">
      <c r="A2182" s="2"/>
    </row>
    <row r="2183" spans="1:1" x14ac:dyDescent="0.2">
      <c r="A2183" s="2"/>
    </row>
    <row r="2184" spans="1:1" x14ac:dyDescent="0.2">
      <c r="A2184" s="2"/>
    </row>
    <row r="2185" spans="1:1" x14ac:dyDescent="0.2">
      <c r="A2185" s="2"/>
    </row>
    <row r="2186" spans="1:1" x14ac:dyDescent="0.2">
      <c r="A2186" s="2"/>
    </row>
    <row r="2187" spans="1:1" x14ac:dyDescent="0.2">
      <c r="A2187" s="2"/>
    </row>
    <row r="2188" spans="1:1" x14ac:dyDescent="0.2">
      <c r="A2188" s="2"/>
    </row>
    <row r="2189" spans="1:1" x14ac:dyDescent="0.2">
      <c r="A2189" s="2"/>
    </row>
    <row r="2190" spans="1:1" x14ac:dyDescent="0.2">
      <c r="A2190" s="2"/>
    </row>
    <row r="2191" spans="1:1" x14ac:dyDescent="0.2">
      <c r="A2191" s="2"/>
    </row>
    <row r="2192" spans="1:1" x14ac:dyDescent="0.2">
      <c r="A2192" s="2"/>
    </row>
    <row r="2193" spans="1:1" x14ac:dyDescent="0.2">
      <c r="A2193" s="2"/>
    </row>
    <row r="2194" spans="1:1" x14ac:dyDescent="0.2">
      <c r="A2194" s="2"/>
    </row>
    <row r="2195" spans="1:1" x14ac:dyDescent="0.2">
      <c r="A2195" s="2"/>
    </row>
    <row r="2196" spans="1:1" x14ac:dyDescent="0.2">
      <c r="A2196" s="2"/>
    </row>
    <row r="2197" spans="1:1" x14ac:dyDescent="0.2">
      <c r="A2197" s="2"/>
    </row>
    <row r="2198" spans="1:1" x14ac:dyDescent="0.2">
      <c r="A2198" s="2"/>
    </row>
    <row r="2199" spans="1:1" x14ac:dyDescent="0.2">
      <c r="A2199" s="2"/>
    </row>
    <row r="2200" spans="1:1" x14ac:dyDescent="0.2">
      <c r="A2200" s="2"/>
    </row>
    <row r="2201" spans="1:1" x14ac:dyDescent="0.2">
      <c r="A2201" s="2"/>
    </row>
    <row r="2202" spans="1:1" x14ac:dyDescent="0.2">
      <c r="A2202" s="2"/>
    </row>
    <row r="2203" spans="1:1" x14ac:dyDescent="0.2">
      <c r="A2203" s="2"/>
    </row>
    <row r="2204" spans="1:1" x14ac:dyDescent="0.2">
      <c r="A2204" s="2"/>
    </row>
    <row r="2205" spans="1:1" x14ac:dyDescent="0.2">
      <c r="A2205" s="2"/>
    </row>
    <row r="2206" spans="1:1" x14ac:dyDescent="0.2">
      <c r="A2206" s="2"/>
    </row>
    <row r="2207" spans="1:1" x14ac:dyDescent="0.2">
      <c r="A2207" s="2"/>
    </row>
    <row r="2208" spans="1:1" x14ac:dyDescent="0.2">
      <c r="A2208" s="2"/>
    </row>
    <row r="2209" spans="1:1" x14ac:dyDescent="0.2">
      <c r="A2209" s="2"/>
    </row>
    <row r="2210" spans="1:1" x14ac:dyDescent="0.2">
      <c r="A2210" s="2"/>
    </row>
    <row r="2211" spans="1:1" x14ac:dyDescent="0.2">
      <c r="A2211" s="2"/>
    </row>
    <row r="2212" spans="1:1" x14ac:dyDescent="0.2">
      <c r="A2212" s="2"/>
    </row>
    <row r="2213" spans="1:1" x14ac:dyDescent="0.2">
      <c r="A2213" s="2"/>
    </row>
    <row r="2214" spans="1:1" x14ac:dyDescent="0.2">
      <c r="A2214" s="2"/>
    </row>
    <row r="2215" spans="1:1" x14ac:dyDescent="0.2">
      <c r="A2215" s="2"/>
    </row>
    <row r="2216" spans="1:1" x14ac:dyDescent="0.2">
      <c r="A2216" s="2"/>
    </row>
    <row r="2217" spans="1:1" x14ac:dyDescent="0.2">
      <c r="A2217" s="2"/>
    </row>
    <row r="2218" spans="1:1" x14ac:dyDescent="0.2">
      <c r="A2218" s="2"/>
    </row>
    <row r="2219" spans="1:1" x14ac:dyDescent="0.2">
      <c r="A2219" s="2"/>
    </row>
    <row r="2220" spans="1:1" x14ac:dyDescent="0.2">
      <c r="A2220" s="2"/>
    </row>
    <row r="2221" spans="1:1" x14ac:dyDescent="0.2">
      <c r="A2221" s="2"/>
    </row>
    <row r="2222" spans="1:1" x14ac:dyDescent="0.2">
      <c r="A2222" s="2"/>
    </row>
    <row r="2223" spans="1:1" x14ac:dyDescent="0.2">
      <c r="A2223" s="2"/>
    </row>
    <row r="2224" spans="1:1" x14ac:dyDescent="0.2">
      <c r="A2224" s="2"/>
    </row>
    <row r="2225" spans="1:1" x14ac:dyDescent="0.2">
      <c r="A2225" s="2"/>
    </row>
    <row r="2226" spans="1:1" x14ac:dyDescent="0.2">
      <c r="A2226" s="2"/>
    </row>
    <row r="2227" spans="1:1" x14ac:dyDescent="0.2">
      <c r="A2227" s="2"/>
    </row>
    <row r="2228" spans="1:1" x14ac:dyDescent="0.2">
      <c r="A2228" s="2"/>
    </row>
    <row r="2229" spans="1:1" x14ac:dyDescent="0.2">
      <c r="A2229" s="2"/>
    </row>
    <row r="2230" spans="1:1" x14ac:dyDescent="0.2">
      <c r="A2230" s="2"/>
    </row>
    <row r="2231" spans="1:1" x14ac:dyDescent="0.2">
      <c r="A2231" s="2"/>
    </row>
    <row r="2232" spans="1:1" x14ac:dyDescent="0.2">
      <c r="A2232" s="2"/>
    </row>
    <row r="2233" spans="1:1" x14ac:dyDescent="0.2">
      <c r="A2233" s="2"/>
    </row>
    <row r="2234" spans="1:1" x14ac:dyDescent="0.2">
      <c r="A2234" s="2"/>
    </row>
    <row r="2235" spans="1:1" x14ac:dyDescent="0.2">
      <c r="A2235" s="2"/>
    </row>
    <row r="2236" spans="1:1" x14ac:dyDescent="0.2">
      <c r="A2236" s="2"/>
    </row>
    <row r="2237" spans="1:1" x14ac:dyDescent="0.2">
      <c r="A2237" s="2"/>
    </row>
    <row r="2238" spans="1:1" x14ac:dyDescent="0.2">
      <c r="A2238" s="2"/>
    </row>
    <row r="2239" spans="1:1" x14ac:dyDescent="0.2">
      <c r="A2239" s="2"/>
    </row>
    <row r="2240" spans="1:1" x14ac:dyDescent="0.2">
      <c r="A2240" s="2"/>
    </row>
    <row r="2241" spans="1:1" x14ac:dyDescent="0.2">
      <c r="A2241" s="2"/>
    </row>
    <row r="2242" spans="1:1" x14ac:dyDescent="0.2">
      <c r="A2242" s="2"/>
    </row>
    <row r="2243" spans="1:1" x14ac:dyDescent="0.2">
      <c r="A2243" s="2"/>
    </row>
    <row r="2244" spans="1:1" x14ac:dyDescent="0.2">
      <c r="A2244" s="2"/>
    </row>
    <row r="2245" spans="1:1" x14ac:dyDescent="0.2">
      <c r="A2245" s="2"/>
    </row>
    <row r="2246" spans="1:1" x14ac:dyDescent="0.2">
      <c r="A2246" s="2"/>
    </row>
    <row r="2247" spans="1:1" x14ac:dyDescent="0.2">
      <c r="A2247" s="2"/>
    </row>
    <row r="2248" spans="1:1" x14ac:dyDescent="0.2">
      <c r="A2248" s="2"/>
    </row>
    <row r="2249" spans="1:1" x14ac:dyDescent="0.2">
      <c r="A2249" s="2"/>
    </row>
    <row r="2250" spans="1:1" x14ac:dyDescent="0.2">
      <c r="A2250" s="2"/>
    </row>
    <row r="2251" spans="1:1" x14ac:dyDescent="0.2">
      <c r="A2251" s="2"/>
    </row>
    <row r="2252" spans="1:1" x14ac:dyDescent="0.2">
      <c r="A2252" s="2"/>
    </row>
    <row r="2253" spans="1:1" x14ac:dyDescent="0.2">
      <c r="A2253" s="2"/>
    </row>
    <row r="2254" spans="1:1" x14ac:dyDescent="0.2">
      <c r="A2254" s="2"/>
    </row>
    <row r="2255" spans="1:1" x14ac:dyDescent="0.2">
      <c r="A2255" s="2"/>
    </row>
    <row r="2256" spans="1:1" x14ac:dyDescent="0.2">
      <c r="A2256" s="2"/>
    </row>
    <row r="2257" spans="1:1" x14ac:dyDescent="0.2">
      <c r="A2257" s="2"/>
    </row>
    <row r="2258" spans="1:1" x14ac:dyDescent="0.2">
      <c r="A2258" s="2"/>
    </row>
    <row r="2259" spans="1:1" x14ac:dyDescent="0.2">
      <c r="A2259" s="2"/>
    </row>
    <row r="2260" spans="1:1" x14ac:dyDescent="0.2">
      <c r="A2260" s="2"/>
    </row>
    <row r="2261" spans="1:1" x14ac:dyDescent="0.2">
      <c r="A2261" s="2"/>
    </row>
    <row r="2262" spans="1:1" x14ac:dyDescent="0.2">
      <c r="A2262" s="2"/>
    </row>
    <row r="2263" spans="1:1" x14ac:dyDescent="0.2">
      <c r="A2263" s="2"/>
    </row>
    <row r="2264" spans="1:1" x14ac:dyDescent="0.2">
      <c r="A2264" s="2"/>
    </row>
    <row r="2265" spans="1:1" x14ac:dyDescent="0.2">
      <c r="A2265" s="2"/>
    </row>
    <row r="2266" spans="1:1" x14ac:dyDescent="0.2">
      <c r="A2266" s="2"/>
    </row>
    <row r="2267" spans="1:1" x14ac:dyDescent="0.2">
      <c r="A2267" s="2"/>
    </row>
    <row r="2268" spans="1:1" x14ac:dyDescent="0.2">
      <c r="A2268" s="2"/>
    </row>
    <row r="2269" spans="1:1" x14ac:dyDescent="0.2">
      <c r="A2269" s="2"/>
    </row>
    <row r="2270" spans="1:1" x14ac:dyDescent="0.2">
      <c r="A2270" s="2"/>
    </row>
    <row r="2271" spans="1:1" x14ac:dyDescent="0.2">
      <c r="A2271" s="2"/>
    </row>
    <row r="2272" spans="1:1" x14ac:dyDescent="0.2">
      <c r="A2272" s="2"/>
    </row>
    <row r="2273" spans="1:1" x14ac:dyDescent="0.2">
      <c r="A2273" s="2"/>
    </row>
    <row r="2274" spans="1:1" x14ac:dyDescent="0.2">
      <c r="A2274" s="2"/>
    </row>
    <row r="2275" spans="1:1" x14ac:dyDescent="0.2">
      <c r="A2275" s="2"/>
    </row>
    <row r="2276" spans="1:1" x14ac:dyDescent="0.2">
      <c r="A2276" s="2"/>
    </row>
    <row r="2277" spans="1:1" x14ac:dyDescent="0.2">
      <c r="A2277" s="2"/>
    </row>
    <row r="2278" spans="1:1" x14ac:dyDescent="0.2">
      <c r="A2278" s="2"/>
    </row>
    <row r="2279" spans="1:1" x14ac:dyDescent="0.2">
      <c r="A2279" s="2"/>
    </row>
    <row r="2280" spans="1:1" x14ac:dyDescent="0.2">
      <c r="A2280" s="2"/>
    </row>
    <row r="2281" spans="1:1" x14ac:dyDescent="0.2">
      <c r="A2281" s="2"/>
    </row>
    <row r="2282" spans="1:1" x14ac:dyDescent="0.2">
      <c r="A2282" s="2"/>
    </row>
    <row r="2283" spans="1:1" x14ac:dyDescent="0.2">
      <c r="A2283" s="2"/>
    </row>
    <row r="2284" spans="1:1" x14ac:dyDescent="0.2">
      <c r="A2284" s="2"/>
    </row>
    <row r="2285" spans="1:1" x14ac:dyDescent="0.2">
      <c r="A2285" s="2"/>
    </row>
    <row r="2286" spans="1:1" x14ac:dyDescent="0.2">
      <c r="A2286" s="2"/>
    </row>
    <row r="2287" spans="1:1" x14ac:dyDescent="0.2">
      <c r="A2287" s="2"/>
    </row>
    <row r="2288" spans="1:1" x14ac:dyDescent="0.2">
      <c r="A2288" s="2"/>
    </row>
    <row r="2289" spans="1:1" x14ac:dyDescent="0.2">
      <c r="A2289" s="2"/>
    </row>
    <row r="2290" spans="1:1" x14ac:dyDescent="0.2">
      <c r="A2290" s="2"/>
    </row>
    <row r="2291" spans="1:1" x14ac:dyDescent="0.2">
      <c r="A2291" s="2"/>
    </row>
    <row r="2292" spans="1:1" x14ac:dyDescent="0.2">
      <c r="A2292" s="2"/>
    </row>
    <row r="2293" spans="1:1" x14ac:dyDescent="0.2">
      <c r="A2293" s="2"/>
    </row>
    <row r="2294" spans="1:1" x14ac:dyDescent="0.2">
      <c r="A2294" s="2"/>
    </row>
    <row r="2295" spans="1:1" x14ac:dyDescent="0.2">
      <c r="A2295" s="2"/>
    </row>
    <row r="2296" spans="1:1" x14ac:dyDescent="0.2">
      <c r="A2296" s="2"/>
    </row>
    <row r="2297" spans="1:1" x14ac:dyDescent="0.2">
      <c r="A2297" s="2"/>
    </row>
    <row r="2298" spans="1:1" x14ac:dyDescent="0.2">
      <c r="A2298" s="2"/>
    </row>
    <row r="2299" spans="1:1" x14ac:dyDescent="0.2">
      <c r="A2299" s="2"/>
    </row>
    <row r="2300" spans="1:1" x14ac:dyDescent="0.2">
      <c r="A2300" s="2"/>
    </row>
    <row r="2301" spans="1:1" x14ac:dyDescent="0.2">
      <c r="A2301" s="2"/>
    </row>
    <row r="2302" spans="1:1" x14ac:dyDescent="0.2">
      <c r="A2302" s="2"/>
    </row>
    <row r="2303" spans="1:1" x14ac:dyDescent="0.2">
      <c r="A2303" s="2"/>
    </row>
    <row r="2304" spans="1:1" x14ac:dyDescent="0.2">
      <c r="A2304" s="2"/>
    </row>
    <row r="2305" spans="1:1" x14ac:dyDescent="0.2">
      <c r="A2305" s="2"/>
    </row>
    <row r="2306" spans="1:1" x14ac:dyDescent="0.2">
      <c r="A2306" s="2"/>
    </row>
    <row r="2307" spans="1:1" x14ac:dyDescent="0.2">
      <c r="A2307" s="2"/>
    </row>
    <row r="2308" spans="1:1" x14ac:dyDescent="0.2">
      <c r="A2308" s="2"/>
    </row>
    <row r="2309" spans="1:1" x14ac:dyDescent="0.2">
      <c r="A2309" s="2"/>
    </row>
    <row r="2310" spans="1:1" x14ac:dyDescent="0.2">
      <c r="A2310" s="2"/>
    </row>
    <row r="2311" spans="1:1" x14ac:dyDescent="0.2">
      <c r="A2311" s="2"/>
    </row>
    <row r="2312" spans="1:1" x14ac:dyDescent="0.2">
      <c r="A2312" s="2"/>
    </row>
    <row r="2313" spans="1:1" x14ac:dyDescent="0.2">
      <c r="A2313" s="2"/>
    </row>
    <row r="2314" spans="1:1" x14ac:dyDescent="0.2">
      <c r="A2314" s="2"/>
    </row>
    <row r="2315" spans="1:1" x14ac:dyDescent="0.2">
      <c r="A2315" s="2"/>
    </row>
    <row r="2316" spans="1:1" x14ac:dyDescent="0.2">
      <c r="A2316" s="2"/>
    </row>
    <row r="2317" spans="1:1" x14ac:dyDescent="0.2">
      <c r="A2317" s="2"/>
    </row>
    <row r="2318" spans="1:1" x14ac:dyDescent="0.2">
      <c r="A2318" s="2"/>
    </row>
    <row r="2319" spans="1:1" x14ac:dyDescent="0.2">
      <c r="A2319" s="2"/>
    </row>
    <row r="2320" spans="1:1" x14ac:dyDescent="0.2">
      <c r="A2320" s="2"/>
    </row>
    <row r="2321" spans="1:1" x14ac:dyDescent="0.2">
      <c r="A2321" s="2"/>
    </row>
    <row r="2322" spans="1:1" x14ac:dyDescent="0.2">
      <c r="A2322" s="2"/>
    </row>
    <row r="2323" spans="1:1" x14ac:dyDescent="0.2">
      <c r="A2323" s="2"/>
    </row>
    <row r="2324" spans="1:1" x14ac:dyDescent="0.2">
      <c r="A2324" s="2"/>
    </row>
    <row r="2325" spans="1:1" x14ac:dyDescent="0.2">
      <c r="A2325" s="2"/>
    </row>
    <row r="2326" spans="1:1" x14ac:dyDescent="0.2">
      <c r="A2326" s="2"/>
    </row>
    <row r="2327" spans="1:1" x14ac:dyDescent="0.2">
      <c r="A2327" s="2"/>
    </row>
    <row r="2328" spans="1:1" x14ac:dyDescent="0.2">
      <c r="A2328" s="2"/>
    </row>
    <row r="2329" spans="1:1" x14ac:dyDescent="0.2">
      <c r="A2329" s="2"/>
    </row>
    <row r="2330" spans="1:1" x14ac:dyDescent="0.2">
      <c r="A2330" s="2"/>
    </row>
    <row r="2331" spans="1:1" x14ac:dyDescent="0.2">
      <c r="A2331" s="2"/>
    </row>
    <row r="2332" spans="1:1" x14ac:dyDescent="0.2">
      <c r="A2332" s="2"/>
    </row>
    <row r="2333" spans="1:1" x14ac:dyDescent="0.2">
      <c r="A2333" s="2"/>
    </row>
    <row r="2334" spans="1:1" x14ac:dyDescent="0.2">
      <c r="A2334" s="2"/>
    </row>
    <row r="2335" spans="1:1" x14ac:dyDescent="0.2">
      <c r="A2335" s="2"/>
    </row>
    <row r="2336" spans="1:1" x14ac:dyDescent="0.2">
      <c r="A2336" s="2"/>
    </row>
    <row r="2337" spans="1:1" x14ac:dyDescent="0.2">
      <c r="A2337" s="2"/>
    </row>
    <row r="2338" spans="1:1" x14ac:dyDescent="0.2">
      <c r="A2338" s="2"/>
    </row>
    <row r="2339" spans="1:1" x14ac:dyDescent="0.2">
      <c r="A2339" s="2"/>
    </row>
    <row r="2340" spans="1:1" x14ac:dyDescent="0.2">
      <c r="A2340" s="2"/>
    </row>
    <row r="2341" spans="1:1" x14ac:dyDescent="0.2">
      <c r="A2341" s="2"/>
    </row>
    <row r="2342" spans="1:1" x14ac:dyDescent="0.2">
      <c r="A2342" s="2"/>
    </row>
    <row r="2343" spans="1:1" x14ac:dyDescent="0.2">
      <c r="A2343" s="2"/>
    </row>
    <row r="2344" spans="1:1" x14ac:dyDescent="0.2">
      <c r="A2344" s="2"/>
    </row>
    <row r="2345" spans="1:1" x14ac:dyDescent="0.2">
      <c r="A2345" s="2"/>
    </row>
    <row r="2346" spans="1:1" x14ac:dyDescent="0.2">
      <c r="A2346" s="2"/>
    </row>
    <row r="2347" spans="1:1" x14ac:dyDescent="0.2">
      <c r="A2347" s="2"/>
    </row>
    <row r="2348" spans="1:1" x14ac:dyDescent="0.2">
      <c r="A2348" s="2"/>
    </row>
    <row r="2349" spans="1:1" x14ac:dyDescent="0.2">
      <c r="A2349" s="2"/>
    </row>
    <row r="2350" spans="1:1" x14ac:dyDescent="0.2">
      <c r="A2350" s="2"/>
    </row>
    <row r="2351" spans="1:1" x14ac:dyDescent="0.2">
      <c r="A2351" s="2"/>
    </row>
    <row r="2352" spans="1:1" x14ac:dyDescent="0.2">
      <c r="A2352" s="2"/>
    </row>
    <row r="2353" spans="1:1" x14ac:dyDescent="0.2">
      <c r="A2353" s="2"/>
    </row>
    <row r="2354" spans="1:1" x14ac:dyDescent="0.2">
      <c r="A2354" s="2"/>
    </row>
    <row r="2355" spans="1:1" x14ac:dyDescent="0.2">
      <c r="A2355" s="2"/>
    </row>
    <row r="2356" spans="1:1" x14ac:dyDescent="0.2">
      <c r="A2356" s="2"/>
    </row>
    <row r="2357" spans="1:1" x14ac:dyDescent="0.2">
      <c r="A2357" s="2"/>
    </row>
    <row r="2358" spans="1:1" x14ac:dyDescent="0.2">
      <c r="A2358" s="2"/>
    </row>
    <row r="2359" spans="1:1" x14ac:dyDescent="0.2">
      <c r="A2359" s="2"/>
    </row>
    <row r="2360" spans="1:1" x14ac:dyDescent="0.2">
      <c r="A2360" s="2"/>
    </row>
    <row r="2361" spans="1:1" x14ac:dyDescent="0.2">
      <c r="A2361" s="2"/>
    </row>
    <row r="2362" spans="1:1" x14ac:dyDescent="0.2">
      <c r="A2362" s="2"/>
    </row>
    <row r="2363" spans="1:1" x14ac:dyDescent="0.2">
      <c r="A2363" s="2"/>
    </row>
    <row r="2364" spans="1:1" x14ac:dyDescent="0.2">
      <c r="A2364" s="2"/>
    </row>
    <row r="2365" spans="1:1" x14ac:dyDescent="0.2">
      <c r="A2365" s="2"/>
    </row>
    <row r="2366" spans="1:1" x14ac:dyDescent="0.2">
      <c r="A2366" s="2"/>
    </row>
    <row r="2367" spans="1:1" x14ac:dyDescent="0.2">
      <c r="A2367" s="2"/>
    </row>
    <row r="2368" spans="1:1" x14ac:dyDescent="0.2">
      <c r="A2368" s="2"/>
    </row>
    <row r="2369" spans="1:1" x14ac:dyDescent="0.2">
      <c r="A2369" s="2"/>
    </row>
    <row r="2370" spans="1:1" x14ac:dyDescent="0.2">
      <c r="A2370" s="2"/>
    </row>
    <row r="2371" spans="1:1" x14ac:dyDescent="0.2">
      <c r="A2371" s="2"/>
    </row>
    <row r="2372" spans="1:1" x14ac:dyDescent="0.2">
      <c r="A2372" s="2"/>
    </row>
    <row r="2373" spans="1:1" x14ac:dyDescent="0.2">
      <c r="A2373" s="2"/>
    </row>
    <row r="2374" spans="1:1" x14ac:dyDescent="0.2">
      <c r="A2374" s="2"/>
    </row>
    <row r="2375" spans="1:1" x14ac:dyDescent="0.2">
      <c r="A2375" s="2"/>
    </row>
    <row r="2376" spans="1:1" x14ac:dyDescent="0.2">
      <c r="A2376" s="2"/>
    </row>
    <row r="2377" spans="1:1" x14ac:dyDescent="0.2">
      <c r="A2377" s="2"/>
    </row>
    <row r="2378" spans="1:1" x14ac:dyDescent="0.2">
      <c r="A2378" s="2"/>
    </row>
    <row r="2379" spans="1:1" x14ac:dyDescent="0.2">
      <c r="A2379" s="2"/>
    </row>
    <row r="2380" spans="1:1" x14ac:dyDescent="0.2">
      <c r="A2380" s="2"/>
    </row>
    <row r="2381" spans="1:1" x14ac:dyDescent="0.2">
      <c r="A2381" s="2"/>
    </row>
    <row r="2382" spans="1:1" x14ac:dyDescent="0.2">
      <c r="A2382" s="2"/>
    </row>
    <row r="2383" spans="1:1" x14ac:dyDescent="0.2">
      <c r="A2383" s="2"/>
    </row>
    <row r="2384" spans="1:1" x14ac:dyDescent="0.2">
      <c r="A2384" s="2"/>
    </row>
    <row r="2385" spans="1:1" x14ac:dyDescent="0.2">
      <c r="A2385" s="2"/>
    </row>
    <row r="2386" spans="1:1" x14ac:dyDescent="0.2">
      <c r="A2386" s="2"/>
    </row>
    <row r="2387" spans="1:1" x14ac:dyDescent="0.2">
      <c r="A2387" s="2"/>
    </row>
    <row r="2388" spans="1:1" x14ac:dyDescent="0.2">
      <c r="A2388" s="2"/>
    </row>
    <row r="2389" spans="1:1" x14ac:dyDescent="0.2">
      <c r="A2389" s="2"/>
    </row>
    <row r="2390" spans="1:1" x14ac:dyDescent="0.2">
      <c r="A2390" s="2"/>
    </row>
    <row r="2391" spans="1:1" x14ac:dyDescent="0.2">
      <c r="A2391" s="2"/>
    </row>
    <row r="2392" spans="1:1" x14ac:dyDescent="0.2">
      <c r="A2392" s="2"/>
    </row>
    <row r="2393" spans="1:1" x14ac:dyDescent="0.2">
      <c r="A2393" s="2"/>
    </row>
    <row r="2394" spans="1:1" x14ac:dyDescent="0.2">
      <c r="A2394" s="2"/>
    </row>
    <row r="2395" spans="1:1" x14ac:dyDescent="0.2">
      <c r="A2395" s="2"/>
    </row>
    <row r="2396" spans="1:1" x14ac:dyDescent="0.2">
      <c r="A2396" s="2"/>
    </row>
    <row r="2397" spans="1:1" x14ac:dyDescent="0.2">
      <c r="A2397" s="2"/>
    </row>
    <row r="2398" spans="1:1" x14ac:dyDescent="0.2">
      <c r="A2398" s="2"/>
    </row>
    <row r="2399" spans="1:1" x14ac:dyDescent="0.2">
      <c r="A2399" s="2"/>
    </row>
    <row r="2400" spans="1:1" x14ac:dyDescent="0.2">
      <c r="A2400" s="2"/>
    </row>
    <row r="2401" spans="1:1" x14ac:dyDescent="0.2">
      <c r="A2401" s="2"/>
    </row>
    <row r="2402" spans="1:1" x14ac:dyDescent="0.2">
      <c r="A2402" s="2"/>
    </row>
    <row r="2403" spans="1:1" x14ac:dyDescent="0.2">
      <c r="A2403" s="2"/>
    </row>
    <row r="2404" spans="1:1" x14ac:dyDescent="0.2">
      <c r="A2404" s="2"/>
    </row>
    <row r="2405" spans="1:1" x14ac:dyDescent="0.2">
      <c r="A2405" s="2"/>
    </row>
    <row r="2406" spans="1:1" x14ac:dyDescent="0.2">
      <c r="A2406" s="2"/>
    </row>
    <row r="2407" spans="1:1" x14ac:dyDescent="0.2">
      <c r="A2407" s="2"/>
    </row>
    <row r="2408" spans="1:1" x14ac:dyDescent="0.2">
      <c r="A2408" s="2"/>
    </row>
    <row r="2409" spans="1:1" x14ac:dyDescent="0.2">
      <c r="A2409" s="2"/>
    </row>
    <row r="2410" spans="1:1" x14ac:dyDescent="0.2">
      <c r="A2410" s="2"/>
    </row>
    <row r="2411" spans="1:1" x14ac:dyDescent="0.2">
      <c r="A2411" s="2"/>
    </row>
    <row r="2412" spans="1:1" x14ac:dyDescent="0.2">
      <c r="A2412" s="2"/>
    </row>
    <row r="2413" spans="1:1" x14ac:dyDescent="0.2">
      <c r="A2413" s="2"/>
    </row>
    <row r="2414" spans="1:1" x14ac:dyDescent="0.2">
      <c r="A2414" s="2"/>
    </row>
    <row r="2415" spans="1:1" x14ac:dyDescent="0.2">
      <c r="A2415" s="2"/>
    </row>
    <row r="2416" spans="1:1" x14ac:dyDescent="0.2">
      <c r="A2416" s="2"/>
    </row>
    <row r="2417" spans="1:1" x14ac:dyDescent="0.2">
      <c r="A2417" s="2"/>
    </row>
    <row r="2418" spans="1:1" x14ac:dyDescent="0.2">
      <c r="A2418" s="2"/>
    </row>
    <row r="2419" spans="1:1" x14ac:dyDescent="0.2">
      <c r="A2419" s="2"/>
    </row>
    <row r="2420" spans="1:1" x14ac:dyDescent="0.2">
      <c r="A2420" s="2"/>
    </row>
    <row r="2421" spans="1:1" x14ac:dyDescent="0.2">
      <c r="A2421" s="2"/>
    </row>
    <row r="2422" spans="1:1" x14ac:dyDescent="0.2">
      <c r="A2422" s="2"/>
    </row>
    <row r="2423" spans="1:1" x14ac:dyDescent="0.2">
      <c r="A2423" s="2"/>
    </row>
    <row r="2424" spans="1:1" x14ac:dyDescent="0.2">
      <c r="A2424" s="2"/>
    </row>
    <row r="2425" spans="1:1" x14ac:dyDescent="0.2">
      <c r="A2425" s="2"/>
    </row>
    <row r="2426" spans="1:1" x14ac:dyDescent="0.2">
      <c r="A2426" s="2"/>
    </row>
    <row r="2427" spans="1:1" x14ac:dyDescent="0.2">
      <c r="A2427" s="2"/>
    </row>
    <row r="2428" spans="1:1" x14ac:dyDescent="0.2">
      <c r="A2428" s="2"/>
    </row>
    <row r="2429" spans="1:1" x14ac:dyDescent="0.2">
      <c r="A2429" s="2"/>
    </row>
    <row r="2430" spans="1:1" x14ac:dyDescent="0.2">
      <c r="A2430" s="2"/>
    </row>
    <row r="2431" spans="1:1" x14ac:dyDescent="0.2">
      <c r="A2431" s="2"/>
    </row>
    <row r="2432" spans="1:1" x14ac:dyDescent="0.2">
      <c r="A2432" s="2"/>
    </row>
    <row r="2433" spans="1:1" x14ac:dyDescent="0.2">
      <c r="A2433" s="2"/>
    </row>
    <row r="2434" spans="1:1" x14ac:dyDescent="0.2">
      <c r="A2434" s="2"/>
    </row>
    <row r="2435" spans="1:1" x14ac:dyDescent="0.2">
      <c r="A2435" s="2"/>
    </row>
    <row r="2436" spans="1:1" x14ac:dyDescent="0.2">
      <c r="A2436" s="2"/>
    </row>
    <row r="2437" spans="1:1" x14ac:dyDescent="0.2">
      <c r="A2437" s="2"/>
    </row>
    <row r="2438" spans="1:1" x14ac:dyDescent="0.2">
      <c r="A2438" s="2"/>
    </row>
    <row r="2439" spans="1:1" x14ac:dyDescent="0.2">
      <c r="A2439" s="2"/>
    </row>
    <row r="2440" spans="1:1" x14ac:dyDescent="0.2">
      <c r="A2440" s="2"/>
    </row>
    <row r="2441" spans="1:1" x14ac:dyDescent="0.2">
      <c r="A2441" s="2"/>
    </row>
    <row r="2442" spans="1:1" x14ac:dyDescent="0.2">
      <c r="A2442" s="2"/>
    </row>
    <row r="2443" spans="1:1" x14ac:dyDescent="0.2">
      <c r="A2443" s="2"/>
    </row>
    <row r="2444" spans="1:1" x14ac:dyDescent="0.2">
      <c r="A2444" s="2"/>
    </row>
    <row r="2445" spans="1:1" x14ac:dyDescent="0.2">
      <c r="A2445" s="2"/>
    </row>
    <row r="2446" spans="1:1" x14ac:dyDescent="0.2">
      <c r="A2446" s="2"/>
    </row>
    <row r="2447" spans="1:1" x14ac:dyDescent="0.2">
      <c r="A2447" s="2"/>
    </row>
    <row r="2448" spans="1:1" x14ac:dyDescent="0.2">
      <c r="A2448" s="2"/>
    </row>
    <row r="2449" spans="1:1" x14ac:dyDescent="0.2">
      <c r="A2449" s="2"/>
    </row>
    <row r="2450" spans="1:1" x14ac:dyDescent="0.2">
      <c r="A2450" s="2"/>
    </row>
    <row r="2451" spans="1:1" x14ac:dyDescent="0.2">
      <c r="A2451" s="2"/>
    </row>
    <row r="2452" spans="1:1" x14ac:dyDescent="0.2">
      <c r="A2452" s="2"/>
    </row>
    <row r="2453" spans="1:1" x14ac:dyDescent="0.2">
      <c r="A2453" s="2"/>
    </row>
    <row r="2454" spans="1:1" x14ac:dyDescent="0.2">
      <c r="A2454" s="2"/>
    </row>
    <row r="2455" spans="1:1" x14ac:dyDescent="0.2">
      <c r="A2455" s="2"/>
    </row>
    <row r="2456" spans="1:1" x14ac:dyDescent="0.2">
      <c r="A2456" s="2"/>
    </row>
    <row r="2457" spans="1:1" x14ac:dyDescent="0.2">
      <c r="A2457" s="2"/>
    </row>
    <row r="2458" spans="1:1" x14ac:dyDescent="0.2">
      <c r="A2458" s="2"/>
    </row>
    <row r="2459" spans="1:1" x14ac:dyDescent="0.2">
      <c r="A2459" s="2"/>
    </row>
    <row r="2460" spans="1:1" x14ac:dyDescent="0.2">
      <c r="A2460" s="2"/>
    </row>
    <row r="2461" spans="1:1" x14ac:dyDescent="0.2">
      <c r="A2461" s="2"/>
    </row>
    <row r="2462" spans="1:1" x14ac:dyDescent="0.2">
      <c r="A2462" s="2"/>
    </row>
    <row r="2463" spans="1:1" x14ac:dyDescent="0.2">
      <c r="A2463" s="2"/>
    </row>
    <row r="2464" spans="1:1" x14ac:dyDescent="0.2">
      <c r="A2464" s="2"/>
    </row>
    <row r="2465" spans="1:1" x14ac:dyDescent="0.2">
      <c r="A2465" s="2"/>
    </row>
    <row r="2466" spans="1:1" x14ac:dyDescent="0.2">
      <c r="A2466" s="2"/>
    </row>
    <row r="2467" spans="1:1" x14ac:dyDescent="0.2">
      <c r="A2467" s="2"/>
    </row>
    <row r="2468" spans="1:1" x14ac:dyDescent="0.2">
      <c r="A2468" s="2"/>
    </row>
    <row r="2469" spans="1:1" x14ac:dyDescent="0.2">
      <c r="A2469" s="2"/>
    </row>
    <row r="2470" spans="1:1" x14ac:dyDescent="0.2">
      <c r="A2470" s="2"/>
    </row>
    <row r="2471" spans="1:1" x14ac:dyDescent="0.2">
      <c r="A2471" s="2"/>
    </row>
    <row r="2472" spans="1:1" x14ac:dyDescent="0.2">
      <c r="A2472" s="2"/>
    </row>
    <row r="2473" spans="1:1" x14ac:dyDescent="0.2">
      <c r="A2473" s="2"/>
    </row>
    <row r="2474" spans="1:1" x14ac:dyDescent="0.2">
      <c r="A2474" s="2"/>
    </row>
    <row r="2475" spans="1:1" x14ac:dyDescent="0.2">
      <c r="A2475" s="2"/>
    </row>
    <row r="2476" spans="1:1" x14ac:dyDescent="0.2">
      <c r="A2476" s="2"/>
    </row>
    <row r="2477" spans="1:1" x14ac:dyDescent="0.2">
      <c r="A2477" s="2"/>
    </row>
    <row r="2478" spans="1:1" x14ac:dyDescent="0.2">
      <c r="A2478" s="2"/>
    </row>
    <row r="2479" spans="1:1" x14ac:dyDescent="0.2">
      <c r="A2479" s="2"/>
    </row>
    <row r="2480" spans="1:1" x14ac:dyDescent="0.2">
      <c r="A2480" s="2"/>
    </row>
    <row r="2481" spans="1:1" x14ac:dyDescent="0.2">
      <c r="A2481" s="2"/>
    </row>
    <row r="2482" spans="1:1" x14ac:dyDescent="0.2">
      <c r="A2482" s="2"/>
    </row>
    <row r="2483" spans="1:1" x14ac:dyDescent="0.2">
      <c r="A2483" s="2"/>
    </row>
    <row r="2484" spans="1:1" x14ac:dyDescent="0.2">
      <c r="A2484" s="2"/>
    </row>
    <row r="2485" spans="1:1" x14ac:dyDescent="0.2">
      <c r="A2485" s="2"/>
    </row>
    <row r="2486" spans="1:1" x14ac:dyDescent="0.2">
      <c r="A2486" s="2"/>
    </row>
    <row r="2487" spans="1:1" x14ac:dyDescent="0.2">
      <c r="A2487" s="2"/>
    </row>
    <row r="2488" spans="1:1" x14ac:dyDescent="0.2">
      <c r="A2488" s="2"/>
    </row>
    <row r="2489" spans="1:1" x14ac:dyDescent="0.2">
      <c r="A2489" s="2"/>
    </row>
    <row r="2490" spans="1:1" x14ac:dyDescent="0.2">
      <c r="A2490" s="2"/>
    </row>
    <row r="2491" spans="1:1" x14ac:dyDescent="0.2">
      <c r="A2491" s="2"/>
    </row>
    <row r="2492" spans="1:1" x14ac:dyDescent="0.2">
      <c r="A2492" s="2"/>
    </row>
    <row r="2493" spans="1:1" x14ac:dyDescent="0.2">
      <c r="A2493" s="2"/>
    </row>
    <row r="2494" spans="1:1" x14ac:dyDescent="0.2">
      <c r="A2494" s="2"/>
    </row>
    <row r="2495" spans="1:1" x14ac:dyDescent="0.2">
      <c r="A2495" s="2"/>
    </row>
    <row r="2496" spans="1:1" x14ac:dyDescent="0.2">
      <c r="A2496" s="2"/>
    </row>
    <row r="2497" spans="1:1" x14ac:dyDescent="0.2">
      <c r="A2497" s="2"/>
    </row>
    <row r="2498" spans="1:1" x14ac:dyDescent="0.2">
      <c r="A2498" s="2"/>
    </row>
    <row r="2499" spans="1:1" x14ac:dyDescent="0.2">
      <c r="A2499" s="2"/>
    </row>
    <row r="2500" spans="1:1" x14ac:dyDescent="0.2">
      <c r="A2500" s="2"/>
    </row>
    <row r="2501" spans="1:1" x14ac:dyDescent="0.2">
      <c r="A2501" s="2"/>
    </row>
    <row r="2502" spans="1:1" x14ac:dyDescent="0.2">
      <c r="A2502" s="2"/>
    </row>
    <row r="2503" spans="1:1" x14ac:dyDescent="0.2">
      <c r="A2503" s="2"/>
    </row>
    <row r="2504" spans="1:1" x14ac:dyDescent="0.2">
      <c r="A2504" s="2"/>
    </row>
    <row r="2505" spans="1:1" x14ac:dyDescent="0.2">
      <c r="A2505" s="2"/>
    </row>
    <row r="2506" spans="1:1" x14ac:dyDescent="0.2">
      <c r="A2506" s="2"/>
    </row>
    <row r="2507" spans="1:1" x14ac:dyDescent="0.2">
      <c r="A2507" s="2"/>
    </row>
    <row r="2508" spans="1:1" x14ac:dyDescent="0.2">
      <c r="A2508" s="2"/>
    </row>
    <row r="2509" spans="1:1" x14ac:dyDescent="0.2">
      <c r="A2509" s="2"/>
    </row>
    <row r="2510" spans="1:1" x14ac:dyDescent="0.2">
      <c r="A2510" s="2"/>
    </row>
    <row r="2511" spans="1:1" x14ac:dyDescent="0.2">
      <c r="A2511" s="2"/>
    </row>
    <row r="2512" spans="1:1" x14ac:dyDescent="0.2">
      <c r="A2512" s="2"/>
    </row>
    <row r="2513" spans="1:1" x14ac:dyDescent="0.2">
      <c r="A2513" s="2"/>
    </row>
    <row r="2514" spans="1:1" x14ac:dyDescent="0.2">
      <c r="A2514" s="2"/>
    </row>
    <row r="2515" spans="1:1" x14ac:dyDescent="0.2">
      <c r="A2515" s="2"/>
    </row>
    <row r="2516" spans="1:1" x14ac:dyDescent="0.2">
      <c r="A2516" s="2"/>
    </row>
    <row r="2517" spans="1:1" x14ac:dyDescent="0.2">
      <c r="A2517" s="2"/>
    </row>
    <row r="2518" spans="1:1" x14ac:dyDescent="0.2">
      <c r="A2518" s="2"/>
    </row>
    <row r="2519" spans="1:1" x14ac:dyDescent="0.2">
      <c r="A2519" s="2"/>
    </row>
    <row r="2520" spans="1:1" x14ac:dyDescent="0.2">
      <c r="A2520" s="2"/>
    </row>
    <row r="2521" spans="1:1" x14ac:dyDescent="0.2">
      <c r="A2521" s="2"/>
    </row>
    <row r="2522" spans="1:1" x14ac:dyDescent="0.2">
      <c r="A2522" s="2"/>
    </row>
    <row r="2523" spans="1:1" x14ac:dyDescent="0.2">
      <c r="A2523" s="2"/>
    </row>
    <row r="2524" spans="1:1" x14ac:dyDescent="0.2">
      <c r="A2524" s="2"/>
    </row>
    <row r="2525" spans="1:1" x14ac:dyDescent="0.2">
      <c r="A2525" s="2"/>
    </row>
    <row r="2526" spans="1:1" x14ac:dyDescent="0.2">
      <c r="A2526" s="2"/>
    </row>
    <row r="2527" spans="1:1" x14ac:dyDescent="0.2">
      <c r="A2527" s="2"/>
    </row>
    <row r="2528" spans="1:1" x14ac:dyDescent="0.2">
      <c r="A2528" s="2"/>
    </row>
    <row r="2529" spans="1:1" x14ac:dyDescent="0.2">
      <c r="A2529" s="2"/>
    </row>
    <row r="2530" spans="1:1" x14ac:dyDescent="0.2">
      <c r="A2530" s="2"/>
    </row>
    <row r="2531" spans="1:1" x14ac:dyDescent="0.2">
      <c r="A2531" s="2"/>
    </row>
    <row r="2532" spans="1:1" x14ac:dyDescent="0.2">
      <c r="A2532" s="2"/>
    </row>
    <row r="2533" spans="1:1" x14ac:dyDescent="0.2">
      <c r="A2533" s="2"/>
    </row>
    <row r="2534" spans="1:1" x14ac:dyDescent="0.2">
      <c r="A2534" s="2"/>
    </row>
    <row r="2535" spans="1:1" x14ac:dyDescent="0.2">
      <c r="A2535" s="2"/>
    </row>
    <row r="2536" spans="1:1" x14ac:dyDescent="0.2">
      <c r="A2536" s="2"/>
    </row>
    <row r="2537" spans="1:1" x14ac:dyDescent="0.2">
      <c r="A2537" s="2"/>
    </row>
    <row r="2538" spans="1:1" x14ac:dyDescent="0.2">
      <c r="A2538" s="2"/>
    </row>
    <row r="2539" spans="1:1" x14ac:dyDescent="0.2">
      <c r="A2539" s="2"/>
    </row>
    <row r="2540" spans="1:1" x14ac:dyDescent="0.2">
      <c r="A2540" s="2"/>
    </row>
    <row r="2541" spans="1:1" x14ac:dyDescent="0.2">
      <c r="A2541" s="2"/>
    </row>
    <row r="2542" spans="1:1" x14ac:dyDescent="0.2">
      <c r="A2542" s="2"/>
    </row>
    <row r="2543" spans="1:1" x14ac:dyDescent="0.2">
      <c r="A2543" s="2"/>
    </row>
    <row r="2544" spans="1:1" x14ac:dyDescent="0.2">
      <c r="A2544" s="2"/>
    </row>
    <row r="2545" spans="1:1" x14ac:dyDescent="0.2">
      <c r="A2545" s="2"/>
    </row>
    <row r="2546" spans="1:1" x14ac:dyDescent="0.2">
      <c r="A2546" s="2"/>
    </row>
    <row r="2547" spans="1:1" x14ac:dyDescent="0.2">
      <c r="A2547" s="2"/>
    </row>
    <row r="2548" spans="1:1" x14ac:dyDescent="0.2">
      <c r="A2548" s="2"/>
    </row>
    <row r="2549" spans="1:1" x14ac:dyDescent="0.2">
      <c r="A2549" s="2"/>
    </row>
    <row r="2550" spans="1:1" x14ac:dyDescent="0.2">
      <c r="A2550" s="2"/>
    </row>
    <row r="2551" spans="1:1" x14ac:dyDescent="0.2">
      <c r="A2551" s="2"/>
    </row>
    <row r="2552" spans="1:1" x14ac:dyDescent="0.2">
      <c r="A2552" s="2"/>
    </row>
    <row r="2553" spans="1:1" x14ac:dyDescent="0.2">
      <c r="A2553" s="2"/>
    </row>
    <row r="2554" spans="1:1" x14ac:dyDescent="0.2">
      <c r="A2554" s="2"/>
    </row>
    <row r="2555" spans="1:1" x14ac:dyDescent="0.2">
      <c r="A2555" s="2"/>
    </row>
    <row r="2556" spans="1:1" x14ac:dyDescent="0.2">
      <c r="A2556" s="2"/>
    </row>
    <row r="2557" spans="1:1" x14ac:dyDescent="0.2">
      <c r="A2557" s="2"/>
    </row>
    <row r="2558" spans="1:1" x14ac:dyDescent="0.2">
      <c r="A2558" s="2"/>
    </row>
    <row r="2559" spans="1:1" x14ac:dyDescent="0.2">
      <c r="A2559" s="2"/>
    </row>
    <row r="2560" spans="1:1" x14ac:dyDescent="0.2">
      <c r="A2560" s="2"/>
    </row>
    <row r="2561" spans="1:1" x14ac:dyDescent="0.2">
      <c r="A2561" s="2"/>
    </row>
    <row r="2562" spans="1:1" x14ac:dyDescent="0.2">
      <c r="A2562" s="2"/>
    </row>
    <row r="2563" spans="1:1" x14ac:dyDescent="0.2">
      <c r="A2563" s="2"/>
    </row>
    <row r="2564" spans="1:1" x14ac:dyDescent="0.2">
      <c r="A2564" s="2"/>
    </row>
    <row r="2565" spans="1:1" x14ac:dyDescent="0.2">
      <c r="A2565" s="2"/>
    </row>
    <row r="2566" spans="1:1" x14ac:dyDescent="0.2">
      <c r="A2566" s="2"/>
    </row>
    <row r="2567" spans="1:1" x14ac:dyDescent="0.2">
      <c r="A2567" s="2"/>
    </row>
    <row r="2568" spans="1:1" x14ac:dyDescent="0.2">
      <c r="A2568" s="2"/>
    </row>
    <row r="2569" spans="1:1" x14ac:dyDescent="0.2">
      <c r="A2569" s="2"/>
    </row>
    <row r="2570" spans="1:1" x14ac:dyDescent="0.2">
      <c r="A2570" s="2"/>
    </row>
    <row r="2571" spans="1:1" x14ac:dyDescent="0.2">
      <c r="A2571" s="2"/>
    </row>
    <row r="2572" spans="1:1" x14ac:dyDescent="0.2">
      <c r="A2572" s="2"/>
    </row>
    <row r="2573" spans="1:1" x14ac:dyDescent="0.2">
      <c r="A2573" s="2"/>
    </row>
    <row r="2574" spans="1:1" x14ac:dyDescent="0.2">
      <c r="A2574" s="2"/>
    </row>
    <row r="2575" spans="1:1" x14ac:dyDescent="0.2">
      <c r="A2575" s="2"/>
    </row>
    <row r="2576" spans="1:1" x14ac:dyDescent="0.2">
      <c r="A2576" s="2"/>
    </row>
    <row r="2577" spans="1:1" x14ac:dyDescent="0.2">
      <c r="A2577" s="2"/>
    </row>
    <row r="2578" spans="1:1" x14ac:dyDescent="0.2">
      <c r="A2578" s="2"/>
    </row>
    <row r="2579" spans="1:1" x14ac:dyDescent="0.2">
      <c r="A2579" s="2"/>
    </row>
    <row r="2580" spans="1:1" x14ac:dyDescent="0.2">
      <c r="A2580" s="2"/>
    </row>
    <row r="2581" spans="1:1" x14ac:dyDescent="0.2">
      <c r="A2581" s="2"/>
    </row>
    <row r="2582" spans="1:1" x14ac:dyDescent="0.2">
      <c r="A2582" s="2"/>
    </row>
    <row r="2583" spans="1:1" x14ac:dyDescent="0.2">
      <c r="A2583" s="2"/>
    </row>
    <row r="2584" spans="1:1" x14ac:dyDescent="0.2">
      <c r="A2584" s="2"/>
    </row>
    <row r="2585" spans="1:1" x14ac:dyDescent="0.2">
      <c r="A2585" s="2"/>
    </row>
    <row r="2586" spans="1:1" x14ac:dyDescent="0.2">
      <c r="A2586" s="2"/>
    </row>
    <row r="2587" spans="1:1" x14ac:dyDescent="0.2">
      <c r="A2587" s="2"/>
    </row>
    <row r="2588" spans="1:1" x14ac:dyDescent="0.2">
      <c r="A2588" s="2"/>
    </row>
    <row r="2589" spans="1:1" x14ac:dyDescent="0.2">
      <c r="A2589" s="2"/>
    </row>
    <row r="2590" spans="1:1" x14ac:dyDescent="0.2">
      <c r="A2590" s="2"/>
    </row>
    <row r="2591" spans="1:1" x14ac:dyDescent="0.2">
      <c r="A2591" s="2"/>
    </row>
    <row r="2592" spans="1:1" x14ac:dyDescent="0.2">
      <c r="A2592" s="2"/>
    </row>
    <row r="2593" spans="1:1" x14ac:dyDescent="0.2">
      <c r="A2593" s="2"/>
    </row>
    <row r="2594" spans="1:1" x14ac:dyDescent="0.2">
      <c r="A2594" s="2"/>
    </row>
    <row r="2595" spans="1:1" x14ac:dyDescent="0.2">
      <c r="A2595" s="2"/>
    </row>
    <row r="2596" spans="1:1" x14ac:dyDescent="0.2">
      <c r="A2596" s="2"/>
    </row>
    <row r="2597" spans="1:1" x14ac:dyDescent="0.2">
      <c r="A2597" s="2"/>
    </row>
    <row r="2598" spans="1:1" x14ac:dyDescent="0.2">
      <c r="A2598" s="2"/>
    </row>
    <row r="2599" spans="1:1" x14ac:dyDescent="0.2">
      <c r="A2599" s="2"/>
    </row>
    <row r="2600" spans="1:1" x14ac:dyDescent="0.2">
      <c r="A2600" s="2"/>
    </row>
    <row r="2601" spans="1:1" x14ac:dyDescent="0.2">
      <c r="A2601" s="2"/>
    </row>
    <row r="2602" spans="1:1" x14ac:dyDescent="0.2">
      <c r="A2602" s="2"/>
    </row>
    <row r="2603" spans="1:1" x14ac:dyDescent="0.2">
      <c r="A2603" s="2"/>
    </row>
    <row r="2604" spans="1:1" x14ac:dyDescent="0.2">
      <c r="A2604" s="2"/>
    </row>
    <row r="2605" spans="1:1" x14ac:dyDescent="0.2">
      <c r="A2605" s="2"/>
    </row>
    <row r="2606" spans="1:1" x14ac:dyDescent="0.2">
      <c r="A2606" s="2"/>
    </row>
    <row r="2607" spans="1:1" x14ac:dyDescent="0.2">
      <c r="A2607" s="2"/>
    </row>
    <row r="2608" spans="1:1" x14ac:dyDescent="0.2">
      <c r="A2608" s="2"/>
    </row>
    <row r="2609" spans="1:1" x14ac:dyDescent="0.2">
      <c r="A2609" s="2"/>
    </row>
    <row r="2610" spans="1:1" x14ac:dyDescent="0.2">
      <c r="A2610" s="2"/>
    </row>
    <row r="2611" spans="1:1" x14ac:dyDescent="0.2">
      <c r="A2611" s="2"/>
    </row>
    <row r="2612" spans="1:1" x14ac:dyDescent="0.2">
      <c r="A2612" s="2"/>
    </row>
    <row r="2613" spans="1:1" x14ac:dyDescent="0.2">
      <c r="A2613" s="2"/>
    </row>
    <row r="2614" spans="1:1" x14ac:dyDescent="0.2">
      <c r="A2614" s="2"/>
    </row>
    <row r="2615" spans="1:1" x14ac:dyDescent="0.2">
      <c r="A2615" s="2"/>
    </row>
    <row r="2616" spans="1:1" x14ac:dyDescent="0.2">
      <c r="A2616" s="2"/>
    </row>
    <row r="2617" spans="1:1" x14ac:dyDescent="0.2">
      <c r="A2617" s="2"/>
    </row>
    <row r="2618" spans="1:1" x14ac:dyDescent="0.2">
      <c r="A2618" s="2"/>
    </row>
    <row r="2619" spans="1:1" x14ac:dyDescent="0.2">
      <c r="A2619" s="2"/>
    </row>
    <row r="2620" spans="1:1" x14ac:dyDescent="0.2">
      <c r="A2620" s="2"/>
    </row>
    <row r="2621" spans="1:1" x14ac:dyDescent="0.2">
      <c r="A2621" s="2"/>
    </row>
    <row r="2622" spans="1:1" x14ac:dyDescent="0.2">
      <c r="A2622" s="2"/>
    </row>
    <row r="2623" spans="1:1" x14ac:dyDescent="0.2">
      <c r="A2623" s="2"/>
    </row>
    <row r="2624" spans="1:1" x14ac:dyDescent="0.2">
      <c r="A2624" s="2"/>
    </row>
    <row r="2625" spans="1:1" x14ac:dyDescent="0.2">
      <c r="A2625" s="2"/>
    </row>
    <row r="2626" spans="1:1" x14ac:dyDescent="0.2">
      <c r="A2626" s="2"/>
    </row>
    <row r="2627" spans="1:1" x14ac:dyDescent="0.2">
      <c r="A2627" s="2"/>
    </row>
    <row r="2628" spans="1:1" x14ac:dyDescent="0.2">
      <c r="A2628" s="2"/>
    </row>
    <row r="2629" spans="1:1" x14ac:dyDescent="0.2">
      <c r="A2629" s="2"/>
    </row>
    <row r="2630" spans="1:1" x14ac:dyDescent="0.2">
      <c r="A2630" s="2"/>
    </row>
    <row r="2631" spans="1:1" x14ac:dyDescent="0.2">
      <c r="A2631" s="2"/>
    </row>
    <row r="2632" spans="1:1" x14ac:dyDescent="0.2">
      <c r="A2632" s="2"/>
    </row>
    <row r="2633" spans="1:1" x14ac:dyDescent="0.2">
      <c r="A2633" s="2"/>
    </row>
    <row r="2634" spans="1:1" x14ac:dyDescent="0.2">
      <c r="A2634" s="2"/>
    </row>
    <row r="2635" spans="1:1" x14ac:dyDescent="0.2">
      <c r="A2635" s="2"/>
    </row>
    <row r="2636" spans="1:1" x14ac:dyDescent="0.2">
      <c r="A2636" s="2"/>
    </row>
    <row r="2637" spans="1:1" x14ac:dyDescent="0.2">
      <c r="A2637" s="2"/>
    </row>
    <row r="2638" spans="1:1" x14ac:dyDescent="0.2">
      <c r="A2638" s="2"/>
    </row>
    <row r="2639" spans="1:1" x14ac:dyDescent="0.2">
      <c r="A2639" s="2"/>
    </row>
    <row r="2640" spans="1:1" x14ac:dyDescent="0.2">
      <c r="A2640" s="2"/>
    </row>
    <row r="2641" spans="1:1" x14ac:dyDescent="0.2">
      <c r="A2641" s="2"/>
    </row>
    <row r="2642" spans="1:1" x14ac:dyDescent="0.2">
      <c r="A2642" s="2"/>
    </row>
    <row r="2643" spans="1:1" x14ac:dyDescent="0.2">
      <c r="A2643" s="2"/>
    </row>
    <row r="2644" spans="1:1" x14ac:dyDescent="0.2">
      <c r="A2644" s="2"/>
    </row>
    <row r="2645" spans="1:1" x14ac:dyDescent="0.2">
      <c r="A2645" s="2"/>
    </row>
    <row r="2646" spans="1:1" x14ac:dyDescent="0.2">
      <c r="A2646" s="2"/>
    </row>
    <row r="2647" spans="1:1" x14ac:dyDescent="0.2">
      <c r="A2647" s="2"/>
    </row>
    <row r="2648" spans="1:1" x14ac:dyDescent="0.2">
      <c r="A2648" s="2"/>
    </row>
    <row r="2649" spans="1:1" x14ac:dyDescent="0.2">
      <c r="A2649" s="2"/>
    </row>
    <row r="2650" spans="1:1" x14ac:dyDescent="0.2">
      <c r="A2650" s="2"/>
    </row>
    <row r="2651" spans="1:1" x14ac:dyDescent="0.2">
      <c r="A2651" s="2"/>
    </row>
    <row r="2652" spans="1:1" x14ac:dyDescent="0.2">
      <c r="A2652" s="2"/>
    </row>
    <row r="2653" spans="1:1" x14ac:dyDescent="0.2">
      <c r="A2653" s="2"/>
    </row>
    <row r="2654" spans="1:1" x14ac:dyDescent="0.2">
      <c r="A2654" s="2"/>
    </row>
    <row r="2655" spans="1:1" x14ac:dyDescent="0.2">
      <c r="A2655" s="2"/>
    </row>
    <row r="2656" spans="1:1" x14ac:dyDescent="0.2">
      <c r="A2656" s="2"/>
    </row>
    <row r="2657" spans="1:1" x14ac:dyDescent="0.2">
      <c r="A2657" s="2"/>
    </row>
    <row r="2658" spans="1:1" x14ac:dyDescent="0.2">
      <c r="A2658" s="2"/>
    </row>
    <row r="2659" spans="1:1" x14ac:dyDescent="0.2">
      <c r="A2659" s="2"/>
    </row>
    <row r="2660" spans="1:1" x14ac:dyDescent="0.2">
      <c r="A2660" s="2"/>
    </row>
    <row r="2661" spans="1:1" x14ac:dyDescent="0.2">
      <c r="A2661" s="2"/>
    </row>
    <row r="2662" spans="1:1" x14ac:dyDescent="0.2">
      <c r="A2662" s="2"/>
    </row>
    <row r="2663" spans="1:1" x14ac:dyDescent="0.2">
      <c r="A2663" s="2"/>
    </row>
    <row r="2664" spans="1:1" x14ac:dyDescent="0.2">
      <c r="A2664" s="2"/>
    </row>
    <row r="2665" spans="1:1" x14ac:dyDescent="0.2">
      <c r="A2665" s="2"/>
    </row>
    <row r="2666" spans="1:1" x14ac:dyDescent="0.2">
      <c r="A2666" s="2"/>
    </row>
    <row r="2667" spans="1:1" x14ac:dyDescent="0.2">
      <c r="A2667" s="2"/>
    </row>
    <row r="2668" spans="1:1" x14ac:dyDescent="0.2">
      <c r="A2668" s="2"/>
    </row>
    <row r="2669" spans="1:1" x14ac:dyDescent="0.2">
      <c r="A2669" s="2"/>
    </row>
    <row r="2670" spans="1:1" x14ac:dyDescent="0.2">
      <c r="A2670" s="2"/>
    </row>
    <row r="2671" spans="1:1" x14ac:dyDescent="0.2">
      <c r="A2671" s="2"/>
    </row>
    <row r="2672" spans="1:1" x14ac:dyDescent="0.2">
      <c r="A2672" s="2"/>
    </row>
    <row r="2673" spans="1:1" x14ac:dyDescent="0.2">
      <c r="A2673" s="2"/>
    </row>
    <row r="2674" spans="1:1" x14ac:dyDescent="0.2">
      <c r="A2674" s="2"/>
    </row>
    <row r="2675" spans="1:1" x14ac:dyDescent="0.2">
      <c r="A2675" s="2"/>
    </row>
    <row r="2676" spans="1:1" x14ac:dyDescent="0.2">
      <c r="A2676" s="2"/>
    </row>
    <row r="2677" spans="1:1" x14ac:dyDescent="0.2">
      <c r="A2677" s="2"/>
    </row>
    <row r="2678" spans="1:1" x14ac:dyDescent="0.2">
      <c r="A2678" s="2"/>
    </row>
    <row r="2679" spans="1:1" x14ac:dyDescent="0.2">
      <c r="A2679" s="2"/>
    </row>
    <row r="2680" spans="1:1" x14ac:dyDescent="0.2">
      <c r="A2680" s="2"/>
    </row>
    <row r="2681" spans="1:1" x14ac:dyDescent="0.2">
      <c r="A2681" s="2"/>
    </row>
    <row r="2682" spans="1:1" x14ac:dyDescent="0.2">
      <c r="A2682" s="2"/>
    </row>
    <row r="2683" spans="1:1" x14ac:dyDescent="0.2">
      <c r="A2683" s="2"/>
    </row>
    <row r="2684" spans="1:1" x14ac:dyDescent="0.2">
      <c r="A2684" s="2"/>
    </row>
    <row r="2685" spans="1:1" x14ac:dyDescent="0.2">
      <c r="A2685" s="2"/>
    </row>
    <row r="2686" spans="1:1" x14ac:dyDescent="0.2">
      <c r="A2686" s="2"/>
    </row>
    <row r="2687" spans="1:1" x14ac:dyDescent="0.2">
      <c r="A2687" s="2"/>
    </row>
    <row r="2688" spans="1:1" x14ac:dyDescent="0.2">
      <c r="A2688" s="2"/>
    </row>
    <row r="2689" spans="1:1" x14ac:dyDescent="0.2">
      <c r="A2689" s="2"/>
    </row>
    <row r="2690" spans="1:1" x14ac:dyDescent="0.2">
      <c r="A2690" s="2"/>
    </row>
    <row r="2691" spans="1:1" x14ac:dyDescent="0.2">
      <c r="A2691" s="2"/>
    </row>
    <row r="2692" spans="1:1" x14ac:dyDescent="0.2">
      <c r="A2692" s="2"/>
    </row>
    <row r="2693" spans="1:1" x14ac:dyDescent="0.2">
      <c r="A2693" s="2"/>
    </row>
    <row r="2694" spans="1:1" x14ac:dyDescent="0.2">
      <c r="A2694" s="2"/>
    </row>
    <row r="2695" spans="1:1" x14ac:dyDescent="0.2">
      <c r="A2695" s="2"/>
    </row>
    <row r="2696" spans="1:1" x14ac:dyDescent="0.2">
      <c r="A2696" s="2"/>
    </row>
    <row r="2697" spans="1:1" x14ac:dyDescent="0.2">
      <c r="A2697" s="2"/>
    </row>
    <row r="2698" spans="1:1" x14ac:dyDescent="0.2">
      <c r="A2698" s="2"/>
    </row>
    <row r="2699" spans="1:1" x14ac:dyDescent="0.2">
      <c r="A2699" s="2"/>
    </row>
    <row r="2700" spans="1:1" x14ac:dyDescent="0.2">
      <c r="A2700" s="2"/>
    </row>
    <row r="2701" spans="1:1" x14ac:dyDescent="0.2">
      <c r="A2701" s="2"/>
    </row>
    <row r="2702" spans="1:1" x14ac:dyDescent="0.2">
      <c r="A2702" s="2"/>
    </row>
    <row r="2703" spans="1:1" x14ac:dyDescent="0.2">
      <c r="A2703" s="2"/>
    </row>
    <row r="2704" spans="1:1" x14ac:dyDescent="0.2">
      <c r="A2704" s="2"/>
    </row>
    <row r="2705" spans="1:1" x14ac:dyDescent="0.2">
      <c r="A2705" s="2"/>
    </row>
    <row r="2706" spans="1:1" x14ac:dyDescent="0.2">
      <c r="A2706" s="2"/>
    </row>
    <row r="2707" spans="1:1" x14ac:dyDescent="0.2">
      <c r="A2707" s="2"/>
    </row>
    <row r="2708" spans="1:1" x14ac:dyDescent="0.2">
      <c r="A2708" s="2"/>
    </row>
    <row r="2709" spans="1:1" x14ac:dyDescent="0.2">
      <c r="A2709" s="2"/>
    </row>
    <row r="2710" spans="1:1" x14ac:dyDescent="0.2">
      <c r="A2710" s="2"/>
    </row>
    <row r="2711" spans="1:1" x14ac:dyDescent="0.2">
      <c r="A2711" s="2"/>
    </row>
    <row r="2712" spans="1:1" x14ac:dyDescent="0.2">
      <c r="A2712" s="2"/>
    </row>
    <row r="2713" spans="1:1" x14ac:dyDescent="0.2">
      <c r="A2713" s="2"/>
    </row>
    <row r="2714" spans="1:1" x14ac:dyDescent="0.2">
      <c r="A2714" s="2"/>
    </row>
    <row r="2715" spans="1:1" x14ac:dyDescent="0.2">
      <c r="A2715" s="2"/>
    </row>
    <row r="2716" spans="1:1" x14ac:dyDescent="0.2">
      <c r="A2716" s="2"/>
    </row>
    <row r="2717" spans="1:1" x14ac:dyDescent="0.2">
      <c r="A2717" s="2"/>
    </row>
    <row r="2718" spans="1:1" x14ac:dyDescent="0.2">
      <c r="A2718" s="2"/>
    </row>
    <row r="2719" spans="1:1" x14ac:dyDescent="0.2">
      <c r="A2719" s="2"/>
    </row>
    <row r="2720" spans="1:1" x14ac:dyDescent="0.2">
      <c r="A2720" s="2"/>
    </row>
    <row r="2721" spans="1:1" x14ac:dyDescent="0.2">
      <c r="A2721" s="2"/>
    </row>
    <row r="2722" spans="1:1" x14ac:dyDescent="0.2">
      <c r="A2722" s="2"/>
    </row>
    <row r="2723" spans="1:1" x14ac:dyDescent="0.2">
      <c r="A2723" s="2"/>
    </row>
    <row r="2724" spans="1:1" x14ac:dyDescent="0.2">
      <c r="A2724" s="2"/>
    </row>
    <row r="2725" spans="1:1" x14ac:dyDescent="0.2">
      <c r="A2725" s="2"/>
    </row>
    <row r="2726" spans="1:1" x14ac:dyDescent="0.2">
      <c r="A2726" s="2"/>
    </row>
    <row r="2727" spans="1:1" x14ac:dyDescent="0.2">
      <c r="A2727" s="2"/>
    </row>
    <row r="2728" spans="1:1" x14ac:dyDescent="0.2">
      <c r="A2728" s="2"/>
    </row>
    <row r="2729" spans="1:1" x14ac:dyDescent="0.2">
      <c r="A2729" s="2"/>
    </row>
    <row r="2730" spans="1:1" x14ac:dyDescent="0.2">
      <c r="A2730" s="2"/>
    </row>
    <row r="2731" spans="1:1" x14ac:dyDescent="0.2">
      <c r="A2731" s="2"/>
    </row>
    <row r="2732" spans="1:1" x14ac:dyDescent="0.2">
      <c r="A2732" s="2"/>
    </row>
    <row r="2733" spans="1:1" x14ac:dyDescent="0.2">
      <c r="A2733" s="2"/>
    </row>
    <row r="2734" spans="1:1" x14ac:dyDescent="0.2">
      <c r="A2734" s="2"/>
    </row>
    <row r="2735" spans="1:1" x14ac:dyDescent="0.2">
      <c r="A2735" s="2"/>
    </row>
    <row r="2736" spans="1:1" x14ac:dyDescent="0.2">
      <c r="A2736" s="2"/>
    </row>
    <row r="2737" spans="1:1" x14ac:dyDescent="0.2">
      <c r="A2737" s="2"/>
    </row>
    <row r="2738" spans="1:1" x14ac:dyDescent="0.2">
      <c r="A2738" s="2"/>
    </row>
    <row r="2739" spans="1:1" x14ac:dyDescent="0.2">
      <c r="A2739" s="2"/>
    </row>
    <row r="2740" spans="1:1" x14ac:dyDescent="0.2">
      <c r="A2740" s="2"/>
    </row>
    <row r="2741" spans="1:1" x14ac:dyDescent="0.2">
      <c r="A2741" s="2"/>
    </row>
    <row r="2742" spans="1:1" x14ac:dyDescent="0.2">
      <c r="A2742" s="2"/>
    </row>
    <row r="2743" spans="1:1" x14ac:dyDescent="0.2">
      <c r="A2743" s="2"/>
    </row>
    <row r="2744" spans="1:1" x14ac:dyDescent="0.2">
      <c r="A2744" s="2"/>
    </row>
    <row r="2745" spans="1:1" x14ac:dyDescent="0.2">
      <c r="A2745" s="2"/>
    </row>
    <row r="2746" spans="1:1" x14ac:dyDescent="0.2">
      <c r="A2746" s="2"/>
    </row>
    <row r="2747" spans="1:1" x14ac:dyDescent="0.2">
      <c r="A2747" s="2"/>
    </row>
    <row r="2748" spans="1:1" x14ac:dyDescent="0.2">
      <c r="A2748" s="2"/>
    </row>
    <row r="2749" spans="1:1" x14ac:dyDescent="0.2">
      <c r="A2749" s="2"/>
    </row>
    <row r="2750" spans="1:1" x14ac:dyDescent="0.2">
      <c r="A2750" s="2"/>
    </row>
    <row r="2751" spans="1:1" x14ac:dyDescent="0.2">
      <c r="A2751" s="2"/>
    </row>
    <row r="2752" spans="1:1" x14ac:dyDescent="0.2">
      <c r="A2752" s="2"/>
    </row>
    <row r="2753" spans="1:1" x14ac:dyDescent="0.2">
      <c r="A2753" s="2"/>
    </row>
    <row r="2754" spans="1:1" x14ac:dyDescent="0.2">
      <c r="A2754" s="2"/>
    </row>
    <row r="2755" spans="1:1" x14ac:dyDescent="0.2">
      <c r="A2755" s="2"/>
    </row>
    <row r="2756" spans="1:1" x14ac:dyDescent="0.2">
      <c r="A2756" s="2"/>
    </row>
    <row r="2757" spans="1:1" x14ac:dyDescent="0.2">
      <c r="A2757" s="2"/>
    </row>
    <row r="2758" spans="1:1" x14ac:dyDescent="0.2">
      <c r="A2758" s="2"/>
    </row>
    <row r="2759" spans="1:1" x14ac:dyDescent="0.2">
      <c r="A2759" s="2"/>
    </row>
    <row r="2760" spans="1:1" x14ac:dyDescent="0.2">
      <c r="A2760" s="2"/>
    </row>
    <row r="2761" spans="1:1" x14ac:dyDescent="0.2">
      <c r="A2761" s="2"/>
    </row>
    <row r="2762" spans="1:1" x14ac:dyDescent="0.2">
      <c r="A2762" s="2"/>
    </row>
    <row r="2763" spans="1:1" x14ac:dyDescent="0.2">
      <c r="A2763" s="2"/>
    </row>
    <row r="2764" spans="1:1" x14ac:dyDescent="0.2">
      <c r="A2764" s="2"/>
    </row>
    <row r="2765" spans="1:1" x14ac:dyDescent="0.2">
      <c r="A2765" s="2"/>
    </row>
    <row r="2766" spans="1:1" x14ac:dyDescent="0.2">
      <c r="A2766" s="2"/>
    </row>
    <row r="2767" spans="1:1" x14ac:dyDescent="0.2">
      <c r="A2767" s="2"/>
    </row>
    <row r="2768" spans="1:1" x14ac:dyDescent="0.2">
      <c r="A2768" s="2"/>
    </row>
    <row r="2769" spans="1:1" x14ac:dyDescent="0.2">
      <c r="A2769" s="2"/>
    </row>
    <row r="2770" spans="1:1" x14ac:dyDescent="0.2">
      <c r="A2770" s="2"/>
    </row>
    <row r="2771" spans="1:1" x14ac:dyDescent="0.2">
      <c r="A2771" s="2"/>
    </row>
    <row r="2772" spans="1:1" x14ac:dyDescent="0.2">
      <c r="A2772" s="2"/>
    </row>
    <row r="2773" spans="1:1" x14ac:dyDescent="0.2">
      <c r="A2773" s="2"/>
    </row>
    <row r="2774" spans="1:1" x14ac:dyDescent="0.2">
      <c r="A2774" s="2"/>
    </row>
    <row r="2775" spans="1:1" x14ac:dyDescent="0.2">
      <c r="A2775" s="2"/>
    </row>
    <row r="2776" spans="1:1" x14ac:dyDescent="0.2">
      <c r="A2776" s="2"/>
    </row>
    <row r="2777" spans="1:1" x14ac:dyDescent="0.2">
      <c r="A2777" s="2"/>
    </row>
    <row r="2778" spans="1:1" x14ac:dyDescent="0.2">
      <c r="A2778" s="2"/>
    </row>
    <row r="2779" spans="1:1" x14ac:dyDescent="0.2">
      <c r="A2779" s="2"/>
    </row>
    <row r="2780" spans="1:1" x14ac:dyDescent="0.2">
      <c r="A2780" s="2"/>
    </row>
    <row r="2781" spans="1:1" x14ac:dyDescent="0.2">
      <c r="A2781" s="2"/>
    </row>
    <row r="2782" spans="1:1" x14ac:dyDescent="0.2">
      <c r="A2782" s="2"/>
    </row>
    <row r="2783" spans="1:1" x14ac:dyDescent="0.2">
      <c r="A2783" s="2"/>
    </row>
    <row r="2784" spans="1:1" x14ac:dyDescent="0.2">
      <c r="A2784" s="2"/>
    </row>
    <row r="2785" spans="1:1" x14ac:dyDescent="0.2">
      <c r="A2785" s="2"/>
    </row>
    <row r="2786" spans="1:1" x14ac:dyDescent="0.2">
      <c r="A2786" s="2"/>
    </row>
    <row r="2787" spans="1:1" x14ac:dyDescent="0.2">
      <c r="A2787" s="2"/>
    </row>
    <row r="2788" spans="1:1" x14ac:dyDescent="0.2">
      <c r="A2788" s="2"/>
    </row>
    <row r="2789" spans="1:1" x14ac:dyDescent="0.2">
      <c r="A2789" s="2"/>
    </row>
    <row r="2790" spans="1:1" x14ac:dyDescent="0.2">
      <c r="A2790" s="2"/>
    </row>
    <row r="2791" spans="1:1" x14ac:dyDescent="0.2">
      <c r="A2791" s="2"/>
    </row>
    <row r="2792" spans="1:1" x14ac:dyDescent="0.2">
      <c r="A2792" s="2"/>
    </row>
    <row r="2793" spans="1:1" x14ac:dyDescent="0.2">
      <c r="A2793" s="2"/>
    </row>
    <row r="2794" spans="1:1" x14ac:dyDescent="0.2">
      <c r="A2794" s="2"/>
    </row>
    <row r="2795" spans="1:1" x14ac:dyDescent="0.2">
      <c r="A2795" s="2"/>
    </row>
    <row r="2796" spans="1:1" x14ac:dyDescent="0.2">
      <c r="A2796" s="2"/>
    </row>
    <row r="2797" spans="1:1" x14ac:dyDescent="0.2">
      <c r="A2797" s="2"/>
    </row>
    <row r="2798" spans="1:1" x14ac:dyDescent="0.2">
      <c r="A2798" s="2"/>
    </row>
    <row r="2799" spans="1:1" x14ac:dyDescent="0.2">
      <c r="A2799" s="2"/>
    </row>
    <row r="2800" spans="1:1" x14ac:dyDescent="0.2">
      <c r="A2800" s="2"/>
    </row>
    <row r="2801" spans="1:1" x14ac:dyDescent="0.2">
      <c r="A2801" s="2"/>
    </row>
    <row r="2802" spans="1:1" x14ac:dyDescent="0.2">
      <c r="A2802" s="2"/>
    </row>
    <row r="2803" spans="1:1" x14ac:dyDescent="0.2">
      <c r="A2803" s="2"/>
    </row>
    <row r="2804" spans="1:1" x14ac:dyDescent="0.2">
      <c r="A2804" s="2"/>
    </row>
    <row r="2805" spans="1:1" x14ac:dyDescent="0.2">
      <c r="A2805" s="2"/>
    </row>
    <row r="2806" spans="1:1" x14ac:dyDescent="0.2">
      <c r="A2806" s="2"/>
    </row>
    <row r="2807" spans="1:1" x14ac:dyDescent="0.2">
      <c r="A2807" s="2"/>
    </row>
    <row r="2808" spans="1:1" x14ac:dyDescent="0.2">
      <c r="A2808" s="2"/>
    </row>
    <row r="2809" spans="1:1" x14ac:dyDescent="0.2">
      <c r="A2809" s="2"/>
    </row>
    <row r="2810" spans="1:1" x14ac:dyDescent="0.2">
      <c r="A2810" s="2"/>
    </row>
    <row r="2811" spans="1:1" x14ac:dyDescent="0.2">
      <c r="A2811" s="2"/>
    </row>
    <row r="2812" spans="1:1" x14ac:dyDescent="0.2">
      <c r="A2812" s="2"/>
    </row>
    <row r="2813" spans="1:1" x14ac:dyDescent="0.2">
      <c r="A2813" s="2"/>
    </row>
    <row r="2814" spans="1:1" x14ac:dyDescent="0.2">
      <c r="A2814" s="2"/>
    </row>
    <row r="2815" spans="1:1" x14ac:dyDescent="0.2">
      <c r="A2815" s="2"/>
    </row>
    <row r="2816" spans="1:1" x14ac:dyDescent="0.2">
      <c r="A2816" s="2"/>
    </row>
    <row r="2817" spans="1:1" x14ac:dyDescent="0.2">
      <c r="A2817" s="2"/>
    </row>
    <row r="2818" spans="1:1" x14ac:dyDescent="0.2">
      <c r="A2818" s="2"/>
    </row>
    <row r="2819" spans="1:1" x14ac:dyDescent="0.2">
      <c r="A2819" s="2"/>
    </row>
    <row r="2820" spans="1:1" x14ac:dyDescent="0.2">
      <c r="A2820" s="2"/>
    </row>
    <row r="2821" spans="1:1" x14ac:dyDescent="0.2">
      <c r="A2821" s="2"/>
    </row>
    <row r="2822" spans="1:1" x14ac:dyDescent="0.2">
      <c r="A2822" s="2"/>
    </row>
    <row r="2823" spans="1:1" x14ac:dyDescent="0.2">
      <c r="A2823" s="2"/>
    </row>
    <row r="2824" spans="1:1" x14ac:dyDescent="0.2">
      <c r="A2824" s="2"/>
    </row>
    <row r="2825" spans="1:1" x14ac:dyDescent="0.2">
      <c r="A2825" s="2"/>
    </row>
    <row r="2826" spans="1:1" x14ac:dyDescent="0.2">
      <c r="A2826" s="2"/>
    </row>
    <row r="2827" spans="1:1" x14ac:dyDescent="0.2">
      <c r="A2827" s="2"/>
    </row>
    <row r="2828" spans="1:1" x14ac:dyDescent="0.2">
      <c r="A2828" s="2"/>
    </row>
    <row r="2829" spans="1:1" x14ac:dyDescent="0.2">
      <c r="A2829" s="2"/>
    </row>
    <row r="2830" spans="1:1" x14ac:dyDescent="0.2">
      <c r="A2830" s="2"/>
    </row>
    <row r="2831" spans="1:1" x14ac:dyDescent="0.2">
      <c r="A2831" s="2"/>
    </row>
    <row r="2832" spans="1:1" x14ac:dyDescent="0.2">
      <c r="A2832" s="2"/>
    </row>
    <row r="2833" spans="1:1" x14ac:dyDescent="0.2">
      <c r="A2833" s="2"/>
    </row>
    <row r="2834" spans="1:1" x14ac:dyDescent="0.2">
      <c r="A2834" s="2"/>
    </row>
    <row r="2835" spans="1:1" x14ac:dyDescent="0.2">
      <c r="A2835" s="2"/>
    </row>
    <row r="2836" spans="1:1" x14ac:dyDescent="0.2">
      <c r="A2836" s="2"/>
    </row>
    <row r="2837" spans="1:1" x14ac:dyDescent="0.2">
      <c r="A2837" s="2"/>
    </row>
    <row r="2838" spans="1:1" x14ac:dyDescent="0.2">
      <c r="A2838" s="2"/>
    </row>
    <row r="2839" spans="1:1" x14ac:dyDescent="0.2">
      <c r="A2839" s="2"/>
    </row>
    <row r="2840" spans="1:1" x14ac:dyDescent="0.2">
      <c r="A2840" s="2"/>
    </row>
    <row r="2841" spans="1:1" x14ac:dyDescent="0.2">
      <c r="A2841" s="2"/>
    </row>
    <row r="2842" spans="1:1" x14ac:dyDescent="0.2">
      <c r="A2842" s="2"/>
    </row>
    <row r="2843" spans="1:1" x14ac:dyDescent="0.2">
      <c r="A2843" s="2"/>
    </row>
    <row r="2844" spans="1:1" x14ac:dyDescent="0.2">
      <c r="A2844" s="2"/>
    </row>
    <row r="2845" spans="1:1" x14ac:dyDescent="0.2">
      <c r="A2845" s="2"/>
    </row>
    <row r="2846" spans="1:1" x14ac:dyDescent="0.2">
      <c r="A2846" s="2"/>
    </row>
    <row r="2847" spans="1:1" x14ac:dyDescent="0.2">
      <c r="A2847" s="2"/>
    </row>
    <row r="2848" spans="1:1" x14ac:dyDescent="0.2">
      <c r="A2848" s="2"/>
    </row>
    <row r="2849" spans="1:1" x14ac:dyDescent="0.2">
      <c r="A2849" s="2"/>
    </row>
    <row r="2850" spans="1:1" x14ac:dyDescent="0.2">
      <c r="A2850" s="2"/>
    </row>
    <row r="2851" spans="1:1" x14ac:dyDescent="0.2">
      <c r="A2851" s="2"/>
    </row>
    <row r="2852" spans="1:1" x14ac:dyDescent="0.2">
      <c r="A2852" s="2"/>
    </row>
    <row r="2853" spans="1:1" x14ac:dyDescent="0.2">
      <c r="A2853" s="2"/>
    </row>
    <row r="2854" spans="1:1" x14ac:dyDescent="0.2">
      <c r="A2854" s="2"/>
    </row>
    <row r="2855" spans="1:1" x14ac:dyDescent="0.2">
      <c r="A2855" s="2"/>
    </row>
    <row r="2856" spans="1:1" x14ac:dyDescent="0.2">
      <c r="A2856" s="2"/>
    </row>
    <row r="2857" spans="1:1" x14ac:dyDescent="0.2">
      <c r="A2857" s="2"/>
    </row>
    <row r="2858" spans="1:1" x14ac:dyDescent="0.2">
      <c r="A2858" s="2"/>
    </row>
    <row r="2859" spans="1:1" x14ac:dyDescent="0.2">
      <c r="A2859" s="2"/>
    </row>
    <row r="2860" spans="1:1" x14ac:dyDescent="0.2">
      <c r="A2860" s="2"/>
    </row>
    <row r="2861" spans="1:1" x14ac:dyDescent="0.2">
      <c r="A2861" s="2"/>
    </row>
    <row r="2862" spans="1:1" x14ac:dyDescent="0.2">
      <c r="A2862" s="2"/>
    </row>
    <row r="2863" spans="1:1" x14ac:dyDescent="0.2">
      <c r="A2863" s="2"/>
    </row>
    <row r="2864" spans="1:1" x14ac:dyDescent="0.2">
      <c r="A2864" s="2"/>
    </row>
    <row r="2865" spans="1:1" x14ac:dyDescent="0.2">
      <c r="A2865" s="2"/>
    </row>
    <row r="2866" spans="1:1" x14ac:dyDescent="0.2">
      <c r="A2866" s="2"/>
    </row>
    <row r="2867" spans="1:1" x14ac:dyDescent="0.2">
      <c r="A2867" s="2"/>
    </row>
    <row r="2868" spans="1:1" x14ac:dyDescent="0.2">
      <c r="A2868" s="2"/>
    </row>
    <row r="2869" spans="1:1" x14ac:dyDescent="0.2">
      <c r="A2869" s="2"/>
    </row>
    <row r="2870" spans="1:1" x14ac:dyDescent="0.2">
      <c r="A2870" s="2"/>
    </row>
    <row r="2871" spans="1:1" x14ac:dyDescent="0.2">
      <c r="A2871" s="2"/>
    </row>
    <row r="2872" spans="1:1" x14ac:dyDescent="0.2">
      <c r="A2872" s="2"/>
    </row>
    <row r="2873" spans="1:1" x14ac:dyDescent="0.2">
      <c r="A2873" s="2"/>
    </row>
    <row r="2874" spans="1:1" x14ac:dyDescent="0.2">
      <c r="A2874" s="2"/>
    </row>
    <row r="2875" spans="1:1" x14ac:dyDescent="0.2">
      <c r="A2875" s="2"/>
    </row>
    <row r="2876" spans="1:1" x14ac:dyDescent="0.2">
      <c r="A2876" s="2"/>
    </row>
    <row r="2877" spans="1:1" x14ac:dyDescent="0.2">
      <c r="A2877" s="2"/>
    </row>
    <row r="2878" spans="1:1" x14ac:dyDescent="0.2">
      <c r="A2878" s="2"/>
    </row>
    <row r="2879" spans="1:1" x14ac:dyDescent="0.2">
      <c r="A2879" s="2"/>
    </row>
    <row r="2880" spans="1:1" x14ac:dyDescent="0.2">
      <c r="A2880" s="2"/>
    </row>
    <row r="2881" spans="1:1" x14ac:dyDescent="0.2">
      <c r="A2881" s="2"/>
    </row>
    <row r="2882" spans="1:1" x14ac:dyDescent="0.2">
      <c r="A2882" s="2"/>
    </row>
    <row r="2883" spans="1:1" x14ac:dyDescent="0.2">
      <c r="A2883" s="2"/>
    </row>
    <row r="2884" spans="1:1" x14ac:dyDescent="0.2">
      <c r="A2884" s="2"/>
    </row>
    <row r="2885" spans="1:1" x14ac:dyDescent="0.2">
      <c r="A2885" s="2"/>
    </row>
    <row r="2886" spans="1:1" x14ac:dyDescent="0.2">
      <c r="A2886" s="2"/>
    </row>
    <row r="2887" spans="1:1" x14ac:dyDescent="0.2">
      <c r="A2887" s="2"/>
    </row>
    <row r="2888" spans="1:1" x14ac:dyDescent="0.2">
      <c r="A2888" s="2"/>
    </row>
    <row r="2889" spans="1:1" x14ac:dyDescent="0.2">
      <c r="A2889" s="2"/>
    </row>
    <row r="2890" spans="1:1" x14ac:dyDescent="0.2">
      <c r="A2890" s="2"/>
    </row>
    <row r="2891" spans="1:1" x14ac:dyDescent="0.2">
      <c r="A2891" s="2"/>
    </row>
    <row r="2892" spans="1:1" x14ac:dyDescent="0.2">
      <c r="A2892" s="2"/>
    </row>
    <row r="2893" spans="1:1" x14ac:dyDescent="0.2">
      <c r="A2893" s="2"/>
    </row>
    <row r="2894" spans="1:1" x14ac:dyDescent="0.2">
      <c r="A2894" s="2"/>
    </row>
    <row r="2895" spans="1:1" x14ac:dyDescent="0.2">
      <c r="A2895" s="2"/>
    </row>
    <row r="2896" spans="1:1" x14ac:dyDescent="0.2">
      <c r="A2896" s="2"/>
    </row>
    <row r="2897" spans="1:1" x14ac:dyDescent="0.2">
      <c r="A2897" s="2"/>
    </row>
    <row r="2898" spans="1:1" x14ac:dyDescent="0.2">
      <c r="A2898" s="2"/>
    </row>
    <row r="2899" spans="1:1" x14ac:dyDescent="0.2">
      <c r="A2899" s="2"/>
    </row>
    <row r="2900" spans="1:1" x14ac:dyDescent="0.2">
      <c r="A2900" s="2"/>
    </row>
    <row r="2901" spans="1:1" x14ac:dyDescent="0.2">
      <c r="A2901" s="2"/>
    </row>
    <row r="2902" spans="1:1" x14ac:dyDescent="0.2">
      <c r="A2902" s="2"/>
    </row>
    <row r="2903" spans="1:1" x14ac:dyDescent="0.2">
      <c r="A2903" s="2"/>
    </row>
    <row r="2904" spans="1:1" x14ac:dyDescent="0.2">
      <c r="A2904" s="2"/>
    </row>
    <row r="2905" spans="1:1" x14ac:dyDescent="0.2">
      <c r="A2905" s="2"/>
    </row>
    <row r="2906" spans="1:1" x14ac:dyDescent="0.2">
      <c r="A2906" s="2"/>
    </row>
    <row r="2907" spans="1:1" x14ac:dyDescent="0.2">
      <c r="A2907" s="2"/>
    </row>
    <row r="2908" spans="1:1" x14ac:dyDescent="0.2">
      <c r="A2908" s="2"/>
    </row>
    <row r="2909" spans="1:1" x14ac:dyDescent="0.2">
      <c r="A2909" s="2"/>
    </row>
    <row r="2910" spans="1:1" x14ac:dyDescent="0.2">
      <c r="A2910" s="2"/>
    </row>
    <row r="2911" spans="1:1" x14ac:dyDescent="0.2">
      <c r="A2911" s="2"/>
    </row>
    <row r="2912" spans="1:1" x14ac:dyDescent="0.2">
      <c r="A2912" s="2"/>
    </row>
    <row r="2913" spans="1:1" x14ac:dyDescent="0.2">
      <c r="A2913" s="2"/>
    </row>
    <row r="2914" spans="1:1" x14ac:dyDescent="0.2">
      <c r="A2914" s="2"/>
    </row>
    <row r="2915" spans="1:1" x14ac:dyDescent="0.2">
      <c r="A2915" s="2"/>
    </row>
    <row r="2916" spans="1:1" x14ac:dyDescent="0.2">
      <c r="A2916" s="2"/>
    </row>
    <row r="2917" spans="1:1" x14ac:dyDescent="0.2">
      <c r="A2917" s="2"/>
    </row>
    <row r="2918" spans="1:1" x14ac:dyDescent="0.2">
      <c r="A2918" s="2"/>
    </row>
    <row r="2919" spans="1:1" x14ac:dyDescent="0.2">
      <c r="A2919" s="2"/>
    </row>
    <row r="2920" spans="1:1" x14ac:dyDescent="0.2">
      <c r="A2920" s="2"/>
    </row>
    <row r="2921" spans="1:1" x14ac:dyDescent="0.2">
      <c r="A2921" s="2"/>
    </row>
    <row r="2922" spans="1:1" x14ac:dyDescent="0.2">
      <c r="A2922" s="2"/>
    </row>
    <row r="2923" spans="1:1" x14ac:dyDescent="0.2">
      <c r="A2923" s="2"/>
    </row>
    <row r="2924" spans="1:1" x14ac:dyDescent="0.2">
      <c r="A2924" s="2"/>
    </row>
    <row r="2925" spans="1:1" x14ac:dyDescent="0.2">
      <c r="A2925" s="2"/>
    </row>
    <row r="2926" spans="1:1" x14ac:dyDescent="0.2">
      <c r="A2926" s="2"/>
    </row>
    <row r="2927" spans="1:1" x14ac:dyDescent="0.2">
      <c r="A2927" s="2"/>
    </row>
    <row r="2928" spans="1:1" x14ac:dyDescent="0.2">
      <c r="A2928" s="2"/>
    </row>
    <row r="2929" spans="1:1" x14ac:dyDescent="0.2">
      <c r="A2929" s="2"/>
    </row>
    <row r="2930" spans="1:1" x14ac:dyDescent="0.2">
      <c r="A2930" s="2"/>
    </row>
    <row r="2931" spans="1:1" x14ac:dyDescent="0.2">
      <c r="A2931" s="2"/>
    </row>
    <row r="2932" spans="1:1" x14ac:dyDescent="0.2">
      <c r="A2932" s="2"/>
    </row>
    <row r="2933" spans="1:1" x14ac:dyDescent="0.2">
      <c r="A2933" s="2"/>
    </row>
    <row r="2934" spans="1:1" x14ac:dyDescent="0.2">
      <c r="A2934" s="2"/>
    </row>
    <row r="2935" spans="1:1" x14ac:dyDescent="0.2">
      <c r="A2935" s="2"/>
    </row>
    <row r="2936" spans="1:1" x14ac:dyDescent="0.2">
      <c r="A2936" s="2"/>
    </row>
    <row r="2937" spans="1:1" x14ac:dyDescent="0.2">
      <c r="A2937" s="2"/>
    </row>
    <row r="2938" spans="1:1" x14ac:dyDescent="0.2">
      <c r="A2938" s="2"/>
    </row>
    <row r="2939" spans="1:1" x14ac:dyDescent="0.2">
      <c r="A2939" s="2"/>
    </row>
    <row r="2940" spans="1:1" x14ac:dyDescent="0.2">
      <c r="A2940" s="2"/>
    </row>
    <row r="2941" spans="1:1" x14ac:dyDescent="0.2">
      <c r="A2941" s="2"/>
    </row>
    <row r="2942" spans="1:1" x14ac:dyDescent="0.2">
      <c r="A2942" s="2"/>
    </row>
    <row r="2943" spans="1:1" x14ac:dyDescent="0.2">
      <c r="A2943" s="2"/>
    </row>
    <row r="2944" spans="1:1" x14ac:dyDescent="0.2">
      <c r="A2944" s="2"/>
    </row>
    <row r="2945" spans="1:1" x14ac:dyDescent="0.2">
      <c r="A2945" s="2"/>
    </row>
    <row r="2946" spans="1:1" x14ac:dyDescent="0.2">
      <c r="A2946" s="2"/>
    </row>
    <row r="2947" spans="1:1" x14ac:dyDescent="0.2">
      <c r="A2947" s="2"/>
    </row>
    <row r="2948" spans="1:1" x14ac:dyDescent="0.2">
      <c r="A2948" s="2"/>
    </row>
    <row r="2949" spans="1:1" x14ac:dyDescent="0.2">
      <c r="A2949" s="2"/>
    </row>
    <row r="2950" spans="1:1" x14ac:dyDescent="0.2">
      <c r="A2950" s="2"/>
    </row>
    <row r="2951" spans="1:1" x14ac:dyDescent="0.2">
      <c r="A2951" s="2"/>
    </row>
    <row r="2952" spans="1:1" x14ac:dyDescent="0.2">
      <c r="A2952" s="2"/>
    </row>
    <row r="2953" spans="1:1" x14ac:dyDescent="0.2">
      <c r="A2953" s="2"/>
    </row>
    <row r="2954" spans="1:1" x14ac:dyDescent="0.2">
      <c r="A2954" s="2"/>
    </row>
    <row r="2955" spans="1:1" x14ac:dyDescent="0.2">
      <c r="A2955" s="2"/>
    </row>
    <row r="2956" spans="1:1" x14ac:dyDescent="0.2">
      <c r="A2956" s="2"/>
    </row>
    <row r="2957" spans="1:1" x14ac:dyDescent="0.2">
      <c r="A2957" s="2"/>
    </row>
    <row r="2958" spans="1:1" x14ac:dyDescent="0.2">
      <c r="A2958" s="2"/>
    </row>
    <row r="2959" spans="1:1" x14ac:dyDescent="0.2">
      <c r="A2959" s="2"/>
    </row>
    <row r="2960" spans="1:1" x14ac:dyDescent="0.2">
      <c r="A2960" s="2"/>
    </row>
    <row r="2961" spans="1:1" x14ac:dyDescent="0.2">
      <c r="A2961" s="2"/>
    </row>
    <row r="2962" spans="1:1" x14ac:dyDescent="0.2">
      <c r="A2962" s="2"/>
    </row>
    <row r="2963" spans="1:1" x14ac:dyDescent="0.2">
      <c r="A2963" s="2"/>
    </row>
    <row r="2964" spans="1:1" x14ac:dyDescent="0.2">
      <c r="A2964" s="2"/>
    </row>
    <row r="2965" spans="1:1" x14ac:dyDescent="0.2">
      <c r="A2965" s="2"/>
    </row>
    <row r="2966" spans="1:1" x14ac:dyDescent="0.2">
      <c r="A2966" s="2"/>
    </row>
    <row r="2967" spans="1:1" x14ac:dyDescent="0.2">
      <c r="A2967" s="2"/>
    </row>
    <row r="2968" spans="1:1" x14ac:dyDescent="0.2">
      <c r="A2968" s="2"/>
    </row>
    <row r="2969" spans="1:1" x14ac:dyDescent="0.2">
      <c r="A2969" s="2"/>
    </row>
    <row r="2970" spans="1:1" x14ac:dyDescent="0.2">
      <c r="A2970" s="2"/>
    </row>
    <row r="2971" spans="1:1" x14ac:dyDescent="0.2">
      <c r="A2971" s="2"/>
    </row>
    <row r="2972" spans="1:1" x14ac:dyDescent="0.2">
      <c r="A2972" s="2"/>
    </row>
    <row r="2973" spans="1:1" x14ac:dyDescent="0.2">
      <c r="A2973" s="2"/>
    </row>
    <row r="2974" spans="1:1" x14ac:dyDescent="0.2">
      <c r="A2974" s="2"/>
    </row>
    <row r="2975" spans="1:1" x14ac:dyDescent="0.2">
      <c r="A2975" s="2"/>
    </row>
    <row r="2976" spans="1:1" x14ac:dyDescent="0.2">
      <c r="A2976" s="2"/>
    </row>
    <row r="2977" spans="1:1" x14ac:dyDescent="0.2">
      <c r="A2977" s="2"/>
    </row>
    <row r="2978" spans="1:1" x14ac:dyDescent="0.2">
      <c r="A2978" s="2"/>
    </row>
    <row r="2979" spans="1:1" x14ac:dyDescent="0.2">
      <c r="A2979" s="2"/>
    </row>
    <row r="2980" spans="1:1" x14ac:dyDescent="0.2">
      <c r="A2980" s="2"/>
    </row>
    <row r="2981" spans="1:1" x14ac:dyDescent="0.2">
      <c r="A2981" s="2"/>
    </row>
    <row r="2982" spans="1:1" x14ac:dyDescent="0.2">
      <c r="A2982" s="2"/>
    </row>
    <row r="2983" spans="1:1" x14ac:dyDescent="0.2">
      <c r="A2983" s="2"/>
    </row>
    <row r="2984" spans="1:1" x14ac:dyDescent="0.2">
      <c r="A2984" s="2"/>
    </row>
    <row r="2985" spans="1:1" x14ac:dyDescent="0.2">
      <c r="A2985" s="2"/>
    </row>
    <row r="2986" spans="1:1" x14ac:dyDescent="0.2">
      <c r="A2986" s="2"/>
    </row>
    <row r="2987" spans="1:1" x14ac:dyDescent="0.2">
      <c r="A2987" s="2"/>
    </row>
    <row r="2988" spans="1:1" x14ac:dyDescent="0.2">
      <c r="A2988" s="2"/>
    </row>
    <row r="2989" spans="1:1" x14ac:dyDescent="0.2">
      <c r="A2989" s="2"/>
    </row>
    <row r="2990" spans="1:1" x14ac:dyDescent="0.2">
      <c r="A2990" s="2"/>
    </row>
    <row r="2991" spans="1:1" x14ac:dyDescent="0.2">
      <c r="A2991" s="2"/>
    </row>
    <row r="2992" spans="1:1" x14ac:dyDescent="0.2">
      <c r="A2992" s="2"/>
    </row>
    <row r="2993" spans="1:1" x14ac:dyDescent="0.2">
      <c r="A2993" s="2"/>
    </row>
    <row r="2994" spans="1:1" x14ac:dyDescent="0.2">
      <c r="A2994" s="2"/>
    </row>
    <row r="2995" spans="1:1" x14ac:dyDescent="0.2">
      <c r="A2995" s="2"/>
    </row>
    <row r="2996" spans="1:1" x14ac:dyDescent="0.2">
      <c r="A2996" s="2"/>
    </row>
    <row r="2997" spans="1:1" x14ac:dyDescent="0.2">
      <c r="A2997" s="2"/>
    </row>
    <row r="2998" spans="1:1" x14ac:dyDescent="0.2">
      <c r="A2998" s="2"/>
    </row>
    <row r="2999" spans="1:1" x14ac:dyDescent="0.2">
      <c r="A2999" s="2"/>
    </row>
    <row r="3000" spans="1:1" x14ac:dyDescent="0.2">
      <c r="A3000" s="2"/>
    </row>
    <row r="3001" spans="1:1" x14ac:dyDescent="0.2">
      <c r="A3001" s="2"/>
    </row>
    <row r="3002" spans="1:1" x14ac:dyDescent="0.2">
      <c r="A3002" s="2"/>
    </row>
    <row r="3003" spans="1:1" x14ac:dyDescent="0.2">
      <c r="A3003" s="2"/>
    </row>
    <row r="3004" spans="1:1" x14ac:dyDescent="0.2">
      <c r="A3004" s="2"/>
    </row>
    <row r="3005" spans="1:1" x14ac:dyDescent="0.2">
      <c r="A3005" s="2"/>
    </row>
    <row r="3006" spans="1:1" x14ac:dyDescent="0.2">
      <c r="A3006" s="2"/>
    </row>
    <row r="3007" spans="1:1" x14ac:dyDescent="0.2">
      <c r="A3007" s="2"/>
    </row>
    <row r="3008" spans="1:1" x14ac:dyDescent="0.2">
      <c r="A3008" s="2"/>
    </row>
    <row r="3009" spans="1:1" x14ac:dyDescent="0.2">
      <c r="A3009" s="2"/>
    </row>
    <row r="3010" spans="1:1" x14ac:dyDescent="0.2">
      <c r="A3010" s="2"/>
    </row>
    <row r="3011" spans="1:1" x14ac:dyDescent="0.2">
      <c r="A3011" s="2"/>
    </row>
    <row r="3012" spans="1:1" x14ac:dyDescent="0.2">
      <c r="A3012" s="2"/>
    </row>
    <row r="3013" spans="1:1" x14ac:dyDescent="0.2">
      <c r="A3013" s="2"/>
    </row>
    <row r="3014" spans="1:1" x14ac:dyDescent="0.2">
      <c r="A3014" s="2"/>
    </row>
    <row r="3015" spans="1:1" x14ac:dyDescent="0.2">
      <c r="A3015" s="2"/>
    </row>
    <row r="3016" spans="1:1" x14ac:dyDescent="0.2">
      <c r="A3016" s="2"/>
    </row>
    <row r="3017" spans="1:1" x14ac:dyDescent="0.2">
      <c r="A3017" s="2"/>
    </row>
    <row r="3018" spans="1:1" x14ac:dyDescent="0.2">
      <c r="A3018" s="2"/>
    </row>
    <row r="3019" spans="1:1" x14ac:dyDescent="0.2">
      <c r="A3019" s="2"/>
    </row>
    <row r="3020" spans="1:1" x14ac:dyDescent="0.2">
      <c r="A3020" s="2"/>
    </row>
    <row r="3021" spans="1:1" x14ac:dyDescent="0.2">
      <c r="A3021" s="2"/>
    </row>
    <row r="3022" spans="1:1" x14ac:dyDescent="0.2">
      <c r="A3022" s="2"/>
    </row>
    <row r="3023" spans="1:1" x14ac:dyDescent="0.2">
      <c r="A3023" s="2"/>
    </row>
    <row r="3024" spans="1:1" x14ac:dyDescent="0.2">
      <c r="A3024" s="2"/>
    </row>
    <row r="3025" spans="1:1" x14ac:dyDescent="0.2">
      <c r="A3025" s="2"/>
    </row>
    <row r="3026" spans="1:1" x14ac:dyDescent="0.2">
      <c r="A3026" s="2"/>
    </row>
    <row r="3027" spans="1:1" x14ac:dyDescent="0.2">
      <c r="A3027" s="2"/>
    </row>
    <row r="3028" spans="1:1" x14ac:dyDescent="0.2">
      <c r="A3028" s="2"/>
    </row>
    <row r="3029" spans="1:1" x14ac:dyDescent="0.2">
      <c r="A3029" s="2"/>
    </row>
    <row r="3030" spans="1:1" x14ac:dyDescent="0.2">
      <c r="A3030" s="2"/>
    </row>
    <row r="3031" spans="1:1" x14ac:dyDescent="0.2">
      <c r="A3031" s="2"/>
    </row>
    <row r="3032" spans="1:1" x14ac:dyDescent="0.2">
      <c r="A3032" s="2"/>
    </row>
    <row r="3033" spans="1:1" x14ac:dyDescent="0.2">
      <c r="A3033" s="2"/>
    </row>
    <row r="3034" spans="1:1" x14ac:dyDescent="0.2">
      <c r="A3034" s="2"/>
    </row>
    <row r="3035" spans="1:1" x14ac:dyDescent="0.2">
      <c r="A3035" s="2"/>
    </row>
    <row r="3036" spans="1:1" x14ac:dyDescent="0.2">
      <c r="A3036" s="2"/>
    </row>
    <row r="3037" spans="1:1" x14ac:dyDescent="0.2">
      <c r="A3037" s="2"/>
    </row>
    <row r="3038" spans="1:1" x14ac:dyDescent="0.2">
      <c r="A3038" s="2"/>
    </row>
    <row r="3039" spans="1:1" x14ac:dyDescent="0.2">
      <c r="A3039" s="2"/>
    </row>
    <row r="3040" spans="1:1" x14ac:dyDescent="0.2">
      <c r="A3040" s="2"/>
    </row>
    <row r="3041" spans="1:1" x14ac:dyDescent="0.2">
      <c r="A3041" s="2"/>
    </row>
    <row r="3042" spans="1:1" x14ac:dyDescent="0.2">
      <c r="A3042" s="2"/>
    </row>
    <row r="3043" spans="1:1" x14ac:dyDescent="0.2">
      <c r="A3043" s="2"/>
    </row>
    <row r="3044" spans="1:1" x14ac:dyDescent="0.2">
      <c r="A3044" s="2"/>
    </row>
    <row r="3045" spans="1:1" x14ac:dyDescent="0.2">
      <c r="A3045" s="2"/>
    </row>
    <row r="3046" spans="1:1" x14ac:dyDescent="0.2">
      <c r="A3046" s="2"/>
    </row>
    <row r="3047" spans="1:1" x14ac:dyDescent="0.2">
      <c r="A3047" s="2"/>
    </row>
    <row r="3048" spans="1:1" x14ac:dyDescent="0.2">
      <c r="A3048" s="2"/>
    </row>
    <row r="3049" spans="1:1" x14ac:dyDescent="0.2">
      <c r="A3049" s="2"/>
    </row>
    <row r="3050" spans="1:1" x14ac:dyDescent="0.2">
      <c r="A3050" s="2"/>
    </row>
    <row r="3051" spans="1:1" x14ac:dyDescent="0.2">
      <c r="A3051" s="2"/>
    </row>
    <row r="3052" spans="1:1" x14ac:dyDescent="0.2">
      <c r="A3052" s="2"/>
    </row>
    <row r="3053" spans="1:1" x14ac:dyDescent="0.2">
      <c r="A3053" s="2"/>
    </row>
    <row r="3054" spans="1:1" x14ac:dyDescent="0.2">
      <c r="A3054" s="2"/>
    </row>
    <row r="3055" spans="1:1" x14ac:dyDescent="0.2">
      <c r="A3055" s="2"/>
    </row>
    <row r="3056" spans="1:1" x14ac:dyDescent="0.2">
      <c r="A3056" s="2"/>
    </row>
    <row r="3057" spans="1:1" x14ac:dyDescent="0.2">
      <c r="A3057" s="2"/>
    </row>
    <row r="3058" spans="1:1" x14ac:dyDescent="0.2">
      <c r="A3058" s="2"/>
    </row>
    <row r="3059" spans="1:1" x14ac:dyDescent="0.2">
      <c r="A3059" s="2"/>
    </row>
    <row r="3060" spans="1:1" x14ac:dyDescent="0.2">
      <c r="A3060" s="2"/>
    </row>
    <row r="3061" spans="1:1" x14ac:dyDescent="0.2">
      <c r="A3061" s="2"/>
    </row>
    <row r="3062" spans="1:1" x14ac:dyDescent="0.2">
      <c r="A3062" s="2"/>
    </row>
    <row r="3063" spans="1:1" x14ac:dyDescent="0.2">
      <c r="A3063" s="2"/>
    </row>
    <row r="3064" spans="1:1" x14ac:dyDescent="0.2">
      <c r="A3064" s="2"/>
    </row>
    <row r="3065" spans="1:1" x14ac:dyDescent="0.2">
      <c r="A3065" s="2"/>
    </row>
    <row r="3066" spans="1:1" x14ac:dyDescent="0.2">
      <c r="A3066" s="2"/>
    </row>
    <row r="3067" spans="1:1" x14ac:dyDescent="0.2">
      <c r="A3067" s="2"/>
    </row>
    <row r="3068" spans="1:1" x14ac:dyDescent="0.2">
      <c r="A3068" s="2"/>
    </row>
    <row r="3069" spans="1:1" x14ac:dyDescent="0.2">
      <c r="A3069" s="2"/>
    </row>
    <row r="3070" spans="1:1" x14ac:dyDescent="0.2">
      <c r="A3070" s="2"/>
    </row>
    <row r="3071" spans="1:1" x14ac:dyDescent="0.2">
      <c r="A3071" s="2"/>
    </row>
    <row r="3072" spans="1:1" x14ac:dyDescent="0.2">
      <c r="A3072" s="2"/>
    </row>
    <row r="3073" spans="1:1" x14ac:dyDescent="0.2">
      <c r="A3073" s="2"/>
    </row>
    <row r="3074" spans="1:1" x14ac:dyDescent="0.2">
      <c r="A3074" s="2"/>
    </row>
    <row r="3075" spans="1:1" x14ac:dyDescent="0.2">
      <c r="A3075" s="2"/>
    </row>
    <row r="3076" spans="1:1" x14ac:dyDescent="0.2">
      <c r="A3076" s="2"/>
    </row>
    <row r="3077" spans="1:1" x14ac:dyDescent="0.2">
      <c r="A3077" s="2"/>
    </row>
    <row r="3078" spans="1:1" x14ac:dyDescent="0.2">
      <c r="A3078" s="2"/>
    </row>
    <row r="3079" spans="1:1" x14ac:dyDescent="0.2">
      <c r="A3079" s="2"/>
    </row>
    <row r="3080" spans="1:1" x14ac:dyDescent="0.2">
      <c r="A3080" s="2"/>
    </row>
    <row r="3081" spans="1:1" x14ac:dyDescent="0.2">
      <c r="A3081" s="2"/>
    </row>
    <row r="3082" spans="1:1" x14ac:dyDescent="0.2">
      <c r="A3082" s="2"/>
    </row>
    <row r="3083" spans="1:1" x14ac:dyDescent="0.2">
      <c r="A3083" s="2"/>
    </row>
    <row r="3084" spans="1:1" x14ac:dyDescent="0.2">
      <c r="A3084" s="2"/>
    </row>
    <row r="3085" spans="1:1" x14ac:dyDescent="0.2">
      <c r="A3085" s="2"/>
    </row>
    <row r="3086" spans="1:1" x14ac:dyDescent="0.2">
      <c r="A3086" s="2"/>
    </row>
    <row r="3087" spans="1:1" x14ac:dyDescent="0.2">
      <c r="A3087" s="2"/>
    </row>
    <row r="3088" spans="1:1" x14ac:dyDescent="0.2">
      <c r="A3088" s="2"/>
    </row>
    <row r="3089" spans="1:1" x14ac:dyDescent="0.2">
      <c r="A3089" s="2"/>
    </row>
    <row r="3090" spans="1:1" x14ac:dyDescent="0.2">
      <c r="A3090" s="2"/>
    </row>
    <row r="3091" spans="1:1" x14ac:dyDescent="0.2">
      <c r="A3091" s="2"/>
    </row>
    <row r="3092" spans="1:1" x14ac:dyDescent="0.2">
      <c r="A3092" s="2"/>
    </row>
    <row r="3093" spans="1:1" x14ac:dyDescent="0.2">
      <c r="A3093" s="2"/>
    </row>
    <row r="3094" spans="1:1" x14ac:dyDescent="0.2">
      <c r="A3094" s="2"/>
    </row>
    <row r="3095" spans="1:1" x14ac:dyDescent="0.2">
      <c r="A3095" s="2"/>
    </row>
    <row r="3096" spans="1:1" x14ac:dyDescent="0.2">
      <c r="A3096" s="2"/>
    </row>
    <row r="3097" spans="1:1" x14ac:dyDescent="0.2">
      <c r="A3097" s="2"/>
    </row>
    <row r="3098" spans="1:1" x14ac:dyDescent="0.2">
      <c r="A3098" s="2"/>
    </row>
    <row r="3099" spans="1:1" x14ac:dyDescent="0.2">
      <c r="A3099" s="2"/>
    </row>
    <row r="3100" spans="1:1" x14ac:dyDescent="0.2">
      <c r="A3100" s="2"/>
    </row>
    <row r="3101" spans="1:1" x14ac:dyDescent="0.2">
      <c r="A3101" s="2"/>
    </row>
    <row r="3102" spans="1:1" x14ac:dyDescent="0.2">
      <c r="A3102" s="2"/>
    </row>
    <row r="3103" spans="1:1" x14ac:dyDescent="0.2">
      <c r="A3103" s="2"/>
    </row>
    <row r="3104" spans="1:1" x14ac:dyDescent="0.2">
      <c r="A3104" s="2"/>
    </row>
    <row r="3105" spans="1:1" x14ac:dyDescent="0.2">
      <c r="A3105" s="2"/>
    </row>
    <row r="3106" spans="1:1" x14ac:dyDescent="0.2">
      <c r="A3106" s="2"/>
    </row>
    <row r="3107" spans="1:1" x14ac:dyDescent="0.2">
      <c r="A3107" s="2"/>
    </row>
    <row r="3108" spans="1:1" x14ac:dyDescent="0.2">
      <c r="A3108" s="2"/>
    </row>
    <row r="3109" spans="1:1" x14ac:dyDescent="0.2">
      <c r="A3109" s="2"/>
    </row>
    <row r="3110" spans="1:1" x14ac:dyDescent="0.2">
      <c r="A3110" s="2"/>
    </row>
    <row r="3111" spans="1:1" x14ac:dyDescent="0.2">
      <c r="A3111" s="2"/>
    </row>
    <row r="3112" spans="1:1" x14ac:dyDescent="0.2">
      <c r="A3112" s="2"/>
    </row>
    <row r="3113" spans="1:1" x14ac:dyDescent="0.2">
      <c r="A3113" s="2"/>
    </row>
    <row r="3114" spans="1:1" x14ac:dyDescent="0.2">
      <c r="A3114" s="2"/>
    </row>
    <row r="3115" spans="1:1" x14ac:dyDescent="0.2">
      <c r="A3115" s="2"/>
    </row>
    <row r="3116" spans="1:1" x14ac:dyDescent="0.2">
      <c r="A3116" s="2"/>
    </row>
    <row r="3117" spans="1:1" x14ac:dyDescent="0.2">
      <c r="A3117" s="2"/>
    </row>
    <row r="3118" spans="1:1" x14ac:dyDescent="0.2">
      <c r="A3118" s="2"/>
    </row>
    <row r="3119" spans="1:1" x14ac:dyDescent="0.2">
      <c r="A3119" s="2"/>
    </row>
    <row r="3120" spans="1:1" x14ac:dyDescent="0.2">
      <c r="A3120" s="2"/>
    </row>
    <row r="3121" spans="1:1" x14ac:dyDescent="0.2">
      <c r="A3121" s="2"/>
    </row>
    <row r="3122" spans="1:1" x14ac:dyDescent="0.2">
      <c r="A3122" s="2"/>
    </row>
    <row r="3123" spans="1:1" x14ac:dyDescent="0.2">
      <c r="A3123" s="2"/>
    </row>
    <row r="3124" spans="1:1" x14ac:dyDescent="0.2">
      <c r="A3124" s="2"/>
    </row>
    <row r="3125" spans="1:1" x14ac:dyDescent="0.2">
      <c r="A3125" s="2"/>
    </row>
    <row r="3126" spans="1:1" x14ac:dyDescent="0.2">
      <c r="A3126" s="2"/>
    </row>
    <row r="3127" spans="1:1" x14ac:dyDescent="0.2">
      <c r="A3127" s="2"/>
    </row>
    <row r="3128" spans="1:1" x14ac:dyDescent="0.2">
      <c r="A3128" s="2"/>
    </row>
    <row r="3129" spans="1:1" x14ac:dyDescent="0.2">
      <c r="A3129" s="2"/>
    </row>
    <row r="3130" spans="1:1" x14ac:dyDescent="0.2">
      <c r="A3130" s="2"/>
    </row>
    <row r="3131" spans="1:1" x14ac:dyDescent="0.2">
      <c r="A3131" s="2"/>
    </row>
    <row r="3132" spans="1:1" x14ac:dyDescent="0.2">
      <c r="A3132" s="2"/>
    </row>
    <row r="3133" spans="1:1" x14ac:dyDescent="0.2">
      <c r="A3133" s="2"/>
    </row>
    <row r="3134" spans="1:1" x14ac:dyDescent="0.2">
      <c r="A3134" s="2"/>
    </row>
    <row r="3135" spans="1:1" x14ac:dyDescent="0.2">
      <c r="A3135" s="2"/>
    </row>
    <row r="3136" spans="1:1" x14ac:dyDescent="0.2">
      <c r="A3136" s="2"/>
    </row>
    <row r="3137" spans="1:1" x14ac:dyDescent="0.2">
      <c r="A3137" s="2"/>
    </row>
    <row r="3138" spans="1:1" x14ac:dyDescent="0.2">
      <c r="A3138" s="2"/>
    </row>
    <row r="3139" spans="1:1" x14ac:dyDescent="0.2">
      <c r="A3139" s="2"/>
    </row>
    <row r="3140" spans="1:1" x14ac:dyDescent="0.2">
      <c r="A3140" s="2"/>
    </row>
    <row r="3141" spans="1:1" x14ac:dyDescent="0.2">
      <c r="A3141" s="2"/>
    </row>
    <row r="3142" spans="1:1" x14ac:dyDescent="0.2">
      <c r="A3142" s="2"/>
    </row>
    <row r="3143" spans="1:1" x14ac:dyDescent="0.2">
      <c r="A3143" s="2"/>
    </row>
    <row r="3144" spans="1:1" x14ac:dyDescent="0.2">
      <c r="A3144" s="2"/>
    </row>
    <row r="3145" spans="1:1" x14ac:dyDescent="0.2">
      <c r="A3145" s="2"/>
    </row>
    <row r="3146" spans="1:1" x14ac:dyDescent="0.2">
      <c r="A3146" s="2"/>
    </row>
    <row r="3147" spans="1:1" x14ac:dyDescent="0.2">
      <c r="A3147" s="2"/>
    </row>
    <row r="3148" spans="1:1" x14ac:dyDescent="0.2">
      <c r="A3148" s="2"/>
    </row>
    <row r="3149" spans="1:1" x14ac:dyDescent="0.2">
      <c r="A3149" s="2"/>
    </row>
    <row r="3150" spans="1:1" x14ac:dyDescent="0.2">
      <c r="A3150" s="2"/>
    </row>
    <row r="3151" spans="1:1" x14ac:dyDescent="0.2">
      <c r="A3151" s="2"/>
    </row>
    <row r="3152" spans="1:1" x14ac:dyDescent="0.2">
      <c r="A3152" s="2"/>
    </row>
    <row r="3153" spans="1:1" x14ac:dyDescent="0.2">
      <c r="A3153" s="2"/>
    </row>
    <row r="3154" spans="1:1" x14ac:dyDescent="0.2">
      <c r="A3154" s="2"/>
    </row>
    <row r="3155" spans="1:1" x14ac:dyDescent="0.2">
      <c r="A3155" s="2"/>
    </row>
    <row r="3156" spans="1:1" x14ac:dyDescent="0.2">
      <c r="A3156" s="2"/>
    </row>
    <row r="3157" spans="1:1" x14ac:dyDescent="0.2">
      <c r="A3157" s="2"/>
    </row>
    <row r="3158" spans="1:1" x14ac:dyDescent="0.2">
      <c r="A3158" s="2"/>
    </row>
    <row r="3159" spans="1:1" x14ac:dyDescent="0.2">
      <c r="A3159" s="2"/>
    </row>
    <row r="3160" spans="1:1" x14ac:dyDescent="0.2">
      <c r="A3160" s="2"/>
    </row>
    <row r="3161" spans="1:1" x14ac:dyDescent="0.2">
      <c r="A3161" s="2"/>
    </row>
    <row r="3162" spans="1:1" x14ac:dyDescent="0.2">
      <c r="A3162" s="2"/>
    </row>
    <row r="3163" spans="1:1" x14ac:dyDescent="0.2">
      <c r="A3163" s="2"/>
    </row>
    <row r="3164" spans="1:1" x14ac:dyDescent="0.2">
      <c r="A3164" s="2"/>
    </row>
    <row r="3165" spans="1:1" x14ac:dyDescent="0.2">
      <c r="A3165" s="2"/>
    </row>
    <row r="3166" spans="1:1" x14ac:dyDescent="0.2">
      <c r="A3166" s="2"/>
    </row>
    <row r="3167" spans="1:1" x14ac:dyDescent="0.2">
      <c r="A3167" s="2"/>
    </row>
    <row r="3168" spans="1:1" x14ac:dyDescent="0.2">
      <c r="A3168" s="2"/>
    </row>
    <row r="3169" spans="1:1" x14ac:dyDescent="0.2">
      <c r="A3169" s="2"/>
    </row>
    <row r="3170" spans="1:1" x14ac:dyDescent="0.2">
      <c r="A3170" s="2"/>
    </row>
    <row r="3171" spans="1:1" x14ac:dyDescent="0.2">
      <c r="A3171" s="2"/>
    </row>
    <row r="3172" spans="1:1" x14ac:dyDescent="0.2">
      <c r="A3172" s="2"/>
    </row>
    <row r="3173" spans="1:1" x14ac:dyDescent="0.2">
      <c r="A3173" s="2"/>
    </row>
    <row r="3174" spans="1:1" x14ac:dyDescent="0.2">
      <c r="A3174" s="2"/>
    </row>
    <row r="3175" spans="1:1" x14ac:dyDescent="0.2">
      <c r="A3175" s="2"/>
    </row>
    <row r="3176" spans="1:1" x14ac:dyDescent="0.2">
      <c r="A3176" s="2"/>
    </row>
    <row r="3177" spans="1:1" x14ac:dyDescent="0.2">
      <c r="A3177" s="2"/>
    </row>
    <row r="3178" spans="1:1" x14ac:dyDescent="0.2">
      <c r="A3178" s="2"/>
    </row>
    <row r="3179" spans="1:1" x14ac:dyDescent="0.2">
      <c r="A3179" s="2"/>
    </row>
    <row r="3180" spans="1:1" x14ac:dyDescent="0.2">
      <c r="A3180" s="2"/>
    </row>
    <row r="3181" spans="1:1" x14ac:dyDescent="0.2">
      <c r="A3181" s="2"/>
    </row>
    <row r="3182" spans="1:1" x14ac:dyDescent="0.2">
      <c r="A3182" s="2"/>
    </row>
    <row r="3183" spans="1:1" x14ac:dyDescent="0.2">
      <c r="A3183" s="2"/>
    </row>
    <row r="3184" spans="1:1" x14ac:dyDescent="0.2">
      <c r="A3184" s="2"/>
    </row>
    <row r="3185" spans="1:1" x14ac:dyDescent="0.2">
      <c r="A3185" s="2"/>
    </row>
    <row r="3186" spans="1:1" x14ac:dyDescent="0.2">
      <c r="A3186" s="2"/>
    </row>
    <row r="3187" spans="1:1" x14ac:dyDescent="0.2">
      <c r="A3187" s="2"/>
    </row>
    <row r="3188" spans="1:1" x14ac:dyDescent="0.2">
      <c r="A3188" s="2"/>
    </row>
    <row r="3189" spans="1:1" x14ac:dyDescent="0.2">
      <c r="A3189" s="2"/>
    </row>
    <row r="3190" spans="1:1" x14ac:dyDescent="0.2">
      <c r="A3190" s="2"/>
    </row>
    <row r="3191" spans="1:1" x14ac:dyDescent="0.2">
      <c r="A3191" s="2"/>
    </row>
    <row r="3192" spans="1:1" x14ac:dyDescent="0.2">
      <c r="A3192" s="2"/>
    </row>
    <row r="3193" spans="1:1" x14ac:dyDescent="0.2">
      <c r="A3193" s="2"/>
    </row>
    <row r="3194" spans="1:1" x14ac:dyDescent="0.2">
      <c r="A3194" s="2"/>
    </row>
    <row r="3195" spans="1:1" x14ac:dyDescent="0.2">
      <c r="A3195" s="2"/>
    </row>
    <row r="3196" spans="1:1" x14ac:dyDescent="0.2">
      <c r="A3196" s="2"/>
    </row>
    <row r="3197" spans="1:1" x14ac:dyDescent="0.2">
      <c r="A3197" s="2"/>
    </row>
    <row r="3198" spans="1:1" x14ac:dyDescent="0.2">
      <c r="A3198" s="2"/>
    </row>
    <row r="3199" spans="1:1" x14ac:dyDescent="0.2">
      <c r="A3199" s="2"/>
    </row>
    <row r="3200" spans="1:1" x14ac:dyDescent="0.2">
      <c r="A3200" s="2"/>
    </row>
    <row r="3201" spans="1:1" x14ac:dyDescent="0.2">
      <c r="A3201" s="2"/>
    </row>
    <row r="3202" spans="1:1" x14ac:dyDescent="0.2">
      <c r="A3202" s="2"/>
    </row>
    <row r="3203" spans="1:1" x14ac:dyDescent="0.2">
      <c r="A3203" s="2"/>
    </row>
    <row r="3204" spans="1:1" x14ac:dyDescent="0.2">
      <c r="A3204" s="2"/>
    </row>
    <row r="3205" spans="1:1" x14ac:dyDescent="0.2">
      <c r="A3205" s="2"/>
    </row>
    <row r="3206" spans="1:1" x14ac:dyDescent="0.2">
      <c r="A3206" s="2"/>
    </row>
    <row r="3207" spans="1:1" x14ac:dyDescent="0.2">
      <c r="A3207" s="2"/>
    </row>
    <row r="3208" spans="1:1" x14ac:dyDescent="0.2">
      <c r="A3208" s="2"/>
    </row>
    <row r="3209" spans="1:1" x14ac:dyDescent="0.2">
      <c r="A3209" s="2"/>
    </row>
    <row r="3210" spans="1:1" x14ac:dyDescent="0.2">
      <c r="A3210" s="2"/>
    </row>
    <row r="3211" spans="1:1" x14ac:dyDescent="0.2">
      <c r="A3211" s="2"/>
    </row>
    <row r="3212" spans="1:1" x14ac:dyDescent="0.2">
      <c r="A3212" s="2"/>
    </row>
    <row r="3213" spans="1:1" x14ac:dyDescent="0.2">
      <c r="A3213" s="2"/>
    </row>
    <row r="3214" spans="1:1" x14ac:dyDescent="0.2">
      <c r="A3214" s="2"/>
    </row>
    <row r="3215" spans="1:1" x14ac:dyDescent="0.2">
      <c r="A3215" s="2"/>
    </row>
    <row r="3216" spans="1:1" x14ac:dyDescent="0.2">
      <c r="A3216" s="2"/>
    </row>
    <row r="3217" spans="1:1" x14ac:dyDescent="0.2">
      <c r="A3217" s="2"/>
    </row>
    <row r="3218" spans="1:1" x14ac:dyDescent="0.2">
      <c r="A3218" s="2"/>
    </row>
    <row r="3219" spans="1:1" x14ac:dyDescent="0.2">
      <c r="A3219" s="2"/>
    </row>
    <row r="3220" spans="1:1" x14ac:dyDescent="0.2">
      <c r="A3220" s="2"/>
    </row>
    <row r="3221" spans="1:1" x14ac:dyDescent="0.2">
      <c r="A3221" s="2"/>
    </row>
    <row r="3222" spans="1:1" x14ac:dyDescent="0.2">
      <c r="A3222" s="2"/>
    </row>
    <row r="3223" spans="1:1" x14ac:dyDescent="0.2">
      <c r="A3223" s="2"/>
    </row>
    <row r="3224" spans="1:1" x14ac:dyDescent="0.2">
      <c r="A3224" s="2"/>
    </row>
    <row r="3225" spans="1:1" x14ac:dyDescent="0.2">
      <c r="A3225" s="2"/>
    </row>
    <row r="3226" spans="1:1" x14ac:dyDescent="0.2">
      <c r="A3226" s="2"/>
    </row>
    <row r="3227" spans="1:1" x14ac:dyDescent="0.2">
      <c r="A3227" s="2"/>
    </row>
    <row r="3228" spans="1:1" x14ac:dyDescent="0.2">
      <c r="A3228" s="2"/>
    </row>
    <row r="3229" spans="1:1" x14ac:dyDescent="0.2">
      <c r="A3229" s="2"/>
    </row>
    <row r="3230" spans="1:1" x14ac:dyDescent="0.2">
      <c r="A3230" s="2"/>
    </row>
    <row r="3231" spans="1:1" x14ac:dyDescent="0.2">
      <c r="A3231" s="2"/>
    </row>
    <row r="3232" spans="1:1" x14ac:dyDescent="0.2">
      <c r="A3232" s="2"/>
    </row>
    <row r="3233" spans="1:1" x14ac:dyDescent="0.2">
      <c r="A3233" s="2"/>
    </row>
    <row r="3234" spans="1:1" x14ac:dyDescent="0.2">
      <c r="A3234" s="2"/>
    </row>
    <row r="3235" spans="1:1" x14ac:dyDescent="0.2">
      <c r="A3235" s="2"/>
    </row>
    <row r="3236" spans="1:1" x14ac:dyDescent="0.2">
      <c r="A3236" s="2"/>
    </row>
    <row r="3237" spans="1:1" x14ac:dyDescent="0.2">
      <c r="A3237" s="2"/>
    </row>
    <row r="3238" spans="1:1" x14ac:dyDescent="0.2">
      <c r="A3238" s="2"/>
    </row>
    <row r="3239" spans="1:1" x14ac:dyDescent="0.2">
      <c r="A3239" s="2"/>
    </row>
    <row r="3240" spans="1:1" x14ac:dyDescent="0.2">
      <c r="A3240" s="2"/>
    </row>
    <row r="3241" spans="1:1" x14ac:dyDescent="0.2">
      <c r="A3241" s="2"/>
    </row>
    <row r="3242" spans="1:1" x14ac:dyDescent="0.2">
      <c r="A3242" s="2"/>
    </row>
    <row r="3243" spans="1:1" x14ac:dyDescent="0.2">
      <c r="A3243" s="2"/>
    </row>
    <row r="3244" spans="1:1" x14ac:dyDescent="0.2">
      <c r="A3244" s="2"/>
    </row>
    <row r="3245" spans="1:1" x14ac:dyDescent="0.2">
      <c r="A3245" s="2"/>
    </row>
    <row r="3246" spans="1:1" x14ac:dyDescent="0.2">
      <c r="A3246" s="2"/>
    </row>
    <row r="3247" spans="1:1" x14ac:dyDescent="0.2">
      <c r="A3247" s="2"/>
    </row>
    <row r="3248" spans="1:1" x14ac:dyDescent="0.2">
      <c r="A3248" s="2"/>
    </row>
    <row r="3249" spans="1:1" x14ac:dyDescent="0.2">
      <c r="A3249" s="2"/>
    </row>
    <row r="3250" spans="1:1" x14ac:dyDescent="0.2">
      <c r="A3250" s="2"/>
    </row>
    <row r="3251" spans="1:1" x14ac:dyDescent="0.2">
      <c r="A3251" s="2"/>
    </row>
    <row r="3252" spans="1:1" x14ac:dyDescent="0.2">
      <c r="A3252" s="2"/>
    </row>
    <row r="3253" spans="1:1" x14ac:dyDescent="0.2">
      <c r="A3253" s="2"/>
    </row>
    <row r="3254" spans="1:1" x14ac:dyDescent="0.2">
      <c r="A3254" s="2"/>
    </row>
    <row r="3255" spans="1:1" x14ac:dyDescent="0.2">
      <c r="A3255" s="2"/>
    </row>
    <row r="3256" spans="1:1" x14ac:dyDescent="0.2">
      <c r="A3256" s="2"/>
    </row>
    <row r="3257" spans="1:1" x14ac:dyDescent="0.2">
      <c r="A3257" s="2"/>
    </row>
    <row r="3258" spans="1:1" x14ac:dyDescent="0.2">
      <c r="A3258" s="2"/>
    </row>
    <row r="3259" spans="1:1" x14ac:dyDescent="0.2">
      <c r="A3259" s="2"/>
    </row>
    <row r="3260" spans="1:1" x14ac:dyDescent="0.2">
      <c r="A3260" s="2"/>
    </row>
    <row r="3261" spans="1:1" x14ac:dyDescent="0.2">
      <c r="A3261" s="2"/>
    </row>
    <row r="3262" spans="1:1" x14ac:dyDescent="0.2">
      <c r="A3262" s="2"/>
    </row>
    <row r="3263" spans="1:1" x14ac:dyDescent="0.2">
      <c r="A3263" s="2"/>
    </row>
    <row r="3264" spans="1:1" x14ac:dyDescent="0.2">
      <c r="A3264" s="2"/>
    </row>
    <row r="3265" spans="1:1" x14ac:dyDescent="0.2">
      <c r="A3265" s="2"/>
    </row>
    <row r="3266" spans="1:1" x14ac:dyDescent="0.2">
      <c r="A3266" s="2"/>
    </row>
    <row r="3267" spans="1:1" x14ac:dyDescent="0.2">
      <c r="A3267" s="2"/>
    </row>
    <row r="3268" spans="1:1" x14ac:dyDescent="0.2">
      <c r="A3268" s="2"/>
    </row>
    <row r="3269" spans="1:1" x14ac:dyDescent="0.2">
      <c r="A3269" s="2"/>
    </row>
    <row r="3270" spans="1:1" x14ac:dyDescent="0.2">
      <c r="A3270" s="2"/>
    </row>
    <row r="3271" spans="1:1" x14ac:dyDescent="0.2">
      <c r="A3271" s="2"/>
    </row>
    <row r="3272" spans="1:1" x14ac:dyDescent="0.2">
      <c r="A3272" s="2"/>
    </row>
    <row r="3273" spans="1:1" x14ac:dyDescent="0.2">
      <c r="A3273" s="2"/>
    </row>
    <row r="3274" spans="1:1" x14ac:dyDescent="0.2">
      <c r="A3274" s="2"/>
    </row>
    <row r="3275" spans="1:1" x14ac:dyDescent="0.2">
      <c r="A3275" s="2"/>
    </row>
    <row r="3276" spans="1:1" x14ac:dyDescent="0.2">
      <c r="A3276" s="2"/>
    </row>
    <row r="3277" spans="1:1" x14ac:dyDescent="0.2">
      <c r="A3277" s="2"/>
    </row>
    <row r="3278" spans="1:1" x14ac:dyDescent="0.2">
      <c r="A3278" s="2"/>
    </row>
    <row r="3279" spans="1:1" x14ac:dyDescent="0.2">
      <c r="A3279" s="2"/>
    </row>
    <row r="3280" spans="1:1" x14ac:dyDescent="0.2">
      <c r="A3280" s="2"/>
    </row>
    <row r="3281" spans="1:1" x14ac:dyDescent="0.2">
      <c r="A3281" s="2"/>
    </row>
    <row r="3282" spans="1:1" x14ac:dyDescent="0.2">
      <c r="A3282" s="2"/>
    </row>
    <row r="3283" spans="1:1" x14ac:dyDescent="0.2">
      <c r="A3283" s="2"/>
    </row>
    <row r="3284" spans="1:1" x14ac:dyDescent="0.2">
      <c r="A3284" s="2"/>
    </row>
    <row r="3285" spans="1:1" x14ac:dyDescent="0.2">
      <c r="A3285" s="2"/>
    </row>
    <row r="3286" spans="1:1" x14ac:dyDescent="0.2">
      <c r="A3286" s="2"/>
    </row>
    <row r="3287" spans="1:1" x14ac:dyDescent="0.2">
      <c r="A3287" s="2"/>
    </row>
    <row r="3288" spans="1:1" x14ac:dyDescent="0.2">
      <c r="A3288" s="2"/>
    </row>
    <row r="3289" spans="1:1" x14ac:dyDescent="0.2">
      <c r="A3289" s="2"/>
    </row>
    <row r="3290" spans="1:1" x14ac:dyDescent="0.2">
      <c r="A3290" s="2"/>
    </row>
    <row r="3291" spans="1:1" x14ac:dyDescent="0.2">
      <c r="A3291" s="2"/>
    </row>
    <row r="3292" spans="1:1" x14ac:dyDescent="0.2">
      <c r="A3292" s="2"/>
    </row>
    <row r="3293" spans="1:1" x14ac:dyDescent="0.2">
      <c r="A3293" s="2"/>
    </row>
    <row r="3294" spans="1:1" x14ac:dyDescent="0.2">
      <c r="A3294" s="2"/>
    </row>
    <row r="3295" spans="1:1" x14ac:dyDescent="0.2">
      <c r="A3295" s="2"/>
    </row>
    <row r="3296" spans="1:1" x14ac:dyDescent="0.2">
      <c r="A3296" s="2"/>
    </row>
    <row r="3297" spans="1:1" x14ac:dyDescent="0.2">
      <c r="A3297" s="2"/>
    </row>
    <row r="3298" spans="1:1" x14ac:dyDescent="0.2">
      <c r="A3298" s="2"/>
    </row>
    <row r="3299" spans="1:1" x14ac:dyDescent="0.2">
      <c r="A3299" s="2"/>
    </row>
    <row r="3300" spans="1:1" x14ac:dyDescent="0.2">
      <c r="A3300" s="2"/>
    </row>
    <row r="3301" spans="1:1" x14ac:dyDescent="0.2">
      <c r="A3301" s="2"/>
    </row>
    <row r="3302" spans="1:1" x14ac:dyDescent="0.2">
      <c r="A3302" s="2"/>
    </row>
    <row r="3303" spans="1:1" x14ac:dyDescent="0.2">
      <c r="A3303" s="2"/>
    </row>
    <row r="3304" spans="1:1" x14ac:dyDescent="0.2">
      <c r="A3304" s="2"/>
    </row>
    <row r="3305" spans="1:1" x14ac:dyDescent="0.2">
      <c r="A3305" s="2"/>
    </row>
    <row r="3306" spans="1:1" x14ac:dyDescent="0.2">
      <c r="A3306" s="2"/>
    </row>
    <row r="3307" spans="1:1" x14ac:dyDescent="0.2">
      <c r="A3307" s="2"/>
    </row>
    <row r="3308" spans="1:1" x14ac:dyDescent="0.2">
      <c r="A3308" s="2"/>
    </row>
    <row r="3309" spans="1:1" x14ac:dyDescent="0.2">
      <c r="A3309" s="2"/>
    </row>
    <row r="3310" spans="1:1" x14ac:dyDescent="0.2">
      <c r="A3310" s="2"/>
    </row>
    <row r="3311" spans="1:1" x14ac:dyDescent="0.2">
      <c r="A3311" s="2"/>
    </row>
    <row r="3312" spans="1:1" x14ac:dyDescent="0.2">
      <c r="A3312" s="2"/>
    </row>
    <row r="3313" spans="1:1" x14ac:dyDescent="0.2">
      <c r="A3313" s="2"/>
    </row>
    <row r="3314" spans="1:1" x14ac:dyDescent="0.2">
      <c r="A3314" s="2"/>
    </row>
    <row r="3315" spans="1:1" x14ac:dyDescent="0.2">
      <c r="A3315" s="2"/>
    </row>
    <row r="3316" spans="1:1" x14ac:dyDescent="0.2">
      <c r="A3316" s="2"/>
    </row>
    <row r="3317" spans="1:1" x14ac:dyDescent="0.2">
      <c r="A3317" s="2"/>
    </row>
    <row r="3318" spans="1:1" x14ac:dyDescent="0.2">
      <c r="A3318" s="2"/>
    </row>
    <row r="3319" spans="1:1" x14ac:dyDescent="0.2">
      <c r="A3319" s="2"/>
    </row>
    <row r="3320" spans="1:1" x14ac:dyDescent="0.2">
      <c r="A3320" s="2"/>
    </row>
    <row r="3321" spans="1:1" x14ac:dyDescent="0.2">
      <c r="A3321" s="2"/>
    </row>
    <row r="3322" spans="1:1" x14ac:dyDescent="0.2">
      <c r="A3322" s="2"/>
    </row>
    <row r="3323" spans="1:1" x14ac:dyDescent="0.2">
      <c r="A3323" s="2"/>
    </row>
    <row r="3324" spans="1:1" x14ac:dyDescent="0.2">
      <c r="A3324" s="2"/>
    </row>
    <row r="3325" spans="1:1" x14ac:dyDescent="0.2">
      <c r="A3325" s="2"/>
    </row>
    <row r="3326" spans="1:1" x14ac:dyDescent="0.2">
      <c r="A3326" s="2"/>
    </row>
    <row r="3327" spans="1:1" x14ac:dyDescent="0.2">
      <c r="A3327" s="2"/>
    </row>
    <row r="3328" spans="1:1" x14ac:dyDescent="0.2">
      <c r="A3328" s="2"/>
    </row>
    <row r="3329" spans="1:1" x14ac:dyDescent="0.2">
      <c r="A3329" s="2"/>
    </row>
    <row r="3330" spans="1:1" x14ac:dyDescent="0.2">
      <c r="A3330" s="2"/>
    </row>
    <row r="3331" spans="1:1" x14ac:dyDescent="0.2">
      <c r="A3331" s="2"/>
    </row>
    <row r="3332" spans="1:1" x14ac:dyDescent="0.2">
      <c r="A3332" s="2"/>
    </row>
    <row r="3333" spans="1:1" x14ac:dyDescent="0.2">
      <c r="A3333" s="2"/>
    </row>
    <row r="3334" spans="1:1" x14ac:dyDescent="0.2">
      <c r="A3334" s="2"/>
    </row>
    <row r="3335" spans="1:1" x14ac:dyDescent="0.2">
      <c r="A3335" s="2"/>
    </row>
    <row r="3336" spans="1:1" x14ac:dyDescent="0.2">
      <c r="A3336" s="2"/>
    </row>
    <row r="3337" spans="1:1" x14ac:dyDescent="0.2">
      <c r="A3337" s="2"/>
    </row>
    <row r="3338" spans="1:1" x14ac:dyDescent="0.2">
      <c r="A3338" s="2"/>
    </row>
    <row r="3339" spans="1:1" x14ac:dyDescent="0.2">
      <c r="A3339" s="2"/>
    </row>
    <row r="3340" spans="1:1" x14ac:dyDescent="0.2">
      <c r="A3340" s="2"/>
    </row>
    <row r="3341" spans="1:1" x14ac:dyDescent="0.2">
      <c r="A3341" s="2"/>
    </row>
    <row r="3342" spans="1:1" x14ac:dyDescent="0.2">
      <c r="A3342" s="2"/>
    </row>
    <row r="3343" spans="1:1" x14ac:dyDescent="0.2">
      <c r="A3343" s="2"/>
    </row>
    <row r="3344" spans="1:1" x14ac:dyDescent="0.2">
      <c r="A3344" s="2"/>
    </row>
    <row r="3345" spans="1:1" x14ac:dyDescent="0.2">
      <c r="A3345" s="2"/>
    </row>
    <row r="3346" spans="1:1" x14ac:dyDescent="0.2">
      <c r="A3346" s="2"/>
    </row>
    <row r="3347" spans="1:1" x14ac:dyDescent="0.2">
      <c r="A3347" s="2"/>
    </row>
    <row r="3348" spans="1:1" x14ac:dyDescent="0.2">
      <c r="A3348" s="2"/>
    </row>
    <row r="3349" spans="1:1" x14ac:dyDescent="0.2">
      <c r="A3349" s="2"/>
    </row>
    <row r="3350" spans="1:1" x14ac:dyDescent="0.2">
      <c r="A3350" s="2"/>
    </row>
    <row r="3351" spans="1:1" x14ac:dyDescent="0.2">
      <c r="A3351" s="2"/>
    </row>
    <row r="3352" spans="1:1" x14ac:dyDescent="0.2">
      <c r="A3352" s="2"/>
    </row>
    <row r="3353" spans="1:1" x14ac:dyDescent="0.2">
      <c r="A3353" s="2"/>
    </row>
    <row r="3354" spans="1:1" x14ac:dyDescent="0.2">
      <c r="A3354" s="2"/>
    </row>
    <row r="3355" spans="1:1" x14ac:dyDescent="0.2">
      <c r="A3355" s="2"/>
    </row>
    <row r="3356" spans="1:1" x14ac:dyDescent="0.2">
      <c r="A3356" s="2"/>
    </row>
    <row r="3357" spans="1:1" x14ac:dyDescent="0.2">
      <c r="A3357" s="2"/>
    </row>
    <row r="3358" spans="1:1" x14ac:dyDescent="0.2">
      <c r="A3358" s="2"/>
    </row>
    <row r="3359" spans="1:1" x14ac:dyDescent="0.2">
      <c r="A3359" s="2"/>
    </row>
    <row r="3360" spans="1:1" x14ac:dyDescent="0.2">
      <c r="A3360" s="2"/>
    </row>
    <row r="3361" spans="1:1" x14ac:dyDescent="0.2">
      <c r="A3361" s="2"/>
    </row>
    <row r="3362" spans="1:1" x14ac:dyDescent="0.2">
      <c r="A3362" s="2"/>
    </row>
    <row r="3363" spans="1:1" x14ac:dyDescent="0.2">
      <c r="A3363" s="2"/>
    </row>
    <row r="3364" spans="1:1" x14ac:dyDescent="0.2">
      <c r="A3364" s="2"/>
    </row>
    <row r="3365" spans="1:1" x14ac:dyDescent="0.2">
      <c r="A3365" s="2"/>
    </row>
    <row r="3366" spans="1:1" x14ac:dyDescent="0.2">
      <c r="A3366" s="2"/>
    </row>
    <row r="3367" spans="1:1" x14ac:dyDescent="0.2">
      <c r="A3367" s="2"/>
    </row>
    <row r="3368" spans="1:1" x14ac:dyDescent="0.2">
      <c r="A3368" s="2"/>
    </row>
    <row r="3369" spans="1:1" x14ac:dyDescent="0.2">
      <c r="A3369" s="2"/>
    </row>
    <row r="3370" spans="1:1" x14ac:dyDescent="0.2">
      <c r="A3370" s="2"/>
    </row>
    <row r="3371" spans="1:1" x14ac:dyDescent="0.2">
      <c r="A3371" s="2"/>
    </row>
    <row r="3372" spans="1:1" x14ac:dyDescent="0.2">
      <c r="A3372" s="2"/>
    </row>
    <row r="3373" spans="1:1" x14ac:dyDescent="0.2">
      <c r="A3373" s="2"/>
    </row>
    <row r="3374" spans="1:1" x14ac:dyDescent="0.2">
      <c r="A3374" s="2"/>
    </row>
    <row r="3375" spans="1:1" x14ac:dyDescent="0.2">
      <c r="A3375" s="2"/>
    </row>
    <row r="3376" spans="1:1" x14ac:dyDescent="0.2">
      <c r="A3376" s="2"/>
    </row>
    <row r="3377" spans="1:1" x14ac:dyDescent="0.2">
      <c r="A3377" s="2"/>
    </row>
    <row r="3378" spans="1:1" x14ac:dyDescent="0.2">
      <c r="A3378" s="2"/>
    </row>
    <row r="3379" spans="1:1" x14ac:dyDescent="0.2">
      <c r="A3379" s="2"/>
    </row>
    <row r="3380" spans="1:1" x14ac:dyDescent="0.2">
      <c r="A3380" s="2"/>
    </row>
    <row r="3381" spans="1:1" x14ac:dyDescent="0.2">
      <c r="A3381" s="2"/>
    </row>
    <row r="3382" spans="1:1" x14ac:dyDescent="0.2">
      <c r="A3382" s="2"/>
    </row>
    <row r="3383" spans="1:1" x14ac:dyDescent="0.2">
      <c r="A3383" s="2"/>
    </row>
    <row r="3384" spans="1:1" x14ac:dyDescent="0.2">
      <c r="A3384" s="2"/>
    </row>
    <row r="3385" spans="1:1" x14ac:dyDescent="0.2">
      <c r="A3385" s="2"/>
    </row>
    <row r="3386" spans="1:1" x14ac:dyDescent="0.2">
      <c r="A3386" s="2"/>
    </row>
    <row r="3387" spans="1:1" x14ac:dyDescent="0.2">
      <c r="A3387" s="2"/>
    </row>
    <row r="3388" spans="1:1" x14ac:dyDescent="0.2">
      <c r="A3388" s="2"/>
    </row>
    <row r="3389" spans="1:1" x14ac:dyDescent="0.2">
      <c r="A3389" s="2"/>
    </row>
    <row r="3390" spans="1:1" x14ac:dyDescent="0.2">
      <c r="A3390" s="2"/>
    </row>
    <row r="3391" spans="1:1" x14ac:dyDescent="0.2">
      <c r="A3391" s="2"/>
    </row>
    <row r="3392" spans="1:1" x14ac:dyDescent="0.2">
      <c r="A3392" s="2"/>
    </row>
    <row r="3393" spans="1:1" x14ac:dyDescent="0.2">
      <c r="A3393" s="2"/>
    </row>
    <row r="3394" spans="1:1" x14ac:dyDescent="0.2">
      <c r="A3394" s="2"/>
    </row>
    <row r="3395" spans="1:1" x14ac:dyDescent="0.2">
      <c r="A3395" s="2"/>
    </row>
    <row r="3396" spans="1:1" x14ac:dyDescent="0.2">
      <c r="A3396" s="2"/>
    </row>
    <row r="3397" spans="1:1" x14ac:dyDescent="0.2">
      <c r="A3397" s="2"/>
    </row>
    <row r="3398" spans="1:1" x14ac:dyDescent="0.2">
      <c r="A3398" s="2"/>
    </row>
    <row r="3399" spans="1:1" x14ac:dyDescent="0.2">
      <c r="A3399" s="2"/>
    </row>
    <row r="3400" spans="1:1" x14ac:dyDescent="0.2">
      <c r="A3400" s="2"/>
    </row>
    <row r="3401" spans="1:1" x14ac:dyDescent="0.2">
      <c r="A3401" s="2"/>
    </row>
    <row r="3402" spans="1:1" x14ac:dyDescent="0.2">
      <c r="A3402" s="2"/>
    </row>
    <row r="3403" spans="1:1" x14ac:dyDescent="0.2">
      <c r="A3403" s="2"/>
    </row>
    <row r="3404" spans="1:1" x14ac:dyDescent="0.2">
      <c r="A3404" s="2"/>
    </row>
    <row r="3405" spans="1:1" x14ac:dyDescent="0.2">
      <c r="A3405" s="2"/>
    </row>
    <row r="3406" spans="1:1" x14ac:dyDescent="0.2">
      <c r="A3406" s="2"/>
    </row>
    <row r="3407" spans="1:1" x14ac:dyDescent="0.2">
      <c r="A3407" s="2"/>
    </row>
    <row r="3408" spans="1:1" x14ac:dyDescent="0.2">
      <c r="A3408" s="2"/>
    </row>
    <row r="3409" spans="1:1" x14ac:dyDescent="0.2">
      <c r="A3409" s="2"/>
    </row>
    <row r="3410" spans="1:1" x14ac:dyDescent="0.2">
      <c r="A3410" s="2"/>
    </row>
    <row r="3411" spans="1:1" x14ac:dyDescent="0.2">
      <c r="A3411" s="2"/>
    </row>
    <row r="3412" spans="1:1" x14ac:dyDescent="0.2">
      <c r="A3412" s="2"/>
    </row>
    <row r="3413" spans="1:1" x14ac:dyDescent="0.2">
      <c r="A3413" s="2"/>
    </row>
    <row r="3414" spans="1:1" x14ac:dyDescent="0.2">
      <c r="A3414" s="2"/>
    </row>
    <row r="3415" spans="1:1" x14ac:dyDescent="0.2">
      <c r="A3415" s="2"/>
    </row>
    <row r="3416" spans="1:1" x14ac:dyDescent="0.2">
      <c r="A3416" s="2"/>
    </row>
    <row r="3417" spans="1:1" x14ac:dyDescent="0.2">
      <c r="A3417" s="2"/>
    </row>
    <row r="3418" spans="1:1" x14ac:dyDescent="0.2">
      <c r="A3418" s="2"/>
    </row>
    <row r="3419" spans="1:1" x14ac:dyDescent="0.2">
      <c r="A3419" s="2"/>
    </row>
    <row r="3420" spans="1:1" x14ac:dyDescent="0.2">
      <c r="A3420" s="2"/>
    </row>
    <row r="3421" spans="1:1" x14ac:dyDescent="0.2">
      <c r="A3421" s="2"/>
    </row>
    <row r="3422" spans="1:1" x14ac:dyDescent="0.2">
      <c r="A3422" s="2"/>
    </row>
    <row r="3423" spans="1:1" x14ac:dyDescent="0.2">
      <c r="A3423" s="2"/>
    </row>
    <row r="3424" spans="1:1" x14ac:dyDescent="0.2">
      <c r="A3424" s="2"/>
    </row>
    <row r="3425" spans="1:1" x14ac:dyDescent="0.2">
      <c r="A3425" s="2"/>
    </row>
    <row r="3426" spans="1:1" x14ac:dyDescent="0.2">
      <c r="A3426" s="2"/>
    </row>
    <row r="3427" spans="1:1" x14ac:dyDescent="0.2">
      <c r="A3427" s="2"/>
    </row>
    <row r="3428" spans="1:1" x14ac:dyDescent="0.2">
      <c r="A3428" s="2"/>
    </row>
    <row r="3429" spans="1:1" x14ac:dyDescent="0.2">
      <c r="A3429" s="2"/>
    </row>
    <row r="3430" spans="1:1" x14ac:dyDescent="0.2">
      <c r="A3430" s="2"/>
    </row>
    <row r="3431" spans="1:1" x14ac:dyDescent="0.2">
      <c r="A3431" s="2"/>
    </row>
    <row r="3432" spans="1:1" x14ac:dyDescent="0.2">
      <c r="A3432" s="2"/>
    </row>
    <row r="3433" spans="1:1" x14ac:dyDescent="0.2">
      <c r="A3433" s="2"/>
    </row>
    <row r="3434" spans="1:1" x14ac:dyDescent="0.2">
      <c r="A3434" s="2"/>
    </row>
    <row r="3435" spans="1:1" x14ac:dyDescent="0.2">
      <c r="A3435" s="2"/>
    </row>
    <row r="3436" spans="1:1" x14ac:dyDescent="0.2">
      <c r="A3436" s="2"/>
    </row>
    <row r="3437" spans="1:1" x14ac:dyDescent="0.2">
      <c r="A3437" s="2"/>
    </row>
    <row r="3438" spans="1:1" x14ac:dyDescent="0.2">
      <c r="A3438" s="2"/>
    </row>
    <row r="3439" spans="1:1" x14ac:dyDescent="0.2">
      <c r="A3439" s="2"/>
    </row>
    <row r="3440" spans="1:1" x14ac:dyDescent="0.2">
      <c r="A3440" s="2"/>
    </row>
    <row r="3441" spans="1:1" x14ac:dyDescent="0.2">
      <c r="A3441" s="2"/>
    </row>
    <row r="3442" spans="1:1" x14ac:dyDescent="0.2">
      <c r="A3442" s="2"/>
    </row>
    <row r="3443" spans="1:1" x14ac:dyDescent="0.2">
      <c r="A3443" s="2"/>
    </row>
    <row r="3444" spans="1:1" x14ac:dyDescent="0.2">
      <c r="A3444" s="2"/>
    </row>
    <row r="3445" spans="1:1" x14ac:dyDescent="0.2">
      <c r="A3445" s="2"/>
    </row>
    <row r="3446" spans="1:1" x14ac:dyDescent="0.2">
      <c r="A3446" s="2"/>
    </row>
    <row r="3447" spans="1:1" x14ac:dyDescent="0.2">
      <c r="A3447" s="2"/>
    </row>
    <row r="3448" spans="1:1" x14ac:dyDescent="0.2">
      <c r="A3448" s="2"/>
    </row>
    <row r="3449" spans="1:1" x14ac:dyDescent="0.2">
      <c r="A3449" s="2"/>
    </row>
    <row r="3450" spans="1:1" x14ac:dyDescent="0.2">
      <c r="A3450" s="2"/>
    </row>
    <row r="3451" spans="1:1" x14ac:dyDescent="0.2">
      <c r="A3451" s="2"/>
    </row>
    <row r="3452" spans="1:1" x14ac:dyDescent="0.2">
      <c r="A3452" s="2"/>
    </row>
    <row r="3453" spans="1:1" x14ac:dyDescent="0.2">
      <c r="A3453" s="2"/>
    </row>
    <row r="3454" spans="1:1" x14ac:dyDescent="0.2">
      <c r="A3454" s="2"/>
    </row>
    <row r="3455" spans="1:1" x14ac:dyDescent="0.2">
      <c r="A3455" s="2"/>
    </row>
    <row r="3456" spans="1:1" x14ac:dyDescent="0.2">
      <c r="A3456" s="2"/>
    </row>
    <row r="3457" spans="1:1" x14ac:dyDescent="0.2">
      <c r="A3457" s="2"/>
    </row>
    <row r="3458" spans="1:1" x14ac:dyDescent="0.2">
      <c r="A3458" s="2"/>
    </row>
    <row r="3459" spans="1:1" x14ac:dyDescent="0.2">
      <c r="A3459" s="2"/>
    </row>
    <row r="3460" spans="1:1" x14ac:dyDescent="0.2">
      <c r="A3460" s="2"/>
    </row>
    <row r="3461" spans="1:1" x14ac:dyDescent="0.2">
      <c r="A3461" s="2"/>
    </row>
    <row r="3462" spans="1:1" x14ac:dyDescent="0.2">
      <c r="A3462" s="2"/>
    </row>
    <row r="3463" spans="1:1" x14ac:dyDescent="0.2">
      <c r="A3463" s="2"/>
    </row>
    <row r="3464" spans="1:1" x14ac:dyDescent="0.2">
      <c r="A3464" s="2"/>
    </row>
    <row r="3465" spans="1:1" x14ac:dyDescent="0.2">
      <c r="A3465" s="2"/>
    </row>
    <row r="3466" spans="1:1" x14ac:dyDescent="0.2">
      <c r="A3466" s="2"/>
    </row>
    <row r="3467" spans="1:1" x14ac:dyDescent="0.2">
      <c r="A3467" s="2"/>
    </row>
    <row r="3468" spans="1:1" x14ac:dyDescent="0.2">
      <c r="A3468" s="2"/>
    </row>
    <row r="3469" spans="1:1" x14ac:dyDescent="0.2">
      <c r="A3469" s="2"/>
    </row>
    <row r="3470" spans="1:1" x14ac:dyDescent="0.2">
      <c r="A3470" s="2"/>
    </row>
    <row r="3471" spans="1:1" x14ac:dyDescent="0.2">
      <c r="A3471" s="2"/>
    </row>
    <row r="3472" spans="1:1" x14ac:dyDescent="0.2">
      <c r="A3472" s="2"/>
    </row>
    <row r="3473" spans="1:1" x14ac:dyDescent="0.2">
      <c r="A3473" s="2"/>
    </row>
    <row r="3474" spans="1:1" x14ac:dyDescent="0.2">
      <c r="A3474" s="2"/>
    </row>
    <row r="3475" spans="1:1" x14ac:dyDescent="0.2">
      <c r="A3475" s="2"/>
    </row>
    <row r="3476" spans="1:1" x14ac:dyDescent="0.2">
      <c r="A3476" s="2"/>
    </row>
    <row r="3477" spans="1:1" x14ac:dyDescent="0.2">
      <c r="A3477" s="2"/>
    </row>
    <row r="3478" spans="1:1" x14ac:dyDescent="0.2">
      <c r="A3478" s="2"/>
    </row>
    <row r="3479" spans="1:1" x14ac:dyDescent="0.2">
      <c r="A3479" s="2"/>
    </row>
    <row r="3480" spans="1:1" x14ac:dyDescent="0.2">
      <c r="A3480" s="2"/>
    </row>
    <row r="3481" spans="1:1" x14ac:dyDescent="0.2">
      <c r="A3481" s="2"/>
    </row>
    <row r="3482" spans="1:1" x14ac:dyDescent="0.2">
      <c r="A3482" s="2"/>
    </row>
    <row r="3483" spans="1:1" x14ac:dyDescent="0.2">
      <c r="A3483" s="2"/>
    </row>
    <row r="3484" spans="1:1" x14ac:dyDescent="0.2">
      <c r="A3484" s="2"/>
    </row>
    <row r="3485" spans="1:1" x14ac:dyDescent="0.2">
      <c r="A3485" s="2"/>
    </row>
    <row r="3486" spans="1:1" x14ac:dyDescent="0.2">
      <c r="A3486" s="2"/>
    </row>
    <row r="3487" spans="1:1" x14ac:dyDescent="0.2">
      <c r="A3487" s="2"/>
    </row>
    <row r="3488" spans="1:1" x14ac:dyDescent="0.2">
      <c r="A3488" s="2"/>
    </row>
    <row r="3489" spans="1:1" x14ac:dyDescent="0.2">
      <c r="A3489" s="2"/>
    </row>
    <row r="3490" spans="1:1" x14ac:dyDescent="0.2">
      <c r="A3490" s="2"/>
    </row>
    <row r="3491" spans="1:1" x14ac:dyDescent="0.2">
      <c r="A3491" s="2"/>
    </row>
    <row r="3492" spans="1:1" x14ac:dyDescent="0.2">
      <c r="A3492" s="2"/>
    </row>
    <row r="3493" spans="1:1" x14ac:dyDescent="0.2">
      <c r="A3493" s="2"/>
    </row>
    <row r="3494" spans="1:1" x14ac:dyDescent="0.2">
      <c r="A3494" s="2"/>
    </row>
    <row r="3495" spans="1:1" x14ac:dyDescent="0.2">
      <c r="A3495" s="2"/>
    </row>
    <row r="3496" spans="1:1" x14ac:dyDescent="0.2">
      <c r="A3496" s="2"/>
    </row>
    <row r="3497" spans="1:1" x14ac:dyDescent="0.2">
      <c r="A3497" s="2"/>
    </row>
    <row r="3498" spans="1:1" x14ac:dyDescent="0.2">
      <c r="A3498" s="2"/>
    </row>
    <row r="3499" spans="1:1" x14ac:dyDescent="0.2">
      <c r="A3499" s="2"/>
    </row>
    <row r="3500" spans="1:1" x14ac:dyDescent="0.2">
      <c r="A3500" s="2"/>
    </row>
    <row r="3501" spans="1:1" x14ac:dyDescent="0.2">
      <c r="A3501" s="2"/>
    </row>
    <row r="3502" spans="1:1" x14ac:dyDescent="0.2">
      <c r="A3502" s="2"/>
    </row>
    <row r="3503" spans="1:1" x14ac:dyDescent="0.2">
      <c r="A3503" s="2"/>
    </row>
    <row r="3504" spans="1:1" x14ac:dyDescent="0.2">
      <c r="A3504" s="2"/>
    </row>
    <row r="3505" spans="1:1" x14ac:dyDescent="0.2">
      <c r="A3505" s="2"/>
    </row>
    <row r="3506" spans="1:1" x14ac:dyDescent="0.2">
      <c r="A3506" s="2"/>
    </row>
    <row r="3507" spans="1:1" x14ac:dyDescent="0.2">
      <c r="A3507" s="2"/>
    </row>
    <row r="3508" spans="1:1" x14ac:dyDescent="0.2">
      <c r="A3508" s="2"/>
    </row>
    <row r="3509" spans="1:1" x14ac:dyDescent="0.2">
      <c r="A3509" s="2"/>
    </row>
    <row r="3510" spans="1:1" x14ac:dyDescent="0.2">
      <c r="A3510" s="2"/>
    </row>
    <row r="3511" spans="1:1" x14ac:dyDescent="0.2">
      <c r="A3511" s="2"/>
    </row>
    <row r="3512" spans="1:1" x14ac:dyDescent="0.2">
      <c r="A3512" s="2"/>
    </row>
    <row r="3513" spans="1:1" x14ac:dyDescent="0.2">
      <c r="A3513" s="2"/>
    </row>
    <row r="3514" spans="1:1" x14ac:dyDescent="0.2">
      <c r="A3514" s="2"/>
    </row>
    <row r="3515" spans="1:1" x14ac:dyDescent="0.2">
      <c r="A3515" s="2"/>
    </row>
    <row r="3516" spans="1:1" x14ac:dyDescent="0.2">
      <c r="A3516" s="2"/>
    </row>
    <row r="3517" spans="1:1" x14ac:dyDescent="0.2">
      <c r="A3517" s="2"/>
    </row>
    <row r="3518" spans="1:1" x14ac:dyDescent="0.2">
      <c r="A3518" s="2"/>
    </row>
    <row r="3519" spans="1:1" x14ac:dyDescent="0.2">
      <c r="A3519" s="2"/>
    </row>
    <row r="3520" spans="1:1" x14ac:dyDescent="0.2">
      <c r="A3520" s="2"/>
    </row>
    <row r="3521" spans="1:1" x14ac:dyDescent="0.2">
      <c r="A3521" s="2"/>
    </row>
    <row r="3522" spans="1:1" x14ac:dyDescent="0.2">
      <c r="A3522" s="2"/>
    </row>
    <row r="3523" spans="1:1" x14ac:dyDescent="0.2">
      <c r="A3523" s="2"/>
    </row>
    <row r="3524" spans="1:1" x14ac:dyDescent="0.2">
      <c r="A3524" s="2"/>
    </row>
    <row r="3525" spans="1:1" x14ac:dyDescent="0.2">
      <c r="A3525" s="2"/>
    </row>
    <row r="3526" spans="1:1" x14ac:dyDescent="0.2">
      <c r="A3526" s="2"/>
    </row>
    <row r="3527" spans="1:1" x14ac:dyDescent="0.2">
      <c r="A3527" s="2"/>
    </row>
    <row r="3528" spans="1:1" x14ac:dyDescent="0.2">
      <c r="A3528" s="2"/>
    </row>
    <row r="3529" spans="1:1" x14ac:dyDescent="0.2">
      <c r="A3529" s="2"/>
    </row>
    <row r="3530" spans="1:1" x14ac:dyDescent="0.2">
      <c r="A3530" s="2"/>
    </row>
    <row r="3531" spans="1:1" x14ac:dyDescent="0.2">
      <c r="A3531" s="2"/>
    </row>
    <row r="3532" spans="1:1" x14ac:dyDescent="0.2">
      <c r="A3532" s="2"/>
    </row>
    <row r="3533" spans="1:1" x14ac:dyDescent="0.2">
      <c r="A3533" s="2"/>
    </row>
    <row r="3534" spans="1:1" x14ac:dyDescent="0.2">
      <c r="A3534" s="2"/>
    </row>
    <row r="3535" spans="1:1" x14ac:dyDescent="0.2">
      <c r="A3535" s="2"/>
    </row>
    <row r="3536" spans="1:1" x14ac:dyDescent="0.2">
      <c r="A3536" s="2"/>
    </row>
    <row r="3537" spans="1:1" x14ac:dyDescent="0.2">
      <c r="A3537" s="2"/>
    </row>
    <row r="3538" spans="1:1" x14ac:dyDescent="0.2">
      <c r="A3538" s="2"/>
    </row>
    <row r="3539" spans="1:1" x14ac:dyDescent="0.2">
      <c r="A3539" s="2"/>
    </row>
    <row r="3540" spans="1:1" x14ac:dyDescent="0.2">
      <c r="A3540" s="2"/>
    </row>
    <row r="3541" spans="1:1" x14ac:dyDescent="0.2">
      <c r="A3541" s="2"/>
    </row>
    <row r="3542" spans="1:1" x14ac:dyDescent="0.2">
      <c r="A3542" s="2"/>
    </row>
    <row r="3543" spans="1:1" x14ac:dyDescent="0.2">
      <c r="A3543" s="2"/>
    </row>
    <row r="3544" spans="1:1" x14ac:dyDescent="0.2">
      <c r="A3544" s="2"/>
    </row>
    <row r="3545" spans="1:1" x14ac:dyDescent="0.2">
      <c r="A3545" s="2"/>
    </row>
    <row r="3546" spans="1:1" x14ac:dyDescent="0.2">
      <c r="A3546" s="2"/>
    </row>
    <row r="3547" spans="1:1" x14ac:dyDescent="0.2">
      <c r="A3547" s="2"/>
    </row>
    <row r="3548" spans="1:1" x14ac:dyDescent="0.2">
      <c r="A3548" s="2"/>
    </row>
    <row r="3549" spans="1:1" x14ac:dyDescent="0.2">
      <c r="A3549" s="2"/>
    </row>
    <row r="3550" spans="1:1" x14ac:dyDescent="0.2">
      <c r="A3550" s="2"/>
    </row>
    <row r="3551" spans="1:1" x14ac:dyDescent="0.2">
      <c r="A3551" s="2"/>
    </row>
    <row r="3552" spans="1:1" x14ac:dyDescent="0.2">
      <c r="A3552" s="2"/>
    </row>
    <row r="3553" spans="1:1" x14ac:dyDescent="0.2">
      <c r="A3553" s="2"/>
    </row>
    <row r="3554" spans="1:1" x14ac:dyDescent="0.2">
      <c r="A3554" s="2"/>
    </row>
    <row r="3555" spans="1:1" x14ac:dyDescent="0.2">
      <c r="A3555" s="2"/>
    </row>
    <row r="3556" spans="1:1" x14ac:dyDescent="0.2">
      <c r="A3556" s="2"/>
    </row>
    <row r="3557" spans="1:1" x14ac:dyDescent="0.2">
      <c r="A3557" s="2"/>
    </row>
    <row r="3558" spans="1:1" x14ac:dyDescent="0.2">
      <c r="A3558" s="2"/>
    </row>
    <row r="3559" spans="1:1" x14ac:dyDescent="0.2">
      <c r="A3559" s="2"/>
    </row>
    <row r="3560" spans="1:1" x14ac:dyDescent="0.2">
      <c r="A3560" s="2"/>
    </row>
    <row r="3561" spans="1:1" x14ac:dyDescent="0.2">
      <c r="A3561" s="2"/>
    </row>
    <row r="3562" spans="1:1" x14ac:dyDescent="0.2">
      <c r="A3562" s="2"/>
    </row>
    <row r="3563" spans="1:1" x14ac:dyDescent="0.2">
      <c r="A3563" s="2"/>
    </row>
    <row r="3564" spans="1:1" x14ac:dyDescent="0.2">
      <c r="A3564" s="2"/>
    </row>
    <row r="3565" spans="1:1" x14ac:dyDescent="0.2">
      <c r="A3565" s="2"/>
    </row>
    <row r="3566" spans="1:1" x14ac:dyDescent="0.2">
      <c r="A3566" s="2"/>
    </row>
    <row r="3567" spans="1:1" x14ac:dyDescent="0.2">
      <c r="A3567" s="2"/>
    </row>
    <row r="3568" spans="1:1" x14ac:dyDescent="0.2">
      <c r="A3568" s="2"/>
    </row>
    <row r="3569" spans="1:1" x14ac:dyDescent="0.2">
      <c r="A3569" s="2"/>
    </row>
    <row r="3570" spans="1:1" x14ac:dyDescent="0.2">
      <c r="A3570" s="2"/>
    </row>
    <row r="3571" spans="1:1" x14ac:dyDescent="0.2">
      <c r="A3571" s="2"/>
    </row>
    <row r="3572" spans="1:1" x14ac:dyDescent="0.2">
      <c r="A3572" s="2"/>
    </row>
    <row r="3573" spans="1:1" x14ac:dyDescent="0.2">
      <c r="A3573" s="2"/>
    </row>
    <row r="3574" spans="1:1" x14ac:dyDescent="0.2">
      <c r="A3574" s="2"/>
    </row>
    <row r="3575" spans="1:1" x14ac:dyDescent="0.2">
      <c r="A3575" s="2"/>
    </row>
    <row r="3576" spans="1:1" x14ac:dyDescent="0.2">
      <c r="A3576" s="2"/>
    </row>
    <row r="3577" spans="1:1" x14ac:dyDescent="0.2">
      <c r="A3577" s="2"/>
    </row>
    <row r="3578" spans="1:1" x14ac:dyDescent="0.2">
      <c r="A3578" s="2"/>
    </row>
    <row r="3579" spans="1:1" x14ac:dyDescent="0.2">
      <c r="A3579" s="2"/>
    </row>
    <row r="3580" spans="1:1" x14ac:dyDescent="0.2">
      <c r="A3580" s="2"/>
    </row>
    <row r="3581" spans="1:1" x14ac:dyDescent="0.2">
      <c r="A3581" s="2"/>
    </row>
    <row r="3582" spans="1:1" x14ac:dyDescent="0.2">
      <c r="A3582" s="2"/>
    </row>
    <row r="3583" spans="1:1" x14ac:dyDescent="0.2">
      <c r="A3583" s="2"/>
    </row>
    <row r="3584" spans="1:1" x14ac:dyDescent="0.2">
      <c r="A3584" s="2"/>
    </row>
    <row r="3585" spans="1:1" x14ac:dyDescent="0.2">
      <c r="A3585" s="2"/>
    </row>
    <row r="3586" spans="1:1" x14ac:dyDescent="0.2">
      <c r="A3586" s="2"/>
    </row>
    <row r="3587" spans="1:1" x14ac:dyDescent="0.2">
      <c r="A3587" s="2"/>
    </row>
    <row r="3588" spans="1:1" x14ac:dyDescent="0.2">
      <c r="A3588" s="2"/>
    </row>
    <row r="3589" spans="1:1" x14ac:dyDescent="0.2">
      <c r="A3589" s="2"/>
    </row>
    <row r="3590" spans="1:1" x14ac:dyDescent="0.2">
      <c r="A3590" s="2"/>
    </row>
    <row r="3591" spans="1:1" x14ac:dyDescent="0.2">
      <c r="A3591" s="2"/>
    </row>
    <row r="3592" spans="1:1" x14ac:dyDescent="0.2">
      <c r="A3592" s="2"/>
    </row>
    <row r="3593" spans="1:1" x14ac:dyDescent="0.2">
      <c r="A3593" s="2"/>
    </row>
    <row r="3594" spans="1:1" x14ac:dyDescent="0.2">
      <c r="A3594" s="2"/>
    </row>
    <row r="3595" spans="1:1" x14ac:dyDescent="0.2">
      <c r="A3595" s="2"/>
    </row>
    <row r="3596" spans="1:1" x14ac:dyDescent="0.2">
      <c r="A3596" s="2"/>
    </row>
    <row r="3597" spans="1:1" x14ac:dyDescent="0.2">
      <c r="A3597" s="2"/>
    </row>
    <row r="3598" spans="1:1" x14ac:dyDescent="0.2">
      <c r="A3598" s="2"/>
    </row>
    <row r="3599" spans="1:1" x14ac:dyDescent="0.2">
      <c r="A3599" s="2"/>
    </row>
    <row r="3600" spans="1:1" x14ac:dyDescent="0.2">
      <c r="A3600" s="2"/>
    </row>
    <row r="3601" spans="1:1" x14ac:dyDescent="0.2">
      <c r="A3601" s="2"/>
    </row>
    <row r="3602" spans="1:1" x14ac:dyDescent="0.2">
      <c r="A3602" s="2"/>
    </row>
    <row r="3603" spans="1:1" x14ac:dyDescent="0.2">
      <c r="A3603" s="2"/>
    </row>
    <row r="3604" spans="1:1" x14ac:dyDescent="0.2">
      <c r="A3604" s="2"/>
    </row>
    <row r="3605" spans="1:1" x14ac:dyDescent="0.2">
      <c r="A3605" s="2"/>
    </row>
    <row r="3606" spans="1:1" x14ac:dyDescent="0.2">
      <c r="A3606" s="2"/>
    </row>
    <row r="3607" spans="1:1" x14ac:dyDescent="0.2">
      <c r="A3607" s="2"/>
    </row>
    <row r="3608" spans="1:1" x14ac:dyDescent="0.2">
      <c r="A3608" s="2"/>
    </row>
    <row r="3609" spans="1:1" x14ac:dyDescent="0.2">
      <c r="A3609" s="2"/>
    </row>
    <row r="3610" spans="1:1" x14ac:dyDescent="0.2">
      <c r="A3610" s="2"/>
    </row>
    <row r="3611" spans="1:1" x14ac:dyDescent="0.2">
      <c r="A3611" s="2"/>
    </row>
    <row r="3612" spans="1:1" x14ac:dyDescent="0.2">
      <c r="A3612" s="2"/>
    </row>
    <row r="3613" spans="1:1" x14ac:dyDescent="0.2">
      <c r="A3613" s="2"/>
    </row>
    <row r="3614" spans="1:1" x14ac:dyDescent="0.2">
      <c r="A3614" s="2"/>
    </row>
    <row r="3615" spans="1:1" x14ac:dyDescent="0.2">
      <c r="A3615" s="2"/>
    </row>
    <row r="3616" spans="1:1" x14ac:dyDescent="0.2">
      <c r="A3616" s="2"/>
    </row>
    <row r="3617" spans="1:1" x14ac:dyDescent="0.2">
      <c r="A3617" s="2"/>
    </row>
    <row r="3618" spans="1:1" x14ac:dyDescent="0.2">
      <c r="A3618" s="2"/>
    </row>
    <row r="3619" spans="1:1" x14ac:dyDescent="0.2">
      <c r="A3619" s="2"/>
    </row>
    <row r="3620" spans="1:1" x14ac:dyDescent="0.2">
      <c r="A3620" s="2"/>
    </row>
    <row r="3621" spans="1:1" x14ac:dyDescent="0.2">
      <c r="A3621" s="2"/>
    </row>
    <row r="3622" spans="1:1" x14ac:dyDescent="0.2">
      <c r="A3622" s="2"/>
    </row>
    <row r="3623" spans="1:1" x14ac:dyDescent="0.2">
      <c r="A3623" s="2"/>
    </row>
    <row r="3624" spans="1:1" x14ac:dyDescent="0.2">
      <c r="A3624" s="2"/>
    </row>
    <row r="3625" spans="1:1" x14ac:dyDescent="0.2">
      <c r="A3625" s="2"/>
    </row>
    <row r="3626" spans="1:1" x14ac:dyDescent="0.2">
      <c r="A3626" s="2"/>
    </row>
    <row r="3627" spans="1:1" x14ac:dyDescent="0.2">
      <c r="A3627" s="2"/>
    </row>
    <row r="3628" spans="1:1" x14ac:dyDescent="0.2">
      <c r="A3628" s="2"/>
    </row>
    <row r="3629" spans="1:1" x14ac:dyDescent="0.2">
      <c r="A3629" s="2"/>
    </row>
    <row r="3630" spans="1:1" x14ac:dyDescent="0.2">
      <c r="A3630" s="2"/>
    </row>
    <row r="3631" spans="1:1" x14ac:dyDescent="0.2">
      <c r="A3631" s="2"/>
    </row>
    <row r="3632" spans="1:1" x14ac:dyDescent="0.2">
      <c r="A3632" s="2"/>
    </row>
    <row r="3633" spans="1:1" x14ac:dyDescent="0.2">
      <c r="A3633" s="2"/>
    </row>
    <row r="3634" spans="1:1" x14ac:dyDescent="0.2">
      <c r="A3634" s="2"/>
    </row>
    <row r="3635" spans="1:1" x14ac:dyDescent="0.2">
      <c r="A3635" s="2"/>
    </row>
    <row r="3636" spans="1:1" x14ac:dyDescent="0.2">
      <c r="A3636" s="2"/>
    </row>
    <row r="3637" spans="1:1" x14ac:dyDescent="0.2">
      <c r="A3637" s="2"/>
    </row>
    <row r="3638" spans="1:1" x14ac:dyDescent="0.2">
      <c r="A3638" s="2"/>
    </row>
    <row r="3639" spans="1:1" x14ac:dyDescent="0.2">
      <c r="A3639" s="2"/>
    </row>
    <row r="3640" spans="1:1" x14ac:dyDescent="0.2">
      <c r="A3640" s="2"/>
    </row>
    <row r="3641" spans="1:1" x14ac:dyDescent="0.2">
      <c r="A3641" s="2"/>
    </row>
    <row r="3642" spans="1:1" x14ac:dyDescent="0.2">
      <c r="A3642" s="2"/>
    </row>
    <row r="3643" spans="1:1" x14ac:dyDescent="0.2">
      <c r="A3643" s="2"/>
    </row>
    <row r="3644" spans="1:1" x14ac:dyDescent="0.2">
      <c r="A3644" s="2"/>
    </row>
    <row r="3645" spans="1:1" x14ac:dyDescent="0.2">
      <c r="A3645" s="2"/>
    </row>
    <row r="3646" spans="1:1" x14ac:dyDescent="0.2">
      <c r="A3646" s="2"/>
    </row>
    <row r="3647" spans="1:1" x14ac:dyDescent="0.2">
      <c r="A3647" s="2"/>
    </row>
    <row r="3648" spans="1:1" x14ac:dyDescent="0.2">
      <c r="A3648" s="2"/>
    </row>
    <row r="3649" spans="1:1" x14ac:dyDescent="0.2">
      <c r="A3649" s="2"/>
    </row>
    <row r="3650" spans="1:1" x14ac:dyDescent="0.2">
      <c r="A3650" s="2"/>
    </row>
    <row r="3651" spans="1:1" x14ac:dyDescent="0.2">
      <c r="A3651" s="2"/>
    </row>
    <row r="3652" spans="1:1" x14ac:dyDescent="0.2">
      <c r="A3652" s="2"/>
    </row>
    <row r="3653" spans="1:1" x14ac:dyDescent="0.2">
      <c r="A3653" s="2"/>
    </row>
    <row r="3654" spans="1:1" x14ac:dyDescent="0.2">
      <c r="A3654" s="2"/>
    </row>
    <row r="3655" spans="1:1" x14ac:dyDescent="0.2">
      <c r="A3655" s="2"/>
    </row>
    <row r="3656" spans="1:1" x14ac:dyDescent="0.2">
      <c r="A3656" s="2"/>
    </row>
    <row r="3657" spans="1:1" x14ac:dyDescent="0.2">
      <c r="A3657" s="2"/>
    </row>
    <row r="3658" spans="1:1" x14ac:dyDescent="0.2">
      <c r="A3658" s="2"/>
    </row>
    <row r="3659" spans="1:1" x14ac:dyDescent="0.2">
      <c r="A3659" s="2"/>
    </row>
    <row r="3660" spans="1:1" x14ac:dyDescent="0.2">
      <c r="A3660" s="2"/>
    </row>
    <row r="3661" spans="1:1" x14ac:dyDescent="0.2">
      <c r="A3661" s="2"/>
    </row>
    <row r="3662" spans="1:1" x14ac:dyDescent="0.2">
      <c r="A3662" s="2"/>
    </row>
    <row r="3663" spans="1:1" x14ac:dyDescent="0.2">
      <c r="A3663" s="2"/>
    </row>
    <row r="3664" spans="1:1" x14ac:dyDescent="0.2">
      <c r="A3664" s="2"/>
    </row>
    <row r="3665" spans="1:1" x14ac:dyDescent="0.2">
      <c r="A3665" s="2"/>
    </row>
    <row r="3666" spans="1:1" x14ac:dyDescent="0.2">
      <c r="A3666" s="2"/>
    </row>
    <row r="3667" spans="1:1" x14ac:dyDescent="0.2">
      <c r="A3667" s="2"/>
    </row>
    <row r="3668" spans="1:1" x14ac:dyDescent="0.2">
      <c r="A3668" s="2"/>
    </row>
    <row r="3669" spans="1:1" x14ac:dyDescent="0.2">
      <c r="A3669" s="2"/>
    </row>
    <row r="3670" spans="1:1" x14ac:dyDescent="0.2">
      <c r="A3670" s="2"/>
    </row>
    <row r="3671" spans="1:1" x14ac:dyDescent="0.2">
      <c r="A3671" s="2"/>
    </row>
    <row r="3672" spans="1:1" x14ac:dyDescent="0.2">
      <c r="A3672" s="2"/>
    </row>
    <row r="3673" spans="1:1" x14ac:dyDescent="0.2">
      <c r="A3673" s="2"/>
    </row>
    <row r="3674" spans="1:1" x14ac:dyDescent="0.2">
      <c r="A3674" s="2"/>
    </row>
    <row r="3675" spans="1:1" x14ac:dyDescent="0.2">
      <c r="A3675" s="2"/>
    </row>
    <row r="3676" spans="1:1" x14ac:dyDescent="0.2">
      <c r="A3676" s="2"/>
    </row>
    <row r="3677" spans="1:1" x14ac:dyDescent="0.2">
      <c r="A3677" s="2"/>
    </row>
    <row r="3678" spans="1:1" x14ac:dyDescent="0.2">
      <c r="A3678" s="2"/>
    </row>
    <row r="3679" spans="1:1" x14ac:dyDescent="0.2">
      <c r="A3679" s="2"/>
    </row>
    <row r="3680" spans="1:1" x14ac:dyDescent="0.2">
      <c r="A3680" s="2"/>
    </row>
    <row r="3681" spans="1:1" x14ac:dyDescent="0.2">
      <c r="A3681" s="2"/>
    </row>
    <row r="3682" spans="1:1" x14ac:dyDescent="0.2">
      <c r="A3682" s="2"/>
    </row>
    <row r="3683" spans="1:1" x14ac:dyDescent="0.2">
      <c r="A3683" s="2"/>
    </row>
    <row r="3684" spans="1:1" x14ac:dyDescent="0.2">
      <c r="A3684" s="2"/>
    </row>
    <row r="3685" spans="1:1" x14ac:dyDescent="0.2">
      <c r="A3685" s="2"/>
    </row>
    <row r="3686" spans="1:1" x14ac:dyDescent="0.2">
      <c r="A3686" s="2"/>
    </row>
    <row r="3687" spans="1:1" x14ac:dyDescent="0.2">
      <c r="A3687" s="2"/>
    </row>
    <row r="3688" spans="1:1" x14ac:dyDescent="0.2">
      <c r="A3688" s="2"/>
    </row>
    <row r="3689" spans="1:1" x14ac:dyDescent="0.2">
      <c r="A3689" s="2"/>
    </row>
    <row r="3690" spans="1:1" x14ac:dyDescent="0.2">
      <c r="A3690" s="2"/>
    </row>
    <row r="3691" spans="1:1" x14ac:dyDescent="0.2">
      <c r="A3691" s="2"/>
    </row>
    <row r="3692" spans="1:1" x14ac:dyDescent="0.2">
      <c r="A3692" s="2"/>
    </row>
    <row r="3693" spans="1:1" x14ac:dyDescent="0.2">
      <c r="A3693" s="2"/>
    </row>
    <row r="3694" spans="1:1" x14ac:dyDescent="0.2">
      <c r="A3694" s="2"/>
    </row>
    <row r="3695" spans="1:1" x14ac:dyDescent="0.2">
      <c r="A3695" s="2"/>
    </row>
    <row r="3696" spans="1:1" x14ac:dyDescent="0.2">
      <c r="A3696" s="2"/>
    </row>
    <row r="3697" spans="1:1" x14ac:dyDescent="0.2">
      <c r="A3697" s="2"/>
    </row>
    <row r="3698" spans="1:1" x14ac:dyDescent="0.2">
      <c r="A3698" s="2"/>
    </row>
    <row r="3699" spans="1:1" x14ac:dyDescent="0.2">
      <c r="A3699" s="2"/>
    </row>
    <row r="3700" spans="1:1" x14ac:dyDescent="0.2">
      <c r="A3700" s="2"/>
    </row>
    <row r="3701" spans="1:1" x14ac:dyDescent="0.2">
      <c r="A3701" s="2"/>
    </row>
    <row r="3702" spans="1:1" x14ac:dyDescent="0.2">
      <c r="A3702" s="2"/>
    </row>
    <row r="3703" spans="1:1" x14ac:dyDescent="0.2">
      <c r="A3703" s="2"/>
    </row>
    <row r="3704" spans="1:1" x14ac:dyDescent="0.2">
      <c r="A3704" s="2"/>
    </row>
    <row r="3705" spans="1:1" x14ac:dyDescent="0.2">
      <c r="A3705" s="2"/>
    </row>
    <row r="3706" spans="1:1" x14ac:dyDescent="0.2">
      <c r="A3706" s="2"/>
    </row>
    <row r="3707" spans="1:1" x14ac:dyDescent="0.2">
      <c r="A3707" s="2"/>
    </row>
    <row r="3708" spans="1:1" x14ac:dyDescent="0.2">
      <c r="A3708" s="2"/>
    </row>
    <row r="3709" spans="1:1" x14ac:dyDescent="0.2">
      <c r="A3709" s="2"/>
    </row>
    <row r="3710" spans="1:1" x14ac:dyDescent="0.2">
      <c r="A3710" s="2"/>
    </row>
    <row r="3711" spans="1:1" x14ac:dyDescent="0.2">
      <c r="A3711" s="2"/>
    </row>
    <row r="3712" spans="1:1" x14ac:dyDescent="0.2">
      <c r="A3712" s="2"/>
    </row>
    <row r="3713" spans="1:1" x14ac:dyDescent="0.2">
      <c r="A3713" s="2"/>
    </row>
    <row r="3714" spans="1:1" x14ac:dyDescent="0.2">
      <c r="A3714" s="2"/>
    </row>
    <row r="3715" spans="1:1" x14ac:dyDescent="0.2">
      <c r="A3715" s="2"/>
    </row>
    <row r="3716" spans="1:1" x14ac:dyDescent="0.2">
      <c r="A3716" s="2"/>
    </row>
    <row r="3717" spans="1:1" x14ac:dyDescent="0.2">
      <c r="A3717" s="2"/>
    </row>
    <row r="3718" spans="1:1" x14ac:dyDescent="0.2">
      <c r="A3718" s="2"/>
    </row>
    <row r="3719" spans="1:1" x14ac:dyDescent="0.2">
      <c r="A3719" s="2"/>
    </row>
    <row r="3720" spans="1:1" x14ac:dyDescent="0.2">
      <c r="A3720" s="2"/>
    </row>
    <row r="3721" spans="1:1" x14ac:dyDescent="0.2">
      <c r="A3721" s="2"/>
    </row>
    <row r="3722" spans="1:1" x14ac:dyDescent="0.2">
      <c r="A3722" s="2"/>
    </row>
    <row r="3723" spans="1:1" x14ac:dyDescent="0.2">
      <c r="A3723" s="2"/>
    </row>
    <row r="3724" spans="1:1" x14ac:dyDescent="0.2">
      <c r="A3724" s="2"/>
    </row>
    <row r="3725" spans="1:1" x14ac:dyDescent="0.2">
      <c r="A3725" s="2"/>
    </row>
    <row r="3726" spans="1:1" x14ac:dyDescent="0.2">
      <c r="A3726" s="2"/>
    </row>
    <row r="3727" spans="1:1" x14ac:dyDescent="0.2">
      <c r="A3727" s="2"/>
    </row>
    <row r="3728" spans="1:1" x14ac:dyDescent="0.2">
      <c r="A3728" s="2"/>
    </row>
    <row r="3729" spans="1:1" x14ac:dyDescent="0.2">
      <c r="A3729" s="2"/>
    </row>
    <row r="3730" spans="1:1" x14ac:dyDescent="0.2">
      <c r="A3730" s="2"/>
    </row>
    <row r="3731" spans="1:1" x14ac:dyDescent="0.2">
      <c r="A3731" s="2"/>
    </row>
    <row r="3732" spans="1:1" x14ac:dyDescent="0.2">
      <c r="A3732" s="2"/>
    </row>
    <row r="3733" spans="1:1" x14ac:dyDescent="0.2">
      <c r="A3733" s="2"/>
    </row>
    <row r="3734" spans="1:1" x14ac:dyDescent="0.2">
      <c r="A3734" s="2"/>
    </row>
    <row r="3735" spans="1:1" x14ac:dyDescent="0.2">
      <c r="A3735" s="2"/>
    </row>
    <row r="3736" spans="1:1" x14ac:dyDescent="0.2">
      <c r="A3736" s="2"/>
    </row>
    <row r="3737" spans="1:1" x14ac:dyDescent="0.2">
      <c r="A3737" s="2"/>
    </row>
    <row r="3738" spans="1:1" x14ac:dyDescent="0.2">
      <c r="A3738" s="2"/>
    </row>
    <row r="3739" spans="1:1" x14ac:dyDescent="0.2">
      <c r="A3739" s="2"/>
    </row>
    <row r="3740" spans="1:1" x14ac:dyDescent="0.2">
      <c r="A3740" s="2"/>
    </row>
    <row r="3741" spans="1:1" x14ac:dyDescent="0.2">
      <c r="A3741" s="2"/>
    </row>
    <row r="3742" spans="1:1" x14ac:dyDescent="0.2">
      <c r="A3742" s="2"/>
    </row>
    <row r="3743" spans="1:1" x14ac:dyDescent="0.2">
      <c r="A3743" s="2"/>
    </row>
    <row r="3744" spans="1:1" x14ac:dyDescent="0.2">
      <c r="A3744" s="2"/>
    </row>
    <row r="3745" spans="1:1" x14ac:dyDescent="0.2">
      <c r="A3745" s="2"/>
    </row>
    <row r="3746" spans="1:1" x14ac:dyDescent="0.2">
      <c r="A3746" s="2"/>
    </row>
    <row r="3747" spans="1:1" x14ac:dyDescent="0.2">
      <c r="A3747" s="2"/>
    </row>
    <row r="3748" spans="1:1" x14ac:dyDescent="0.2">
      <c r="A3748" s="2"/>
    </row>
    <row r="3749" spans="1:1" x14ac:dyDescent="0.2">
      <c r="A3749" s="2"/>
    </row>
    <row r="3750" spans="1:1" x14ac:dyDescent="0.2">
      <c r="A3750" s="2"/>
    </row>
    <row r="3751" spans="1:1" x14ac:dyDescent="0.2">
      <c r="A3751" s="2"/>
    </row>
    <row r="3752" spans="1:1" x14ac:dyDescent="0.2">
      <c r="A3752" s="2"/>
    </row>
    <row r="3753" spans="1:1" x14ac:dyDescent="0.2">
      <c r="A3753" s="2"/>
    </row>
    <row r="3754" spans="1:1" x14ac:dyDescent="0.2">
      <c r="A3754" s="2"/>
    </row>
    <row r="3755" spans="1:1" x14ac:dyDescent="0.2">
      <c r="A3755" s="2"/>
    </row>
    <row r="3756" spans="1:1" x14ac:dyDescent="0.2">
      <c r="A3756" s="2"/>
    </row>
    <row r="3757" spans="1:1" x14ac:dyDescent="0.2">
      <c r="A3757" s="2"/>
    </row>
    <row r="3758" spans="1:1" x14ac:dyDescent="0.2">
      <c r="A3758" s="2"/>
    </row>
    <row r="3759" spans="1:1" x14ac:dyDescent="0.2">
      <c r="A3759" s="2"/>
    </row>
    <row r="3760" spans="1:1" x14ac:dyDescent="0.2">
      <c r="A3760" s="2"/>
    </row>
    <row r="3761" spans="1:1" x14ac:dyDescent="0.2">
      <c r="A3761" s="2"/>
    </row>
    <row r="3762" spans="1:1" x14ac:dyDescent="0.2">
      <c r="A3762" s="2"/>
    </row>
    <row r="3763" spans="1:1" x14ac:dyDescent="0.2">
      <c r="A3763" s="2"/>
    </row>
    <row r="3764" spans="1:1" x14ac:dyDescent="0.2">
      <c r="A3764" s="2"/>
    </row>
    <row r="3765" spans="1:1" x14ac:dyDescent="0.2">
      <c r="A3765" s="2"/>
    </row>
    <row r="3766" spans="1:1" x14ac:dyDescent="0.2">
      <c r="A3766" s="2"/>
    </row>
    <row r="3767" spans="1:1" x14ac:dyDescent="0.2">
      <c r="A3767" s="2"/>
    </row>
    <row r="3768" spans="1:1" x14ac:dyDescent="0.2">
      <c r="A3768" s="2"/>
    </row>
    <row r="3769" spans="1:1" x14ac:dyDescent="0.2">
      <c r="A3769" s="2"/>
    </row>
    <row r="3770" spans="1:1" x14ac:dyDescent="0.2">
      <c r="A3770" s="2"/>
    </row>
    <row r="3771" spans="1:1" x14ac:dyDescent="0.2">
      <c r="A3771" s="2"/>
    </row>
    <row r="3772" spans="1:1" x14ac:dyDescent="0.2">
      <c r="A3772" s="2"/>
    </row>
    <row r="3773" spans="1:1" x14ac:dyDescent="0.2">
      <c r="A3773" s="2"/>
    </row>
    <row r="3774" spans="1:1" x14ac:dyDescent="0.2">
      <c r="A3774" s="2"/>
    </row>
    <row r="3775" spans="1:1" x14ac:dyDescent="0.2">
      <c r="A3775" s="2"/>
    </row>
    <row r="3776" spans="1:1" x14ac:dyDescent="0.2">
      <c r="A3776" s="2"/>
    </row>
    <row r="3777" spans="1:1" x14ac:dyDescent="0.2">
      <c r="A3777" s="2"/>
    </row>
    <row r="3778" spans="1:1" x14ac:dyDescent="0.2">
      <c r="A3778" s="2"/>
    </row>
    <row r="3779" spans="1:1" x14ac:dyDescent="0.2">
      <c r="A3779" s="2"/>
    </row>
    <row r="3780" spans="1:1" x14ac:dyDescent="0.2">
      <c r="A3780" s="2"/>
    </row>
    <row r="3781" spans="1:1" x14ac:dyDescent="0.2">
      <c r="A3781" s="2"/>
    </row>
    <row r="3782" spans="1:1" x14ac:dyDescent="0.2">
      <c r="A3782" s="2"/>
    </row>
    <row r="3783" spans="1:1" x14ac:dyDescent="0.2">
      <c r="A3783" s="2"/>
    </row>
    <row r="3784" spans="1:1" x14ac:dyDescent="0.2">
      <c r="A3784" s="2"/>
    </row>
    <row r="3785" spans="1:1" x14ac:dyDescent="0.2">
      <c r="A3785" s="2"/>
    </row>
    <row r="3786" spans="1:1" x14ac:dyDescent="0.2">
      <c r="A3786" s="2"/>
    </row>
    <row r="3787" spans="1:1" x14ac:dyDescent="0.2">
      <c r="A3787" s="2"/>
    </row>
    <row r="3788" spans="1:1" x14ac:dyDescent="0.2">
      <c r="A3788" s="2"/>
    </row>
    <row r="3789" spans="1:1" x14ac:dyDescent="0.2">
      <c r="A3789" s="2"/>
    </row>
    <row r="3790" spans="1:1" x14ac:dyDescent="0.2">
      <c r="A3790" s="2"/>
    </row>
    <row r="3791" spans="1:1" x14ac:dyDescent="0.2">
      <c r="A3791" s="2"/>
    </row>
    <row r="3792" spans="1:1" x14ac:dyDescent="0.2">
      <c r="A3792" s="2"/>
    </row>
    <row r="3793" spans="1:1" x14ac:dyDescent="0.2">
      <c r="A3793" s="2"/>
    </row>
    <row r="3794" spans="1:1" x14ac:dyDescent="0.2">
      <c r="A3794" s="2"/>
    </row>
    <row r="3795" spans="1:1" x14ac:dyDescent="0.2">
      <c r="A3795" s="2"/>
    </row>
    <row r="3796" spans="1:1" x14ac:dyDescent="0.2">
      <c r="A3796" s="2"/>
    </row>
    <row r="3797" spans="1:1" x14ac:dyDescent="0.2">
      <c r="A3797" s="2"/>
    </row>
    <row r="3798" spans="1:1" x14ac:dyDescent="0.2">
      <c r="A3798" s="2"/>
    </row>
    <row r="3799" spans="1:1" x14ac:dyDescent="0.2">
      <c r="A3799" s="2"/>
    </row>
    <row r="3800" spans="1:1" x14ac:dyDescent="0.2">
      <c r="A3800" s="2"/>
    </row>
    <row r="3801" spans="1:1" x14ac:dyDescent="0.2">
      <c r="A3801" s="2"/>
    </row>
    <row r="3802" spans="1:1" x14ac:dyDescent="0.2">
      <c r="A3802" s="2"/>
    </row>
    <row r="3803" spans="1:1" x14ac:dyDescent="0.2">
      <c r="A3803" s="2"/>
    </row>
    <row r="3804" spans="1:1" x14ac:dyDescent="0.2">
      <c r="A3804" s="2"/>
    </row>
    <row r="3805" spans="1:1" x14ac:dyDescent="0.2">
      <c r="A3805" s="2"/>
    </row>
    <row r="3806" spans="1:1" x14ac:dyDescent="0.2">
      <c r="A3806" s="2"/>
    </row>
    <row r="3807" spans="1:1" x14ac:dyDescent="0.2">
      <c r="A3807" s="2"/>
    </row>
    <row r="3808" spans="1:1" x14ac:dyDescent="0.2">
      <c r="A3808" s="2"/>
    </row>
    <row r="3809" spans="1:1" x14ac:dyDescent="0.2">
      <c r="A3809" s="2"/>
    </row>
    <row r="3810" spans="1:1" x14ac:dyDescent="0.2">
      <c r="A3810" s="2"/>
    </row>
    <row r="3811" spans="1:1" x14ac:dyDescent="0.2">
      <c r="A3811" s="2"/>
    </row>
    <row r="3812" spans="1:1" x14ac:dyDescent="0.2">
      <c r="A3812" s="2"/>
    </row>
    <row r="3813" spans="1:1" x14ac:dyDescent="0.2">
      <c r="A3813" s="2"/>
    </row>
    <row r="3814" spans="1:1" x14ac:dyDescent="0.2">
      <c r="A3814" s="2"/>
    </row>
    <row r="3815" spans="1:1" x14ac:dyDescent="0.2">
      <c r="A3815" s="2"/>
    </row>
    <row r="3816" spans="1:1" x14ac:dyDescent="0.2">
      <c r="A3816" s="2"/>
    </row>
    <row r="3817" spans="1:1" x14ac:dyDescent="0.2">
      <c r="A3817" s="2"/>
    </row>
    <row r="3818" spans="1:1" x14ac:dyDescent="0.2">
      <c r="A3818" s="2"/>
    </row>
    <row r="3819" spans="1:1" x14ac:dyDescent="0.2">
      <c r="A3819" s="2"/>
    </row>
    <row r="3820" spans="1:1" x14ac:dyDescent="0.2">
      <c r="A3820" s="2"/>
    </row>
    <row r="3821" spans="1:1" x14ac:dyDescent="0.2">
      <c r="A3821" s="2"/>
    </row>
    <row r="3822" spans="1:1" x14ac:dyDescent="0.2">
      <c r="A3822" s="2"/>
    </row>
    <row r="3823" spans="1:1" x14ac:dyDescent="0.2">
      <c r="A3823" s="2"/>
    </row>
    <row r="3824" spans="1:1" x14ac:dyDescent="0.2">
      <c r="A3824" s="2"/>
    </row>
    <row r="3825" spans="1:1" x14ac:dyDescent="0.2">
      <c r="A3825" s="2"/>
    </row>
    <row r="3826" spans="1:1" x14ac:dyDescent="0.2">
      <c r="A3826" s="2"/>
    </row>
    <row r="3827" spans="1:1" x14ac:dyDescent="0.2">
      <c r="A3827" s="2"/>
    </row>
    <row r="3828" spans="1:1" x14ac:dyDescent="0.2">
      <c r="A3828" s="2"/>
    </row>
    <row r="3829" spans="1:1" x14ac:dyDescent="0.2">
      <c r="A3829" s="2"/>
    </row>
    <row r="3830" spans="1:1" x14ac:dyDescent="0.2">
      <c r="A3830" s="2"/>
    </row>
    <row r="3831" spans="1:1" x14ac:dyDescent="0.2">
      <c r="A3831" s="2"/>
    </row>
    <row r="3832" spans="1:1" x14ac:dyDescent="0.2">
      <c r="A3832" s="2"/>
    </row>
    <row r="3833" spans="1:1" x14ac:dyDescent="0.2">
      <c r="A3833" s="2"/>
    </row>
    <row r="3834" spans="1:1" x14ac:dyDescent="0.2">
      <c r="A3834" s="2"/>
    </row>
    <row r="3835" spans="1:1" x14ac:dyDescent="0.2">
      <c r="A3835" s="2"/>
    </row>
    <row r="3836" spans="1:1" x14ac:dyDescent="0.2">
      <c r="A3836" s="2"/>
    </row>
    <row r="3837" spans="1:1" x14ac:dyDescent="0.2">
      <c r="A3837" s="2"/>
    </row>
    <row r="3838" spans="1:1" x14ac:dyDescent="0.2">
      <c r="A3838" s="2"/>
    </row>
    <row r="3839" spans="1:1" x14ac:dyDescent="0.2">
      <c r="A3839" s="2"/>
    </row>
    <row r="3840" spans="1:1" x14ac:dyDescent="0.2">
      <c r="A3840" s="2"/>
    </row>
    <row r="3841" spans="1:1" x14ac:dyDescent="0.2">
      <c r="A3841" s="2"/>
    </row>
    <row r="3842" spans="1:1" x14ac:dyDescent="0.2">
      <c r="A3842" s="2"/>
    </row>
    <row r="3843" spans="1:1" x14ac:dyDescent="0.2">
      <c r="A3843" s="2"/>
    </row>
    <row r="3844" spans="1:1" x14ac:dyDescent="0.2">
      <c r="A3844" s="2"/>
    </row>
    <row r="3845" spans="1:1" x14ac:dyDescent="0.2">
      <c r="A3845" s="2"/>
    </row>
    <row r="3846" spans="1:1" x14ac:dyDescent="0.2">
      <c r="A3846" s="2"/>
    </row>
    <row r="3847" spans="1:1" x14ac:dyDescent="0.2">
      <c r="A3847" s="2"/>
    </row>
    <row r="3848" spans="1:1" x14ac:dyDescent="0.2">
      <c r="A3848" s="2"/>
    </row>
    <row r="3849" spans="1:1" x14ac:dyDescent="0.2">
      <c r="A3849" s="2"/>
    </row>
    <row r="3850" spans="1:1" x14ac:dyDescent="0.2">
      <c r="A3850" s="2"/>
    </row>
    <row r="3851" spans="1:1" x14ac:dyDescent="0.2">
      <c r="A3851" s="2"/>
    </row>
    <row r="3852" spans="1:1" x14ac:dyDescent="0.2">
      <c r="A3852" s="2"/>
    </row>
    <row r="3853" spans="1:1" x14ac:dyDescent="0.2">
      <c r="A3853" s="2"/>
    </row>
    <row r="3854" spans="1:1" x14ac:dyDescent="0.2">
      <c r="A3854" s="2"/>
    </row>
    <row r="3855" spans="1:1" x14ac:dyDescent="0.2">
      <c r="A3855" s="2"/>
    </row>
    <row r="3856" spans="1:1" x14ac:dyDescent="0.2">
      <c r="A3856" s="2"/>
    </row>
    <row r="3857" spans="1:1" x14ac:dyDescent="0.2">
      <c r="A3857" s="2"/>
    </row>
    <row r="3858" spans="1:1" x14ac:dyDescent="0.2">
      <c r="A3858" s="2"/>
    </row>
    <row r="3859" spans="1:1" x14ac:dyDescent="0.2">
      <c r="A3859" s="2"/>
    </row>
    <row r="3860" spans="1:1" x14ac:dyDescent="0.2">
      <c r="A3860" s="2"/>
    </row>
    <row r="3861" spans="1:1" x14ac:dyDescent="0.2">
      <c r="A3861" s="2"/>
    </row>
    <row r="3862" spans="1:1" x14ac:dyDescent="0.2">
      <c r="A3862" s="2"/>
    </row>
    <row r="3863" spans="1:1" x14ac:dyDescent="0.2">
      <c r="A3863" s="2"/>
    </row>
    <row r="3864" spans="1:1" x14ac:dyDescent="0.2">
      <c r="A3864" s="2"/>
    </row>
    <row r="3865" spans="1:1" x14ac:dyDescent="0.2">
      <c r="A3865" s="2"/>
    </row>
    <row r="3866" spans="1:1" x14ac:dyDescent="0.2">
      <c r="A3866" s="2"/>
    </row>
    <row r="3867" spans="1:1" x14ac:dyDescent="0.2">
      <c r="A3867" s="2"/>
    </row>
    <row r="3868" spans="1:1" x14ac:dyDescent="0.2">
      <c r="A3868" s="2"/>
    </row>
    <row r="3869" spans="1:1" x14ac:dyDescent="0.2">
      <c r="A3869" s="2"/>
    </row>
    <row r="3870" spans="1:1" x14ac:dyDescent="0.2">
      <c r="A3870" s="2"/>
    </row>
    <row r="3871" spans="1:1" x14ac:dyDescent="0.2">
      <c r="A3871" s="2"/>
    </row>
    <row r="3872" spans="1:1" x14ac:dyDescent="0.2">
      <c r="A3872" s="2"/>
    </row>
    <row r="3873" spans="1:1" x14ac:dyDescent="0.2">
      <c r="A3873" s="2"/>
    </row>
    <row r="3874" spans="1:1" x14ac:dyDescent="0.2">
      <c r="A3874" s="2"/>
    </row>
    <row r="3875" spans="1:1" x14ac:dyDescent="0.2">
      <c r="A3875" s="2"/>
    </row>
    <row r="3876" spans="1:1" x14ac:dyDescent="0.2">
      <c r="A3876" s="2"/>
    </row>
    <row r="3877" spans="1:1" x14ac:dyDescent="0.2">
      <c r="A3877" s="2"/>
    </row>
    <row r="3878" spans="1:1" x14ac:dyDescent="0.2">
      <c r="A3878" s="2"/>
    </row>
    <row r="3879" spans="1:1" x14ac:dyDescent="0.2">
      <c r="A3879" s="2"/>
    </row>
    <row r="3880" spans="1:1" x14ac:dyDescent="0.2">
      <c r="A3880" s="2"/>
    </row>
    <row r="3881" spans="1:1" x14ac:dyDescent="0.2">
      <c r="A3881" s="2"/>
    </row>
    <row r="3882" spans="1:1" x14ac:dyDescent="0.2">
      <c r="A3882" s="2"/>
    </row>
    <row r="3883" spans="1:1" x14ac:dyDescent="0.2">
      <c r="A3883" s="2"/>
    </row>
    <row r="3884" spans="1:1" x14ac:dyDescent="0.2">
      <c r="A3884" s="2"/>
    </row>
    <row r="3885" spans="1:1" x14ac:dyDescent="0.2">
      <c r="A3885" s="2"/>
    </row>
    <row r="3886" spans="1:1" x14ac:dyDescent="0.2">
      <c r="A3886" s="2"/>
    </row>
    <row r="3887" spans="1:1" x14ac:dyDescent="0.2">
      <c r="A3887" s="2"/>
    </row>
    <row r="3888" spans="1:1" x14ac:dyDescent="0.2">
      <c r="A3888" s="2"/>
    </row>
    <row r="3889" spans="1:1" x14ac:dyDescent="0.2">
      <c r="A3889" s="2"/>
    </row>
    <row r="3890" spans="1:1" x14ac:dyDescent="0.2">
      <c r="A3890" s="2"/>
    </row>
    <row r="3891" spans="1:1" x14ac:dyDescent="0.2">
      <c r="A3891" s="2"/>
    </row>
    <row r="3892" spans="1:1" x14ac:dyDescent="0.2">
      <c r="A3892" s="2"/>
    </row>
    <row r="3893" spans="1:1" x14ac:dyDescent="0.2">
      <c r="A3893" s="2"/>
    </row>
    <row r="3894" spans="1:1" x14ac:dyDescent="0.2">
      <c r="A3894" s="2"/>
    </row>
    <row r="3895" spans="1:1" x14ac:dyDescent="0.2">
      <c r="A3895" s="2"/>
    </row>
    <row r="3896" spans="1:1" x14ac:dyDescent="0.2">
      <c r="A3896" s="2"/>
    </row>
    <row r="3897" spans="1:1" x14ac:dyDescent="0.2">
      <c r="A3897" s="2"/>
    </row>
    <row r="3898" spans="1:1" x14ac:dyDescent="0.2">
      <c r="A3898" s="2"/>
    </row>
    <row r="3899" spans="1:1" x14ac:dyDescent="0.2">
      <c r="A3899" s="2"/>
    </row>
    <row r="3900" spans="1:1" x14ac:dyDescent="0.2">
      <c r="A3900" s="2"/>
    </row>
    <row r="3901" spans="1:1" x14ac:dyDescent="0.2">
      <c r="A3901" s="2"/>
    </row>
    <row r="3902" spans="1:1" x14ac:dyDescent="0.2">
      <c r="A3902" s="2"/>
    </row>
    <row r="3903" spans="1:1" x14ac:dyDescent="0.2">
      <c r="A3903" s="2"/>
    </row>
    <row r="3904" spans="1:1" x14ac:dyDescent="0.2">
      <c r="A3904" s="2"/>
    </row>
    <row r="3905" spans="1:1" x14ac:dyDescent="0.2">
      <c r="A3905" s="2"/>
    </row>
    <row r="3906" spans="1:1" x14ac:dyDescent="0.2">
      <c r="A3906" s="2"/>
    </row>
    <row r="3907" spans="1:1" x14ac:dyDescent="0.2">
      <c r="A3907" s="2"/>
    </row>
    <row r="3908" spans="1:1" x14ac:dyDescent="0.2">
      <c r="A3908" s="2"/>
    </row>
    <row r="3909" spans="1:1" x14ac:dyDescent="0.2">
      <c r="A3909" s="2"/>
    </row>
    <row r="3910" spans="1:1" x14ac:dyDescent="0.2">
      <c r="A3910" s="2"/>
    </row>
    <row r="3911" spans="1:1" x14ac:dyDescent="0.2">
      <c r="A3911" s="2"/>
    </row>
    <row r="3912" spans="1:1" x14ac:dyDescent="0.2">
      <c r="A3912" s="2"/>
    </row>
    <row r="3913" spans="1:1" x14ac:dyDescent="0.2">
      <c r="A3913" s="2"/>
    </row>
    <row r="3914" spans="1:1" x14ac:dyDescent="0.2">
      <c r="A3914" s="2"/>
    </row>
    <row r="3915" spans="1:1" x14ac:dyDescent="0.2">
      <c r="A3915" s="2"/>
    </row>
    <row r="3916" spans="1:1" x14ac:dyDescent="0.2">
      <c r="A3916" s="2"/>
    </row>
    <row r="3917" spans="1:1" x14ac:dyDescent="0.2">
      <c r="A3917" s="2"/>
    </row>
    <row r="3918" spans="1:1" x14ac:dyDescent="0.2">
      <c r="A3918" s="2"/>
    </row>
    <row r="3919" spans="1:1" x14ac:dyDescent="0.2">
      <c r="A3919" s="2"/>
    </row>
    <row r="3920" spans="1:1" x14ac:dyDescent="0.2">
      <c r="A3920" s="2"/>
    </row>
    <row r="3921" spans="1:1" x14ac:dyDescent="0.2">
      <c r="A3921" s="2"/>
    </row>
    <row r="3922" spans="1:1" x14ac:dyDescent="0.2">
      <c r="A3922" s="2"/>
    </row>
    <row r="3923" spans="1:1" x14ac:dyDescent="0.2">
      <c r="A3923" s="2"/>
    </row>
    <row r="3924" spans="1:1" x14ac:dyDescent="0.2">
      <c r="A3924" s="2"/>
    </row>
    <row r="3925" spans="1:1" x14ac:dyDescent="0.2">
      <c r="A3925" s="2"/>
    </row>
    <row r="3926" spans="1:1" x14ac:dyDescent="0.2">
      <c r="A3926" s="2"/>
    </row>
    <row r="3927" spans="1:1" x14ac:dyDescent="0.2">
      <c r="A3927" s="2"/>
    </row>
    <row r="3928" spans="1:1" x14ac:dyDescent="0.2">
      <c r="A3928" s="2"/>
    </row>
    <row r="3929" spans="1:1" x14ac:dyDescent="0.2">
      <c r="A3929" s="2"/>
    </row>
    <row r="3930" spans="1:1" x14ac:dyDescent="0.2">
      <c r="A3930" s="2"/>
    </row>
    <row r="3931" spans="1:1" x14ac:dyDescent="0.2">
      <c r="A3931" s="2"/>
    </row>
    <row r="3932" spans="1:1" x14ac:dyDescent="0.2">
      <c r="A3932" s="2"/>
    </row>
    <row r="3933" spans="1:1" x14ac:dyDescent="0.2">
      <c r="A3933" s="2"/>
    </row>
    <row r="3934" spans="1:1" x14ac:dyDescent="0.2">
      <c r="A3934" s="2"/>
    </row>
    <row r="3935" spans="1:1" x14ac:dyDescent="0.2">
      <c r="A3935" s="2"/>
    </row>
    <row r="3936" spans="1:1" x14ac:dyDescent="0.2">
      <c r="A3936" s="2"/>
    </row>
    <row r="3937" spans="1:1" x14ac:dyDescent="0.2">
      <c r="A3937" s="2"/>
    </row>
    <row r="3938" spans="1:1" x14ac:dyDescent="0.2">
      <c r="A3938" s="2"/>
    </row>
    <row r="3939" spans="1:1" x14ac:dyDescent="0.2">
      <c r="A3939" s="2"/>
    </row>
    <row r="3940" spans="1:1" x14ac:dyDescent="0.2">
      <c r="A3940" s="2"/>
    </row>
    <row r="3941" spans="1:1" x14ac:dyDescent="0.2">
      <c r="A3941" s="2"/>
    </row>
    <row r="3942" spans="1:1" x14ac:dyDescent="0.2">
      <c r="A3942" s="2"/>
    </row>
    <row r="3943" spans="1:1" x14ac:dyDescent="0.2">
      <c r="A3943" s="2"/>
    </row>
    <row r="3944" spans="1:1" x14ac:dyDescent="0.2">
      <c r="A3944" s="2"/>
    </row>
    <row r="3945" spans="1:1" x14ac:dyDescent="0.2">
      <c r="A3945" s="2"/>
    </row>
    <row r="3946" spans="1:1" x14ac:dyDescent="0.2">
      <c r="A3946" s="2"/>
    </row>
    <row r="3947" spans="1:1" x14ac:dyDescent="0.2">
      <c r="A3947" s="2"/>
    </row>
    <row r="3948" spans="1:1" x14ac:dyDescent="0.2">
      <c r="A3948" s="2"/>
    </row>
    <row r="3949" spans="1:1" x14ac:dyDescent="0.2">
      <c r="A3949" s="2"/>
    </row>
    <row r="3950" spans="1:1" x14ac:dyDescent="0.2">
      <c r="A3950" s="2"/>
    </row>
    <row r="3951" spans="1:1" x14ac:dyDescent="0.2">
      <c r="A3951" s="2"/>
    </row>
    <row r="3952" spans="1:1" x14ac:dyDescent="0.2">
      <c r="A3952" s="2"/>
    </row>
    <row r="3953" spans="1:1" x14ac:dyDescent="0.2">
      <c r="A3953" s="2"/>
    </row>
    <row r="3954" spans="1:1" x14ac:dyDescent="0.2">
      <c r="A3954" s="2"/>
    </row>
    <row r="3955" spans="1:1" x14ac:dyDescent="0.2">
      <c r="A3955" s="2"/>
    </row>
    <row r="3956" spans="1:1" x14ac:dyDescent="0.2">
      <c r="A3956" s="2"/>
    </row>
    <row r="3957" spans="1:1" x14ac:dyDescent="0.2">
      <c r="A3957" s="2"/>
    </row>
    <row r="3958" spans="1:1" x14ac:dyDescent="0.2">
      <c r="A3958" s="2"/>
    </row>
    <row r="3959" spans="1:1" x14ac:dyDescent="0.2">
      <c r="A3959" s="2"/>
    </row>
    <row r="3960" spans="1:1" x14ac:dyDescent="0.2">
      <c r="A3960" s="2"/>
    </row>
    <row r="3961" spans="1:1" x14ac:dyDescent="0.2">
      <c r="A3961" s="2"/>
    </row>
    <row r="3962" spans="1:1" x14ac:dyDescent="0.2">
      <c r="A3962" s="2"/>
    </row>
    <row r="3963" spans="1:1" x14ac:dyDescent="0.2">
      <c r="A3963" s="2"/>
    </row>
    <row r="3964" spans="1:1" x14ac:dyDescent="0.2">
      <c r="A3964" s="2"/>
    </row>
    <row r="3965" spans="1:1" x14ac:dyDescent="0.2">
      <c r="A3965" s="2"/>
    </row>
    <row r="3966" spans="1:1" x14ac:dyDescent="0.2">
      <c r="A3966" s="2"/>
    </row>
    <row r="3967" spans="1:1" x14ac:dyDescent="0.2">
      <c r="A3967" s="2"/>
    </row>
    <row r="3968" spans="1:1" x14ac:dyDescent="0.2">
      <c r="A3968" s="2"/>
    </row>
    <row r="3969" spans="1:1" x14ac:dyDescent="0.2">
      <c r="A3969" s="2"/>
    </row>
    <row r="3970" spans="1:1" x14ac:dyDescent="0.2">
      <c r="A3970" s="2"/>
    </row>
    <row r="3971" spans="1:1" x14ac:dyDescent="0.2">
      <c r="A3971" s="2"/>
    </row>
    <row r="3972" spans="1:1" x14ac:dyDescent="0.2">
      <c r="A3972" s="2"/>
    </row>
    <row r="3973" spans="1:1" x14ac:dyDescent="0.2">
      <c r="A3973" s="2"/>
    </row>
    <row r="3974" spans="1:1" x14ac:dyDescent="0.2">
      <c r="A3974" s="2"/>
    </row>
    <row r="3975" spans="1:1" x14ac:dyDescent="0.2">
      <c r="A3975" s="2"/>
    </row>
    <row r="3976" spans="1:1" x14ac:dyDescent="0.2">
      <c r="A3976" s="2"/>
    </row>
    <row r="3977" spans="1:1" x14ac:dyDescent="0.2">
      <c r="A3977" s="2"/>
    </row>
    <row r="3978" spans="1:1" x14ac:dyDescent="0.2">
      <c r="A3978" s="2"/>
    </row>
    <row r="3979" spans="1:1" x14ac:dyDescent="0.2">
      <c r="A3979" s="2"/>
    </row>
    <row r="3980" spans="1:1" x14ac:dyDescent="0.2">
      <c r="A3980" s="2"/>
    </row>
    <row r="3981" spans="1:1" x14ac:dyDescent="0.2">
      <c r="A3981" s="2"/>
    </row>
    <row r="3982" spans="1:1" x14ac:dyDescent="0.2">
      <c r="A3982" s="2"/>
    </row>
    <row r="3983" spans="1:1" x14ac:dyDescent="0.2">
      <c r="A3983" s="2"/>
    </row>
    <row r="3984" spans="1:1" x14ac:dyDescent="0.2">
      <c r="A3984" s="2"/>
    </row>
    <row r="3985" spans="1:1" x14ac:dyDescent="0.2">
      <c r="A3985" s="2"/>
    </row>
    <row r="3986" spans="1:1" x14ac:dyDescent="0.2">
      <c r="A3986" s="2"/>
    </row>
    <row r="3987" spans="1:1" x14ac:dyDescent="0.2">
      <c r="A3987" s="2"/>
    </row>
    <row r="3988" spans="1:1" x14ac:dyDescent="0.2">
      <c r="A3988" s="2"/>
    </row>
    <row r="3989" spans="1:1" x14ac:dyDescent="0.2">
      <c r="A3989" s="2"/>
    </row>
    <row r="3990" spans="1:1" x14ac:dyDescent="0.2">
      <c r="A3990" s="2"/>
    </row>
    <row r="3991" spans="1:1" x14ac:dyDescent="0.2">
      <c r="A3991" s="2"/>
    </row>
    <row r="3992" spans="1:1" x14ac:dyDescent="0.2">
      <c r="A3992" s="2"/>
    </row>
    <row r="3993" spans="1:1" x14ac:dyDescent="0.2">
      <c r="A3993" s="2"/>
    </row>
    <row r="3994" spans="1:1" x14ac:dyDescent="0.2">
      <c r="A3994" s="2"/>
    </row>
    <row r="3995" spans="1:1" x14ac:dyDescent="0.2">
      <c r="A3995" s="2"/>
    </row>
    <row r="3996" spans="1:1" x14ac:dyDescent="0.2">
      <c r="A3996" s="2"/>
    </row>
    <row r="3997" spans="1:1" x14ac:dyDescent="0.2">
      <c r="A3997" s="2"/>
    </row>
    <row r="3998" spans="1:1" x14ac:dyDescent="0.2">
      <c r="A3998" s="2"/>
    </row>
    <row r="3999" spans="1:1" x14ac:dyDescent="0.2">
      <c r="A3999" s="2"/>
    </row>
    <row r="4000" spans="1:1" x14ac:dyDescent="0.2">
      <c r="A4000" s="2"/>
    </row>
    <row r="4001" spans="1:1" x14ac:dyDescent="0.2">
      <c r="A4001" s="2"/>
    </row>
    <row r="4002" spans="1:1" x14ac:dyDescent="0.2">
      <c r="A4002" s="2"/>
    </row>
    <row r="4003" spans="1:1" x14ac:dyDescent="0.2">
      <c r="A4003" s="2"/>
    </row>
    <row r="4004" spans="1:1" x14ac:dyDescent="0.2">
      <c r="A4004" s="2"/>
    </row>
    <row r="4005" spans="1:1" x14ac:dyDescent="0.2">
      <c r="A4005" s="2"/>
    </row>
    <row r="4006" spans="1:1" x14ac:dyDescent="0.2">
      <c r="A4006" s="2"/>
    </row>
    <row r="4007" spans="1:1" x14ac:dyDescent="0.2">
      <c r="A4007" s="2"/>
    </row>
    <row r="4008" spans="1:1" x14ac:dyDescent="0.2">
      <c r="A4008" s="2"/>
    </row>
    <row r="4009" spans="1:1" x14ac:dyDescent="0.2">
      <c r="A4009" s="2"/>
    </row>
    <row r="4010" spans="1:1" x14ac:dyDescent="0.2">
      <c r="A4010" s="2"/>
    </row>
    <row r="4011" spans="1:1" x14ac:dyDescent="0.2">
      <c r="A4011" s="2"/>
    </row>
    <row r="4012" spans="1:1" x14ac:dyDescent="0.2">
      <c r="A4012" s="2"/>
    </row>
    <row r="4013" spans="1:1" x14ac:dyDescent="0.2">
      <c r="A4013" s="2"/>
    </row>
    <row r="4014" spans="1:1" x14ac:dyDescent="0.2">
      <c r="A4014" s="2"/>
    </row>
    <row r="4015" spans="1:1" x14ac:dyDescent="0.2">
      <c r="A4015" s="2"/>
    </row>
    <row r="4016" spans="1:1" x14ac:dyDescent="0.2">
      <c r="A4016" s="2"/>
    </row>
    <row r="4017" spans="1:1" x14ac:dyDescent="0.2">
      <c r="A4017" s="2"/>
    </row>
    <row r="4018" spans="1:1" x14ac:dyDescent="0.2">
      <c r="A4018" s="2"/>
    </row>
    <row r="4019" spans="1:1" x14ac:dyDescent="0.2">
      <c r="A4019" s="2"/>
    </row>
    <row r="4020" spans="1:1" x14ac:dyDescent="0.2">
      <c r="A4020" s="2"/>
    </row>
    <row r="4021" spans="1:1" x14ac:dyDescent="0.2">
      <c r="A4021" s="2"/>
    </row>
    <row r="4022" spans="1:1" x14ac:dyDescent="0.2">
      <c r="A4022" s="2"/>
    </row>
    <row r="4023" spans="1:1" x14ac:dyDescent="0.2">
      <c r="A4023" s="2"/>
    </row>
    <row r="4024" spans="1:1" x14ac:dyDescent="0.2">
      <c r="A4024" s="2"/>
    </row>
    <row r="4025" spans="1:1" x14ac:dyDescent="0.2">
      <c r="A4025" s="2"/>
    </row>
    <row r="4026" spans="1:1" x14ac:dyDescent="0.2">
      <c r="A4026" s="2"/>
    </row>
    <row r="4027" spans="1:1" x14ac:dyDescent="0.2">
      <c r="A4027" s="2"/>
    </row>
    <row r="4028" spans="1:1" x14ac:dyDescent="0.2">
      <c r="A4028" s="2"/>
    </row>
    <row r="4029" spans="1:1" x14ac:dyDescent="0.2">
      <c r="A4029" s="2"/>
    </row>
    <row r="4030" spans="1:1" x14ac:dyDescent="0.2">
      <c r="A4030" s="2"/>
    </row>
    <row r="4031" spans="1:1" x14ac:dyDescent="0.2">
      <c r="A4031" s="2"/>
    </row>
    <row r="4032" spans="1:1" x14ac:dyDescent="0.2">
      <c r="A4032" s="2"/>
    </row>
    <row r="4033" spans="1:1" x14ac:dyDescent="0.2">
      <c r="A4033" s="2"/>
    </row>
    <row r="4034" spans="1:1" x14ac:dyDescent="0.2">
      <c r="A4034" s="2"/>
    </row>
    <row r="4035" spans="1:1" x14ac:dyDescent="0.2">
      <c r="A4035" s="2"/>
    </row>
    <row r="4036" spans="1:1" x14ac:dyDescent="0.2">
      <c r="A4036" s="2"/>
    </row>
    <row r="4037" spans="1:1" x14ac:dyDescent="0.2">
      <c r="A4037" s="2"/>
    </row>
    <row r="4038" spans="1:1" x14ac:dyDescent="0.2">
      <c r="A4038" s="2"/>
    </row>
    <row r="4039" spans="1:1" x14ac:dyDescent="0.2">
      <c r="A4039" s="2"/>
    </row>
    <row r="4040" spans="1:1" x14ac:dyDescent="0.2">
      <c r="A4040" s="2"/>
    </row>
    <row r="4041" spans="1:1" x14ac:dyDescent="0.2">
      <c r="A4041" s="2"/>
    </row>
    <row r="4042" spans="1:1" x14ac:dyDescent="0.2">
      <c r="A4042" s="2"/>
    </row>
    <row r="4043" spans="1:1" x14ac:dyDescent="0.2">
      <c r="A4043" s="2"/>
    </row>
    <row r="4044" spans="1:1" x14ac:dyDescent="0.2">
      <c r="A4044" s="2"/>
    </row>
    <row r="4045" spans="1:1" x14ac:dyDescent="0.2">
      <c r="A4045" s="2"/>
    </row>
    <row r="4046" spans="1:1" x14ac:dyDescent="0.2">
      <c r="A4046" s="2"/>
    </row>
    <row r="4047" spans="1:1" x14ac:dyDescent="0.2">
      <c r="A4047" s="2"/>
    </row>
    <row r="4048" spans="1:1" x14ac:dyDescent="0.2">
      <c r="A4048" s="2"/>
    </row>
    <row r="4049" spans="1:1" x14ac:dyDescent="0.2">
      <c r="A4049" s="2"/>
    </row>
    <row r="4050" spans="1:1" x14ac:dyDescent="0.2">
      <c r="A4050" s="2"/>
    </row>
    <row r="4051" spans="1:1" x14ac:dyDescent="0.2">
      <c r="A4051" s="2"/>
    </row>
    <row r="4052" spans="1:1" x14ac:dyDescent="0.2">
      <c r="A4052" s="2"/>
    </row>
    <row r="4053" spans="1:1" x14ac:dyDescent="0.2">
      <c r="A4053" s="2"/>
    </row>
    <row r="4054" spans="1:1" x14ac:dyDescent="0.2">
      <c r="A4054" s="2"/>
    </row>
    <row r="4055" spans="1:1" x14ac:dyDescent="0.2">
      <c r="A4055" s="2"/>
    </row>
    <row r="4056" spans="1:1" x14ac:dyDescent="0.2">
      <c r="A4056" s="2"/>
    </row>
    <row r="4057" spans="1:1" x14ac:dyDescent="0.2">
      <c r="A4057" s="2"/>
    </row>
    <row r="4058" spans="1:1" x14ac:dyDescent="0.2">
      <c r="A4058" s="2"/>
    </row>
    <row r="4059" spans="1:1" x14ac:dyDescent="0.2">
      <c r="A4059" s="2"/>
    </row>
    <row r="4060" spans="1:1" x14ac:dyDescent="0.2">
      <c r="A4060" s="2"/>
    </row>
    <row r="4061" spans="1:1" x14ac:dyDescent="0.2">
      <c r="A4061" s="2"/>
    </row>
    <row r="4062" spans="1:1" x14ac:dyDescent="0.2">
      <c r="A4062" s="2"/>
    </row>
    <row r="4063" spans="1:1" x14ac:dyDescent="0.2">
      <c r="A4063" s="2"/>
    </row>
    <row r="4064" spans="1:1" x14ac:dyDescent="0.2">
      <c r="A4064" s="2"/>
    </row>
    <row r="4065" spans="1:1" x14ac:dyDescent="0.2">
      <c r="A4065" s="2"/>
    </row>
    <row r="4066" spans="1:1" x14ac:dyDescent="0.2">
      <c r="A4066" s="2"/>
    </row>
    <row r="4067" spans="1:1" x14ac:dyDescent="0.2">
      <c r="A4067" s="2"/>
    </row>
    <row r="4068" spans="1:1" x14ac:dyDescent="0.2">
      <c r="A4068" s="2"/>
    </row>
    <row r="4069" spans="1:1" x14ac:dyDescent="0.2">
      <c r="A4069" s="2"/>
    </row>
    <row r="4070" spans="1:1" x14ac:dyDescent="0.2">
      <c r="A4070" s="2"/>
    </row>
    <row r="4071" spans="1:1" x14ac:dyDescent="0.2">
      <c r="A4071" s="2"/>
    </row>
    <row r="4072" spans="1:1" x14ac:dyDescent="0.2">
      <c r="A4072" s="2"/>
    </row>
    <row r="4073" spans="1:1" x14ac:dyDescent="0.2">
      <c r="A4073" s="2"/>
    </row>
    <row r="4074" spans="1:1" x14ac:dyDescent="0.2">
      <c r="A4074" s="2"/>
    </row>
    <row r="4075" spans="1:1" x14ac:dyDescent="0.2">
      <c r="A4075" s="2"/>
    </row>
    <row r="4076" spans="1:1" x14ac:dyDescent="0.2">
      <c r="A4076" s="2"/>
    </row>
    <row r="4077" spans="1:1" x14ac:dyDescent="0.2">
      <c r="A4077" s="2"/>
    </row>
    <row r="4078" spans="1:1" x14ac:dyDescent="0.2">
      <c r="A4078" s="2"/>
    </row>
    <row r="4079" spans="1:1" x14ac:dyDescent="0.2">
      <c r="A4079" s="2"/>
    </row>
    <row r="4080" spans="1:1" x14ac:dyDescent="0.2">
      <c r="A4080" s="2"/>
    </row>
    <row r="4081" spans="1:1" x14ac:dyDescent="0.2">
      <c r="A4081" s="2"/>
    </row>
    <row r="4082" spans="1:1" x14ac:dyDescent="0.2">
      <c r="A4082" s="2"/>
    </row>
    <row r="4083" spans="1:1" x14ac:dyDescent="0.2">
      <c r="A4083" s="2"/>
    </row>
    <row r="4084" spans="1:1" x14ac:dyDescent="0.2">
      <c r="A4084" s="2"/>
    </row>
    <row r="4085" spans="1:1" x14ac:dyDescent="0.2">
      <c r="A4085" s="2"/>
    </row>
    <row r="4086" spans="1:1" x14ac:dyDescent="0.2">
      <c r="A4086" s="2"/>
    </row>
    <row r="4087" spans="1:1" x14ac:dyDescent="0.2">
      <c r="A4087" s="2"/>
    </row>
    <row r="4088" spans="1:1" x14ac:dyDescent="0.2">
      <c r="A4088" s="2"/>
    </row>
    <row r="4089" spans="1:1" x14ac:dyDescent="0.2">
      <c r="A4089" s="2"/>
    </row>
    <row r="4090" spans="1:1" x14ac:dyDescent="0.2">
      <c r="A4090" s="2"/>
    </row>
    <row r="4091" spans="1:1" x14ac:dyDescent="0.2">
      <c r="A4091" s="2"/>
    </row>
    <row r="4092" spans="1:1" x14ac:dyDescent="0.2">
      <c r="A4092" s="2"/>
    </row>
    <row r="4093" spans="1:1" x14ac:dyDescent="0.2">
      <c r="A4093" s="2"/>
    </row>
    <row r="4094" spans="1:1" x14ac:dyDescent="0.2">
      <c r="A4094" s="2"/>
    </row>
    <row r="4095" spans="1:1" x14ac:dyDescent="0.2">
      <c r="A4095" s="2"/>
    </row>
    <row r="4096" spans="1:1" x14ac:dyDescent="0.2">
      <c r="A4096" s="2"/>
    </row>
    <row r="4097" spans="1:1" x14ac:dyDescent="0.2">
      <c r="A4097" s="2"/>
    </row>
    <row r="4098" spans="1:1" x14ac:dyDescent="0.2">
      <c r="A4098" s="2"/>
    </row>
    <row r="4099" spans="1:1" x14ac:dyDescent="0.2">
      <c r="A4099" s="2"/>
    </row>
    <row r="4100" spans="1:1" x14ac:dyDescent="0.2">
      <c r="A4100" s="2"/>
    </row>
    <row r="4101" spans="1:1" x14ac:dyDescent="0.2">
      <c r="A4101" s="2"/>
    </row>
    <row r="4102" spans="1:1" x14ac:dyDescent="0.2">
      <c r="A4102" s="2"/>
    </row>
    <row r="4103" spans="1:1" x14ac:dyDescent="0.2">
      <c r="A4103" s="2"/>
    </row>
    <row r="4104" spans="1:1" x14ac:dyDescent="0.2">
      <c r="A4104" s="2"/>
    </row>
    <row r="4105" spans="1:1" x14ac:dyDescent="0.2">
      <c r="A4105" s="2"/>
    </row>
    <row r="4106" spans="1:1" x14ac:dyDescent="0.2">
      <c r="A4106" s="2"/>
    </row>
    <row r="4107" spans="1:1" x14ac:dyDescent="0.2">
      <c r="A4107" s="2"/>
    </row>
    <row r="4108" spans="1:1" x14ac:dyDescent="0.2">
      <c r="A4108" s="2"/>
    </row>
    <row r="4109" spans="1:1" x14ac:dyDescent="0.2">
      <c r="A4109" s="2"/>
    </row>
    <row r="4110" spans="1:1" x14ac:dyDescent="0.2">
      <c r="A4110" s="2"/>
    </row>
    <row r="4111" spans="1:1" x14ac:dyDescent="0.2">
      <c r="A4111" s="2"/>
    </row>
    <row r="4112" spans="1:1" x14ac:dyDescent="0.2">
      <c r="A4112" s="2"/>
    </row>
    <row r="4113" spans="1:1" x14ac:dyDescent="0.2">
      <c r="A4113" s="2"/>
    </row>
    <row r="4114" spans="1:1" x14ac:dyDescent="0.2">
      <c r="A4114" s="2"/>
    </row>
    <row r="4115" spans="1:1" x14ac:dyDescent="0.2">
      <c r="A4115" s="2"/>
    </row>
    <row r="4116" spans="1:1" x14ac:dyDescent="0.2">
      <c r="A4116" s="2"/>
    </row>
    <row r="4117" spans="1:1" x14ac:dyDescent="0.2">
      <c r="A4117" s="2"/>
    </row>
    <row r="4118" spans="1:1" x14ac:dyDescent="0.2">
      <c r="A4118" s="2"/>
    </row>
    <row r="4119" spans="1:1" x14ac:dyDescent="0.2">
      <c r="A4119" s="2"/>
    </row>
    <row r="4120" spans="1:1" x14ac:dyDescent="0.2">
      <c r="A4120" s="2"/>
    </row>
    <row r="4121" spans="1:1" x14ac:dyDescent="0.2">
      <c r="A4121" s="2"/>
    </row>
    <row r="4122" spans="1:1" x14ac:dyDescent="0.2">
      <c r="A4122" s="2"/>
    </row>
    <row r="4123" spans="1:1" x14ac:dyDescent="0.2">
      <c r="A4123" s="2"/>
    </row>
    <row r="4124" spans="1:1" x14ac:dyDescent="0.2">
      <c r="A4124" s="2"/>
    </row>
    <row r="4125" spans="1:1" x14ac:dyDescent="0.2">
      <c r="A4125" s="2"/>
    </row>
    <row r="4126" spans="1:1" x14ac:dyDescent="0.2">
      <c r="A4126" s="2"/>
    </row>
    <row r="4127" spans="1:1" x14ac:dyDescent="0.2">
      <c r="A4127" s="2"/>
    </row>
    <row r="4128" spans="1:1" x14ac:dyDescent="0.2">
      <c r="A4128" s="2"/>
    </row>
    <row r="4129" spans="1:1" x14ac:dyDescent="0.2">
      <c r="A4129" s="2"/>
    </row>
    <row r="4130" spans="1:1" x14ac:dyDescent="0.2">
      <c r="A4130" s="2"/>
    </row>
    <row r="4131" spans="1:1" x14ac:dyDescent="0.2">
      <c r="A4131" s="2"/>
    </row>
    <row r="4132" spans="1:1" x14ac:dyDescent="0.2">
      <c r="A4132" s="2"/>
    </row>
    <row r="4133" spans="1:1" x14ac:dyDescent="0.2">
      <c r="A4133" s="2"/>
    </row>
    <row r="4134" spans="1:1" x14ac:dyDescent="0.2">
      <c r="A4134" s="2"/>
    </row>
    <row r="4135" spans="1:1" x14ac:dyDescent="0.2">
      <c r="A4135" s="2"/>
    </row>
    <row r="4136" spans="1:1" x14ac:dyDescent="0.2">
      <c r="A4136" s="2"/>
    </row>
    <row r="4137" spans="1:1" x14ac:dyDescent="0.2">
      <c r="A4137" s="2"/>
    </row>
    <row r="4138" spans="1:1" x14ac:dyDescent="0.2">
      <c r="A4138" s="2"/>
    </row>
    <row r="4139" spans="1:1" x14ac:dyDescent="0.2">
      <c r="A4139" s="2"/>
    </row>
    <row r="4140" spans="1:1" x14ac:dyDescent="0.2">
      <c r="A4140" s="2"/>
    </row>
    <row r="4141" spans="1:1" x14ac:dyDescent="0.2">
      <c r="A4141" s="2"/>
    </row>
    <row r="4142" spans="1:1" x14ac:dyDescent="0.2">
      <c r="A4142" s="2"/>
    </row>
    <row r="4143" spans="1:1" x14ac:dyDescent="0.2">
      <c r="A4143" s="2"/>
    </row>
    <row r="4144" spans="1:1" x14ac:dyDescent="0.2">
      <c r="A4144" s="2"/>
    </row>
    <row r="4145" spans="1:1" x14ac:dyDescent="0.2">
      <c r="A4145" s="2"/>
    </row>
    <row r="4146" spans="1:1" x14ac:dyDescent="0.2">
      <c r="A4146" s="2"/>
    </row>
    <row r="4147" spans="1:1" x14ac:dyDescent="0.2">
      <c r="A4147" s="2"/>
    </row>
    <row r="4148" spans="1:1" x14ac:dyDescent="0.2">
      <c r="A4148" s="2"/>
    </row>
    <row r="4149" spans="1:1" x14ac:dyDescent="0.2">
      <c r="A4149" s="2"/>
    </row>
    <row r="4150" spans="1:1" x14ac:dyDescent="0.2">
      <c r="A4150" s="2"/>
    </row>
    <row r="4151" spans="1:1" x14ac:dyDescent="0.2">
      <c r="A4151" s="2"/>
    </row>
    <row r="4152" spans="1:1" x14ac:dyDescent="0.2">
      <c r="A4152" s="2"/>
    </row>
    <row r="4153" spans="1:1" x14ac:dyDescent="0.2">
      <c r="A4153" s="2"/>
    </row>
    <row r="4154" spans="1:1" x14ac:dyDescent="0.2">
      <c r="A4154" s="2"/>
    </row>
    <row r="4155" spans="1:1" x14ac:dyDescent="0.2">
      <c r="A4155" s="2"/>
    </row>
    <row r="4156" spans="1:1" x14ac:dyDescent="0.2">
      <c r="A4156" s="2"/>
    </row>
    <row r="4157" spans="1:1" x14ac:dyDescent="0.2">
      <c r="A4157" s="2"/>
    </row>
    <row r="4158" spans="1:1" x14ac:dyDescent="0.2">
      <c r="A4158" s="2"/>
    </row>
    <row r="4159" spans="1:1" x14ac:dyDescent="0.2">
      <c r="A4159" s="2"/>
    </row>
    <row r="4160" spans="1:1" x14ac:dyDescent="0.2">
      <c r="A4160" s="2"/>
    </row>
    <row r="4161" spans="1:1" x14ac:dyDescent="0.2">
      <c r="A4161" s="2"/>
    </row>
    <row r="4162" spans="1:1" x14ac:dyDescent="0.2">
      <c r="A4162" s="2"/>
    </row>
    <row r="4163" spans="1:1" x14ac:dyDescent="0.2">
      <c r="A4163" s="2"/>
    </row>
    <row r="4164" spans="1:1" x14ac:dyDescent="0.2">
      <c r="A4164" s="2"/>
    </row>
    <row r="4165" spans="1:1" x14ac:dyDescent="0.2">
      <c r="A4165" s="2"/>
    </row>
    <row r="4166" spans="1:1" x14ac:dyDescent="0.2">
      <c r="A4166" s="2"/>
    </row>
    <row r="4167" spans="1:1" x14ac:dyDescent="0.2">
      <c r="A4167" s="2"/>
    </row>
    <row r="4168" spans="1:1" x14ac:dyDescent="0.2">
      <c r="A4168" s="2"/>
    </row>
    <row r="4169" spans="1:1" x14ac:dyDescent="0.2">
      <c r="A4169" s="2"/>
    </row>
    <row r="4170" spans="1:1" x14ac:dyDescent="0.2">
      <c r="A4170" s="2"/>
    </row>
    <row r="4171" spans="1:1" x14ac:dyDescent="0.2">
      <c r="A4171" s="2"/>
    </row>
    <row r="4172" spans="1:1" x14ac:dyDescent="0.2">
      <c r="A4172" s="2"/>
    </row>
    <row r="4173" spans="1:1" x14ac:dyDescent="0.2">
      <c r="A4173" s="2"/>
    </row>
    <row r="4174" spans="1:1" x14ac:dyDescent="0.2">
      <c r="A4174" s="2"/>
    </row>
    <row r="4175" spans="1:1" x14ac:dyDescent="0.2">
      <c r="A4175" s="2"/>
    </row>
    <row r="4176" spans="1:1" x14ac:dyDescent="0.2">
      <c r="A4176" s="2"/>
    </row>
    <row r="4177" spans="1:1" x14ac:dyDescent="0.2">
      <c r="A4177" s="2"/>
    </row>
    <row r="4178" spans="1:1" x14ac:dyDescent="0.2">
      <c r="A4178" s="2"/>
    </row>
    <row r="4179" spans="1:1" x14ac:dyDescent="0.2">
      <c r="A4179" s="2"/>
    </row>
    <row r="4180" spans="1:1" x14ac:dyDescent="0.2">
      <c r="A4180" s="2"/>
    </row>
    <row r="4181" spans="1:1" x14ac:dyDescent="0.2">
      <c r="A4181" s="2"/>
    </row>
    <row r="4182" spans="1:1" x14ac:dyDescent="0.2">
      <c r="A4182" s="2"/>
    </row>
    <row r="4183" spans="1:1" x14ac:dyDescent="0.2">
      <c r="A4183" s="2"/>
    </row>
    <row r="4184" spans="1:1" x14ac:dyDescent="0.2">
      <c r="A4184" s="2"/>
    </row>
    <row r="4185" spans="1:1" x14ac:dyDescent="0.2">
      <c r="A4185" s="2"/>
    </row>
    <row r="4186" spans="1:1" x14ac:dyDescent="0.2">
      <c r="A4186" s="2"/>
    </row>
    <row r="4187" spans="1:1" x14ac:dyDescent="0.2">
      <c r="A4187" s="2"/>
    </row>
    <row r="4188" spans="1:1" x14ac:dyDescent="0.2">
      <c r="A4188" s="2"/>
    </row>
    <row r="4189" spans="1:1" x14ac:dyDescent="0.2">
      <c r="A4189" s="2"/>
    </row>
    <row r="4190" spans="1:1" x14ac:dyDescent="0.2">
      <c r="A4190" s="2"/>
    </row>
    <row r="4191" spans="1:1" x14ac:dyDescent="0.2">
      <c r="A4191" s="2"/>
    </row>
    <row r="4192" spans="1:1" x14ac:dyDescent="0.2">
      <c r="A4192" s="2"/>
    </row>
    <row r="4193" spans="1:1" x14ac:dyDescent="0.2">
      <c r="A4193" s="2"/>
    </row>
    <row r="4194" spans="1:1" x14ac:dyDescent="0.2">
      <c r="A4194" s="2"/>
    </row>
    <row r="4195" spans="1:1" x14ac:dyDescent="0.2">
      <c r="A4195" s="2"/>
    </row>
    <row r="4196" spans="1:1" x14ac:dyDescent="0.2">
      <c r="A4196" s="2"/>
    </row>
    <row r="4197" spans="1:1" x14ac:dyDescent="0.2">
      <c r="A4197" s="2"/>
    </row>
    <row r="4198" spans="1:1" x14ac:dyDescent="0.2">
      <c r="A4198" s="2"/>
    </row>
    <row r="4199" spans="1:1" x14ac:dyDescent="0.2">
      <c r="A4199" s="2"/>
    </row>
    <row r="4200" spans="1:1" x14ac:dyDescent="0.2">
      <c r="A4200" s="2"/>
    </row>
    <row r="4201" spans="1:1" x14ac:dyDescent="0.2">
      <c r="A4201" s="2"/>
    </row>
    <row r="4202" spans="1:1" x14ac:dyDescent="0.2">
      <c r="A4202" s="2"/>
    </row>
    <row r="4203" spans="1:1" x14ac:dyDescent="0.2">
      <c r="A4203" s="2"/>
    </row>
    <row r="4204" spans="1:1" x14ac:dyDescent="0.2">
      <c r="A4204" s="2"/>
    </row>
    <row r="4205" spans="1:1" x14ac:dyDescent="0.2">
      <c r="A4205" s="2"/>
    </row>
    <row r="4206" spans="1:1" x14ac:dyDescent="0.2">
      <c r="A4206" s="2"/>
    </row>
    <row r="4207" spans="1:1" x14ac:dyDescent="0.2">
      <c r="A4207" s="2"/>
    </row>
    <row r="4208" spans="1:1" x14ac:dyDescent="0.2">
      <c r="A4208" s="2"/>
    </row>
    <row r="4209" spans="1:1" x14ac:dyDescent="0.2">
      <c r="A4209" s="2"/>
    </row>
    <row r="4210" spans="1:1" x14ac:dyDescent="0.2">
      <c r="A4210" s="2"/>
    </row>
    <row r="4211" spans="1:1" x14ac:dyDescent="0.2">
      <c r="A4211" s="2"/>
    </row>
    <row r="4212" spans="1:1" x14ac:dyDescent="0.2">
      <c r="A4212" s="2"/>
    </row>
    <row r="4213" spans="1:1" x14ac:dyDescent="0.2">
      <c r="A4213" s="2"/>
    </row>
    <row r="4214" spans="1:1" x14ac:dyDescent="0.2">
      <c r="A4214" s="2"/>
    </row>
    <row r="4215" spans="1:1" x14ac:dyDescent="0.2">
      <c r="A4215" s="2"/>
    </row>
    <row r="4216" spans="1:1" x14ac:dyDescent="0.2">
      <c r="A4216" s="2"/>
    </row>
    <row r="4217" spans="1:1" x14ac:dyDescent="0.2">
      <c r="A4217" s="2"/>
    </row>
    <row r="4218" spans="1:1" x14ac:dyDescent="0.2">
      <c r="A4218" s="2"/>
    </row>
    <row r="4219" spans="1:1" x14ac:dyDescent="0.2">
      <c r="A4219" s="2"/>
    </row>
    <row r="4220" spans="1:1" x14ac:dyDescent="0.2">
      <c r="A4220" s="2"/>
    </row>
    <row r="4221" spans="1:1" x14ac:dyDescent="0.2">
      <c r="A4221" s="2"/>
    </row>
    <row r="4222" spans="1:1" x14ac:dyDescent="0.2">
      <c r="A4222" s="2"/>
    </row>
    <row r="4223" spans="1:1" x14ac:dyDescent="0.2">
      <c r="A4223" s="2"/>
    </row>
    <row r="4224" spans="1:1" x14ac:dyDescent="0.2">
      <c r="A4224" s="2"/>
    </row>
    <row r="4225" spans="1:1" x14ac:dyDescent="0.2">
      <c r="A4225" s="2"/>
    </row>
    <row r="4226" spans="1:1" x14ac:dyDescent="0.2">
      <c r="A4226" s="2"/>
    </row>
    <row r="4227" spans="1:1" x14ac:dyDescent="0.2">
      <c r="A4227" s="2"/>
    </row>
    <row r="4228" spans="1:1" x14ac:dyDescent="0.2">
      <c r="A4228" s="2"/>
    </row>
    <row r="4229" spans="1:1" x14ac:dyDescent="0.2">
      <c r="A4229" s="2"/>
    </row>
    <row r="4230" spans="1:1" x14ac:dyDescent="0.2">
      <c r="A4230" s="2"/>
    </row>
    <row r="4231" spans="1:1" x14ac:dyDescent="0.2">
      <c r="A4231" s="2"/>
    </row>
    <row r="4232" spans="1:1" x14ac:dyDescent="0.2">
      <c r="A4232" s="2"/>
    </row>
    <row r="4233" spans="1:1" x14ac:dyDescent="0.2">
      <c r="A4233" s="2"/>
    </row>
    <row r="4234" spans="1:1" x14ac:dyDescent="0.2">
      <c r="A4234" s="2"/>
    </row>
    <row r="4235" spans="1:1" x14ac:dyDescent="0.2">
      <c r="A4235" s="2"/>
    </row>
    <row r="4236" spans="1:1" x14ac:dyDescent="0.2">
      <c r="A4236" s="2"/>
    </row>
    <row r="4237" spans="1:1" x14ac:dyDescent="0.2">
      <c r="A4237" s="2"/>
    </row>
    <row r="4238" spans="1:1" x14ac:dyDescent="0.2">
      <c r="A4238" s="2"/>
    </row>
    <row r="4239" spans="1:1" x14ac:dyDescent="0.2">
      <c r="A4239" s="2"/>
    </row>
    <row r="4240" spans="1:1" x14ac:dyDescent="0.2">
      <c r="A4240" s="2"/>
    </row>
    <row r="4241" spans="1:1" x14ac:dyDescent="0.2">
      <c r="A4241" s="2"/>
    </row>
    <row r="4242" spans="1:1" x14ac:dyDescent="0.2">
      <c r="A4242" s="2"/>
    </row>
    <row r="4243" spans="1:1" x14ac:dyDescent="0.2">
      <c r="A4243" s="2"/>
    </row>
    <row r="4244" spans="1:1" x14ac:dyDescent="0.2">
      <c r="A4244" s="2"/>
    </row>
    <row r="4245" spans="1:1" x14ac:dyDescent="0.2">
      <c r="A4245" s="2"/>
    </row>
    <row r="4246" spans="1:1" x14ac:dyDescent="0.2">
      <c r="A4246" s="2"/>
    </row>
    <row r="4247" spans="1:1" x14ac:dyDescent="0.2">
      <c r="A4247" s="2"/>
    </row>
    <row r="4248" spans="1:1" x14ac:dyDescent="0.2">
      <c r="A4248" s="2"/>
    </row>
    <row r="4249" spans="1:1" x14ac:dyDescent="0.2">
      <c r="A4249" s="2"/>
    </row>
    <row r="4250" spans="1:1" x14ac:dyDescent="0.2">
      <c r="A4250" s="2"/>
    </row>
    <row r="4251" spans="1:1" x14ac:dyDescent="0.2">
      <c r="A4251" s="2"/>
    </row>
    <row r="4252" spans="1:1" x14ac:dyDescent="0.2">
      <c r="A4252" s="2"/>
    </row>
    <row r="4253" spans="1:1" x14ac:dyDescent="0.2">
      <c r="A4253" s="2"/>
    </row>
    <row r="4254" spans="1:1" x14ac:dyDescent="0.2">
      <c r="A4254" s="2"/>
    </row>
    <row r="4255" spans="1:1" x14ac:dyDescent="0.2">
      <c r="A4255" s="2"/>
    </row>
    <row r="4256" spans="1:1" x14ac:dyDescent="0.2">
      <c r="A4256" s="2"/>
    </row>
    <row r="4257" spans="1:1" x14ac:dyDescent="0.2">
      <c r="A4257" s="2"/>
    </row>
    <row r="4258" spans="1:1" x14ac:dyDescent="0.2">
      <c r="A4258" s="2"/>
    </row>
    <row r="4259" spans="1:1" x14ac:dyDescent="0.2">
      <c r="A4259" s="2"/>
    </row>
    <row r="4260" spans="1:1" x14ac:dyDescent="0.2">
      <c r="A4260" s="2"/>
    </row>
    <row r="4261" spans="1:1" x14ac:dyDescent="0.2">
      <c r="A4261" s="2"/>
    </row>
    <row r="4262" spans="1:1" x14ac:dyDescent="0.2">
      <c r="A4262" s="2"/>
    </row>
    <row r="4263" spans="1:1" x14ac:dyDescent="0.2">
      <c r="A4263" s="2"/>
    </row>
    <row r="4264" spans="1:1" x14ac:dyDescent="0.2">
      <c r="A4264" s="2"/>
    </row>
    <row r="4265" spans="1:1" x14ac:dyDescent="0.2">
      <c r="A4265" s="2"/>
    </row>
    <row r="4266" spans="1:1" x14ac:dyDescent="0.2">
      <c r="A4266" s="2"/>
    </row>
    <row r="4267" spans="1:1" x14ac:dyDescent="0.2">
      <c r="A4267" s="2"/>
    </row>
    <row r="4268" spans="1:1" x14ac:dyDescent="0.2">
      <c r="A4268" s="2"/>
    </row>
    <row r="4269" spans="1:1" x14ac:dyDescent="0.2">
      <c r="A4269" s="2"/>
    </row>
    <row r="4270" spans="1:1" x14ac:dyDescent="0.2">
      <c r="A4270" s="2"/>
    </row>
    <row r="4271" spans="1:1" x14ac:dyDescent="0.2">
      <c r="A4271" s="2"/>
    </row>
    <row r="4272" spans="1:1" x14ac:dyDescent="0.2">
      <c r="A4272" s="2"/>
    </row>
    <row r="4273" spans="1:1" x14ac:dyDescent="0.2">
      <c r="A4273" s="2"/>
    </row>
    <row r="4274" spans="1:1" x14ac:dyDescent="0.2">
      <c r="A4274" s="2"/>
    </row>
    <row r="4275" spans="1:1" x14ac:dyDescent="0.2">
      <c r="A4275" s="2"/>
    </row>
    <row r="4276" spans="1:1" x14ac:dyDescent="0.2">
      <c r="A4276" s="2"/>
    </row>
    <row r="4277" spans="1:1" x14ac:dyDescent="0.2">
      <c r="A4277" s="2"/>
    </row>
    <row r="4278" spans="1:1" x14ac:dyDescent="0.2">
      <c r="A4278" s="2"/>
    </row>
    <row r="4279" spans="1:1" x14ac:dyDescent="0.2">
      <c r="A4279" s="2"/>
    </row>
    <row r="4280" spans="1:1" x14ac:dyDescent="0.2">
      <c r="A4280" s="2"/>
    </row>
    <row r="4281" spans="1:1" x14ac:dyDescent="0.2">
      <c r="A4281" s="2"/>
    </row>
    <row r="4282" spans="1:1" x14ac:dyDescent="0.2">
      <c r="A4282" s="2"/>
    </row>
    <row r="4283" spans="1:1" x14ac:dyDescent="0.2">
      <c r="A4283" s="2"/>
    </row>
    <row r="4284" spans="1:1" x14ac:dyDescent="0.2">
      <c r="A4284" s="2"/>
    </row>
    <row r="4285" spans="1:1" x14ac:dyDescent="0.2">
      <c r="A4285" s="2"/>
    </row>
    <row r="4286" spans="1:1" x14ac:dyDescent="0.2">
      <c r="A4286" s="2"/>
    </row>
    <row r="4287" spans="1:1" x14ac:dyDescent="0.2">
      <c r="A4287" s="2"/>
    </row>
    <row r="4288" spans="1:1" x14ac:dyDescent="0.2">
      <c r="A4288" s="2"/>
    </row>
    <row r="4289" spans="1:1" x14ac:dyDescent="0.2">
      <c r="A4289" s="2"/>
    </row>
    <row r="4290" spans="1:1" x14ac:dyDescent="0.2">
      <c r="A4290" s="2"/>
    </row>
    <row r="4291" spans="1:1" x14ac:dyDescent="0.2">
      <c r="A4291" s="2"/>
    </row>
    <row r="4292" spans="1:1" x14ac:dyDescent="0.2">
      <c r="A4292" s="2"/>
    </row>
    <row r="4293" spans="1:1" x14ac:dyDescent="0.2">
      <c r="A4293" s="2"/>
    </row>
    <row r="4294" spans="1:1" x14ac:dyDescent="0.2">
      <c r="A4294" s="2"/>
    </row>
    <row r="4295" spans="1:1" x14ac:dyDescent="0.2">
      <c r="A4295" s="2"/>
    </row>
    <row r="4296" spans="1:1" x14ac:dyDescent="0.2">
      <c r="A4296" s="2"/>
    </row>
    <row r="4297" spans="1:1" x14ac:dyDescent="0.2">
      <c r="A4297" s="2"/>
    </row>
    <row r="4298" spans="1:1" x14ac:dyDescent="0.2">
      <c r="A4298" s="2"/>
    </row>
    <row r="4299" spans="1:1" x14ac:dyDescent="0.2">
      <c r="A4299" s="2"/>
    </row>
    <row r="4300" spans="1:1" x14ac:dyDescent="0.2">
      <c r="A4300" s="2"/>
    </row>
    <row r="4301" spans="1:1" x14ac:dyDescent="0.2">
      <c r="A4301" s="2"/>
    </row>
    <row r="4302" spans="1:1" x14ac:dyDescent="0.2">
      <c r="A4302" s="2"/>
    </row>
    <row r="4303" spans="1:1" x14ac:dyDescent="0.2">
      <c r="A4303" s="2"/>
    </row>
    <row r="4304" spans="1:1" x14ac:dyDescent="0.2">
      <c r="A4304" s="2"/>
    </row>
    <row r="4305" spans="1:1" x14ac:dyDescent="0.2">
      <c r="A4305" s="2"/>
    </row>
    <row r="4306" spans="1:1" x14ac:dyDescent="0.2">
      <c r="A4306" s="2"/>
    </row>
    <row r="4307" spans="1:1" x14ac:dyDescent="0.2">
      <c r="A4307" s="2"/>
    </row>
    <row r="4308" spans="1:1" x14ac:dyDescent="0.2">
      <c r="A4308" s="2"/>
    </row>
    <row r="4309" spans="1:1" x14ac:dyDescent="0.2">
      <c r="A4309" s="2"/>
    </row>
    <row r="4310" spans="1:1" x14ac:dyDescent="0.2">
      <c r="A4310" s="2"/>
    </row>
    <row r="4311" spans="1:1" x14ac:dyDescent="0.2">
      <c r="A4311" s="2"/>
    </row>
    <row r="4312" spans="1:1" x14ac:dyDescent="0.2">
      <c r="A4312" s="2"/>
    </row>
    <row r="4313" spans="1:1" x14ac:dyDescent="0.2">
      <c r="A4313" s="2"/>
    </row>
    <row r="4314" spans="1:1" x14ac:dyDescent="0.2">
      <c r="A4314" s="2"/>
    </row>
    <row r="4315" spans="1:1" x14ac:dyDescent="0.2">
      <c r="A4315" s="2"/>
    </row>
    <row r="4316" spans="1:1" x14ac:dyDescent="0.2">
      <c r="A4316" s="2"/>
    </row>
    <row r="4317" spans="1:1" x14ac:dyDescent="0.2">
      <c r="A4317" s="2"/>
    </row>
    <row r="4318" spans="1:1" x14ac:dyDescent="0.2">
      <c r="A4318" s="2"/>
    </row>
    <row r="4319" spans="1:1" x14ac:dyDescent="0.2">
      <c r="A4319" s="2"/>
    </row>
    <row r="4320" spans="1:1" x14ac:dyDescent="0.2">
      <c r="A4320" s="2"/>
    </row>
    <row r="4321" spans="1:1" x14ac:dyDescent="0.2">
      <c r="A4321" s="2"/>
    </row>
    <row r="4322" spans="1:1" x14ac:dyDescent="0.2">
      <c r="A4322" s="2"/>
    </row>
    <row r="4323" spans="1:1" x14ac:dyDescent="0.2">
      <c r="A4323" s="2"/>
    </row>
    <row r="4324" spans="1:1" x14ac:dyDescent="0.2">
      <c r="A4324" s="2"/>
    </row>
    <row r="4325" spans="1:1" x14ac:dyDescent="0.2">
      <c r="A4325" s="2"/>
    </row>
    <row r="4326" spans="1:1" x14ac:dyDescent="0.2">
      <c r="A4326" s="2"/>
    </row>
    <row r="4327" spans="1:1" x14ac:dyDescent="0.2">
      <c r="A4327" s="2"/>
    </row>
    <row r="4328" spans="1:1" x14ac:dyDescent="0.2">
      <c r="A4328" s="2"/>
    </row>
    <row r="4329" spans="1:1" x14ac:dyDescent="0.2">
      <c r="A4329" s="2"/>
    </row>
    <row r="4330" spans="1:1" x14ac:dyDescent="0.2">
      <c r="A4330" s="2"/>
    </row>
    <row r="4331" spans="1:1" x14ac:dyDescent="0.2">
      <c r="A4331" s="2"/>
    </row>
    <row r="4332" spans="1:1" x14ac:dyDescent="0.2">
      <c r="A4332" s="2"/>
    </row>
    <row r="4333" spans="1:1" x14ac:dyDescent="0.2">
      <c r="A4333" s="2"/>
    </row>
    <row r="4334" spans="1:1" x14ac:dyDescent="0.2">
      <c r="A4334" s="2"/>
    </row>
    <row r="4335" spans="1:1" x14ac:dyDescent="0.2">
      <c r="A4335" s="2"/>
    </row>
    <row r="4336" spans="1:1" x14ac:dyDescent="0.2">
      <c r="A4336" s="2"/>
    </row>
    <row r="4337" spans="1:1" x14ac:dyDescent="0.2">
      <c r="A4337" s="2"/>
    </row>
    <row r="4338" spans="1:1" x14ac:dyDescent="0.2">
      <c r="A4338" s="2"/>
    </row>
    <row r="4339" spans="1:1" x14ac:dyDescent="0.2">
      <c r="A4339" s="2"/>
    </row>
    <row r="4340" spans="1:1" x14ac:dyDescent="0.2">
      <c r="A4340" s="2"/>
    </row>
    <row r="4341" spans="1:1" x14ac:dyDescent="0.2">
      <c r="A4341" s="2"/>
    </row>
    <row r="4342" spans="1:1" x14ac:dyDescent="0.2">
      <c r="A4342" s="2"/>
    </row>
    <row r="4343" spans="1:1" x14ac:dyDescent="0.2">
      <c r="A4343" s="2"/>
    </row>
    <row r="4344" spans="1:1" x14ac:dyDescent="0.2">
      <c r="A4344" s="2"/>
    </row>
    <row r="4345" spans="1:1" x14ac:dyDescent="0.2">
      <c r="A4345" s="2"/>
    </row>
    <row r="4346" spans="1:1" x14ac:dyDescent="0.2">
      <c r="A4346" s="2"/>
    </row>
    <row r="4347" spans="1:1" x14ac:dyDescent="0.2">
      <c r="A4347" s="2"/>
    </row>
    <row r="4348" spans="1:1" x14ac:dyDescent="0.2">
      <c r="A4348" s="2"/>
    </row>
    <row r="4349" spans="1:1" x14ac:dyDescent="0.2">
      <c r="A4349" s="2"/>
    </row>
    <row r="4350" spans="1:1" x14ac:dyDescent="0.2">
      <c r="A4350" s="2"/>
    </row>
    <row r="4351" spans="1:1" x14ac:dyDescent="0.2">
      <c r="A4351" s="2"/>
    </row>
    <row r="4352" spans="1:1" x14ac:dyDescent="0.2">
      <c r="A4352" s="2"/>
    </row>
    <row r="4353" spans="1:1" x14ac:dyDescent="0.2">
      <c r="A4353" s="2"/>
    </row>
    <row r="4354" spans="1:1" x14ac:dyDescent="0.2">
      <c r="A4354" s="2"/>
    </row>
    <row r="4355" spans="1:1" x14ac:dyDescent="0.2">
      <c r="A4355" s="2"/>
    </row>
    <row r="4356" spans="1:1" x14ac:dyDescent="0.2">
      <c r="A4356" s="2"/>
    </row>
    <row r="4357" spans="1:1" x14ac:dyDescent="0.2">
      <c r="A4357" s="2"/>
    </row>
    <row r="4358" spans="1:1" x14ac:dyDescent="0.2">
      <c r="A4358" s="2"/>
    </row>
    <row r="4359" spans="1:1" x14ac:dyDescent="0.2">
      <c r="A4359" s="2"/>
    </row>
    <row r="4360" spans="1:1" x14ac:dyDescent="0.2">
      <c r="A4360" s="2"/>
    </row>
    <row r="4361" spans="1:1" x14ac:dyDescent="0.2">
      <c r="A4361" s="2"/>
    </row>
    <row r="4362" spans="1:1" x14ac:dyDescent="0.2">
      <c r="A4362" s="2"/>
    </row>
    <row r="4363" spans="1:1" x14ac:dyDescent="0.2">
      <c r="A4363" s="2"/>
    </row>
    <row r="4364" spans="1:1" x14ac:dyDescent="0.2">
      <c r="A4364" s="2"/>
    </row>
    <row r="4365" spans="1:1" x14ac:dyDescent="0.2">
      <c r="A4365" s="2"/>
    </row>
    <row r="4366" spans="1:1" x14ac:dyDescent="0.2">
      <c r="A4366" s="2"/>
    </row>
    <row r="4367" spans="1:1" x14ac:dyDescent="0.2">
      <c r="A4367" s="2"/>
    </row>
    <row r="4368" spans="1:1" x14ac:dyDescent="0.2">
      <c r="A4368" s="2"/>
    </row>
    <row r="4369" spans="1:1" x14ac:dyDescent="0.2">
      <c r="A4369" s="2"/>
    </row>
    <row r="4370" spans="1:1" x14ac:dyDescent="0.2">
      <c r="A4370" s="2"/>
    </row>
    <row r="4371" spans="1:1" x14ac:dyDescent="0.2">
      <c r="A4371" s="2"/>
    </row>
    <row r="4372" spans="1:1" x14ac:dyDescent="0.2">
      <c r="A4372" s="2"/>
    </row>
    <row r="4373" spans="1:1" x14ac:dyDescent="0.2">
      <c r="A4373" s="2"/>
    </row>
    <row r="4374" spans="1:1" x14ac:dyDescent="0.2">
      <c r="A4374" s="2"/>
    </row>
    <row r="4375" spans="1:1" x14ac:dyDescent="0.2">
      <c r="A4375" s="2"/>
    </row>
    <row r="4376" spans="1:1" x14ac:dyDescent="0.2">
      <c r="A4376" s="2"/>
    </row>
    <row r="4377" spans="1:1" x14ac:dyDescent="0.2">
      <c r="A4377" s="2"/>
    </row>
    <row r="4378" spans="1:1" x14ac:dyDescent="0.2">
      <c r="A4378" s="2"/>
    </row>
    <row r="4379" spans="1:1" x14ac:dyDescent="0.2">
      <c r="A4379" s="2"/>
    </row>
    <row r="4380" spans="1:1" x14ac:dyDescent="0.2">
      <c r="A4380" s="2"/>
    </row>
    <row r="4381" spans="1:1" x14ac:dyDescent="0.2">
      <c r="A4381" s="2"/>
    </row>
    <row r="4382" spans="1:1" x14ac:dyDescent="0.2">
      <c r="A4382" s="2"/>
    </row>
    <row r="4383" spans="1:1" x14ac:dyDescent="0.2">
      <c r="A4383" s="2"/>
    </row>
    <row r="4384" spans="1:1" x14ac:dyDescent="0.2">
      <c r="A4384" s="2"/>
    </row>
    <row r="4385" spans="1:1" x14ac:dyDescent="0.2">
      <c r="A4385" s="2"/>
    </row>
    <row r="4386" spans="1:1" x14ac:dyDescent="0.2">
      <c r="A4386" s="2"/>
    </row>
    <row r="4387" spans="1:1" x14ac:dyDescent="0.2">
      <c r="A4387" s="2"/>
    </row>
    <row r="4388" spans="1:1" x14ac:dyDescent="0.2">
      <c r="A4388" s="2"/>
    </row>
    <row r="4389" spans="1:1" x14ac:dyDescent="0.2">
      <c r="A4389" s="2"/>
    </row>
    <row r="4390" spans="1:1" x14ac:dyDescent="0.2">
      <c r="A4390" s="2"/>
    </row>
    <row r="4391" spans="1:1" x14ac:dyDescent="0.2">
      <c r="A4391" s="2"/>
    </row>
    <row r="4392" spans="1:1" x14ac:dyDescent="0.2">
      <c r="A4392" s="2"/>
    </row>
    <row r="4393" spans="1:1" x14ac:dyDescent="0.2">
      <c r="A4393" s="2"/>
    </row>
    <row r="4394" spans="1:1" x14ac:dyDescent="0.2">
      <c r="A4394" s="2"/>
    </row>
    <row r="4395" spans="1:1" x14ac:dyDescent="0.2">
      <c r="A4395" s="2"/>
    </row>
    <row r="4396" spans="1:1" x14ac:dyDescent="0.2">
      <c r="A4396" s="2"/>
    </row>
    <row r="4397" spans="1:1" x14ac:dyDescent="0.2">
      <c r="A4397" s="2"/>
    </row>
    <row r="4398" spans="1:1" x14ac:dyDescent="0.2">
      <c r="A4398" s="2"/>
    </row>
    <row r="4399" spans="1:1" x14ac:dyDescent="0.2">
      <c r="A4399" s="2"/>
    </row>
    <row r="4400" spans="1:1" x14ac:dyDescent="0.2">
      <c r="A4400" s="2"/>
    </row>
    <row r="4401" spans="1:1" x14ac:dyDescent="0.2">
      <c r="A4401" s="2"/>
    </row>
    <row r="4402" spans="1:1" x14ac:dyDescent="0.2">
      <c r="A4402" s="2"/>
    </row>
    <row r="4403" spans="1:1" x14ac:dyDescent="0.2">
      <c r="A4403" s="2"/>
    </row>
    <row r="4404" spans="1:1" x14ac:dyDescent="0.2">
      <c r="A4404" s="2"/>
    </row>
    <row r="4405" spans="1:1" x14ac:dyDescent="0.2">
      <c r="A4405" s="2"/>
    </row>
    <row r="4406" spans="1:1" x14ac:dyDescent="0.2">
      <c r="A4406" s="2"/>
    </row>
    <row r="4407" spans="1:1" x14ac:dyDescent="0.2">
      <c r="A4407" s="2"/>
    </row>
    <row r="4408" spans="1:1" x14ac:dyDescent="0.2">
      <c r="A4408" s="2"/>
    </row>
    <row r="4409" spans="1:1" x14ac:dyDescent="0.2">
      <c r="A4409" s="2"/>
    </row>
    <row r="4410" spans="1:1" x14ac:dyDescent="0.2">
      <c r="A4410" s="2"/>
    </row>
    <row r="4411" spans="1:1" x14ac:dyDescent="0.2">
      <c r="A4411" s="2"/>
    </row>
    <row r="4412" spans="1:1" x14ac:dyDescent="0.2">
      <c r="A4412" s="2"/>
    </row>
    <row r="4413" spans="1:1" x14ac:dyDescent="0.2">
      <c r="A4413" s="2"/>
    </row>
    <row r="4414" spans="1:1" x14ac:dyDescent="0.2">
      <c r="A4414" s="2"/>
    </row>
    <row r="4415" spans="1:1" x14ac:dyDescent="0.2">
      <c r="A4415" s="2"/>
    </row>
    <row r="4416" spans="1:1" x14ac:dyDescent="0.2">
      <c r="A4416" s="2"/>
    </row>
    <row r="4417" spans="1:1" x14ac:dyDescent="0.2">
      <c r="A4417" s="2"/>
    </row>
    <row r="4418" spans="1:1" x14ac:dyDescent="0.2">
      <c r="A4418" s="2"/>
    </row>
    <row r="4419" spans="1:1" x14ac:dyDescent="0.2">
      <c r="A4419" s="2"/>
    </row>
    <row r="4420" spans="1:1" x14ac:dyDescent="0.2">
      <c r="A4420" s="2"/>
    </row>
    <row r="4421" spans="1:1" x14ac:dyDescent="0.2">
      <c r="A4421" s="2"/>
    </row>
    <row r="4422" spans="1:1" x14ac:dyDescent="0.2">
      <c r="A4422" s="2"/>
    </row>
    <row r="4423" spans="1:1" x14ac:dyDescent="0.2">
      <c r="A4423" s="2"/>
    </row>
    <row r="4424" spans="1:1" x14ac:dyDescent="0.2">
      <c r="A4424" s="2"/>
    </row>
    <row r="4425" spans="1:1" x14ac:dyDescent="0.2">
      <c r="A4425" s="2"/>
    </row>
    <row r="4426" spans="1:1" x14ac:dyDescent="0.2">
      <c r="A4426" s="2"/>
    </row>
    <row r="4427" spans="1:1" x14ac:dyDescent="0.2">
      <c r="A4427" s="2"/>
    </row>
    <row r="4428" spans="1:1" x14ac:dyDescent="0.2">
      <c r="A4428" s="2"/>
    </row>
    <row r="4429" spans="1:1" x14ac:dyDescent="0.2">
      <c r="A4429" s="2"/>
    </row>
    <row r="4430" spans="1:1" x14ac:dyDescent="0.2">
      <c r="A4430" s="2"/>
    </row>
    <row r="4431" spans="1:1" x14ac:dyDescent="0.2">
      <c r="A4431" s="2"/>
    </row>
    <row r="4432" spans="1:1" x14ac:dyDescent="0.2">
      <c r="A4432" s="2"/>
    </row>
    <row r="4433" spans="1:1" x14ac:dyDescent="0.2">
      <c r="A4433" s="2"/>
    </row>
    <row r="4434" spans="1:1" x14ac:dyDescent="0.2">
      <c r="A4434" s="2"/>
    </row>
    <row r="4435" spans="1:1" x14ac:dyDescent="0.2">
      <c r="A4435" s="2"/>
    </row>
    <row r="4436" spans="1:1" x14ac:dyDescent="0.2">
      <c r="A4436" s="2"/>
    </row>
    <row r="4437" spans="1:1" x14ac:dyDescent="0.2">
      <c r="A4437" s="2"/>
    </row>
    <row r="4438" spans="1:1" x14ac:dyDescent="0.2">
      <c r="A4438" s="2"/>
    </row>
    <row r="65536" spans="1:3" x14ac:dyDescent="0.2">
      <c r="A65536" s="2"/>
      <c r="B65536" s="2"/>
      <c r="C65536" s="2"/>
    </row>
  </sheetData>
  <phoneticPr fontId="1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AF6419-B5FD-459F-B96B-C331E67C4AF6}">
  <sheetPr codeName="Sheet7"/>
  <dimension ref="A1:J28"/>
  <sheetViews>
    <sheetView workbookViewId="0">
      <selection activeCell="I27" sqref="I27"/>
    </sheetView>
  </sheetViews>
  <sheetFormatPr defaultRowHeight="12.75" x14ac:dyDescent="0.2"/>
  <cols>
    <col min="1" max="1" width="10.140625" bestFit="1" customWidth="1"/>
    <col min="3" max="3" width="10.140625" bestFit="1" customWidth="1"/>
    <col min="9" max="9" width="11" bestFit="1" customWidth="1"/>
    <col min="10" max="10" width="10" bestFit="1" customWidth="1"/>
  </cols>
  <sheetData>
    <row r="1" spans="1:10" x14ac:dyDescent="0.2">
      <c r="A1" t="s">
        <v>13</v>
      </c>
      <c r="B1" t="s">
        <v>74</v>
      </c>
      <c r="C1" t="s">
        <v>7</v>
      </c>
      <c r="D1" t="s">
        <v>8</v>
      </c>
      <c r="E1" t="s">
        <v>6</v>
      </c>
      <c r="F1" t="s">
        <v>9</v>
      </c>
      <c r="G1" t="s">
        <v>10</v>
      </c>
      <c r="H1" t="s">
        <v>11</v>
      </c>
      <c r="I1" t="s">
        <v>33</v>
      </c>
      <c r="J1" t="s">
        <v>37</v>
      </c>
    </row>
    <row r="2" spans="1:10" x14ac:dyDescent="0.2">
      <c r="A2" s="3">
        <v>45720</v>
      </c>
      <c r="B2">
        <v>0</v>
      </c>
      <c r="C2">
        <v>1500</v>
      </c>
      <c r="D2">
        <v>300</v>
      </c>
      <c r="E2">
        <v>4000</v>
      </c>
      <c r="F2">
        <v>1000</v>
      </c>
      <c r="G2">
        <v>1000</v>
      </c>
      <c r="H2">
        <v>1000</v>
      </c>
      <c r="I2">
        <v>240136</v>
      </c>
      <c r="J2">
        <v>2600000</v>
      </c>
    </row>
    <row r="3" spans="1:10" x14ac:dyDescent="0.2">
      <c r="A3" s="3">
        <v>45721</v>
      </c>
      <c r="B3">
        <v>0</v>
      </c>
      <c r="C3">
        <v>1500</v>
      </c>
      <c r="D3">
        <v>300</v>
      </c>
      <c r="E3">
        <v>4000</v>
      </c>
      <c r="F3">
        <v>1000</v>
      </c>
      <c r="G3">
        <v>1000</v>
      </c>
      <c r="H3">
        <v>700</v>
      </c>
      <c r="I3">
        <v>238046</v>
      </c>
      <c r="J3">
        <v>-100000</v>
      </c>
    </row>
    <row r="4" spans="1:10" x14ac:dyDescent="0.2">
      <c r="A4" s="3">
        <v>45722</v>
      </c>
      <c r="B4">
        <v>0</v>
      </c>
      <c r="C4">
        <v>1500</v>
      </c>
      <c r="D4">
        <v>300</v>
      </c>
      <c r="E4">
        <v>12000</v>
      </c>
      <c r="F4">
        <v>1000</v>
      </c>
      <c r="G4">
        <v>1000</v>
      </c>
      <c r="H4">
        <v>700</v>
      </c>
      <c r="I4">
        <v>40097</v>
      </c>
      <c r="J4">
        <v>500000</v>
      </c>
    </row>
    <row r="5" spans="1:10" x14ac:dyDescent="0.2">
      <c r="A5" s="3">
        <v>45723</v>
      </c>
      <c r="B5">
        <v>0</v>
      </c>
      <c r="C5">
        <v>1500</v>
      </c>
      <c r="D5">
        <v>300</v>
      </c>
      <c r="E5">
        <v>12000</v>
      </c>
      <c r="F5">
        <v>1000</v>
      </c>
      <c r="G5">
        <v>1000</v>
      </c>
      <c r="H5">
        <v>700</v>
      </c>
      <c r="I5">
        <v>40097</v>
      </c>
      <c r="J5">
        <v>0</v>
      </c>
    </row>
    <row r="6" spans="1:10" x14ac:dyDescent="0.2">
      <c r="A6" s="3">
        <v>45726</v>
      </c>
      <c r="B6">
        <v>0</v>
      </c>
      <c r="C6">
        <v>1500</v>
      </c>
      <c r="D6">
        <v>300</v>
      </c>
      <c r="E6">
        <v>12000</v>
      </c>
      <c r="F6">
        <v>1000</v>
      </c>
      <c r="G6">
        <v>1000</v>
      </c>
      <c r="H6">
        <v>700</v>
      </c>
      <c r="I6">
        <v>40097</v>
      </c>
      <c r="J6">
        <v>0</v>
      </c>
    </row>
    <row r="7" spans="1:10" x14ac:dyDescent="0.2">
      <c r="A7" s="3">
        <v>45727</v>
      </c>
      <c r="B7">
        <v>0</v>
      </c>
      <c r="C7">
        <v>1500</v>
      </c>
      <c r="D7">
        <v>300</v>
      </c>
      <c r="E7">
        <v>12000</v>
      </c>
      <c r="F7">
        <v>1000</v>
      </c>
      <c r="G7">
        <v>1000</v>
      </c>
      <c r="H7">
        <v>700</v>
      </c>
      <c r="I7">
        <v>40097</v>
      </c>
      <c r="J7">
        <v>0</v>
      </c>
    </row>
    <row r="8" spans="1:10" x14ac:dyDescent="0.2">
      <c r="A8" s="3">
        <v>45728</v>
      </c>
      <c r="B8">
        <v>0</v>
      </c>
      <c r="C8">
        <v>1500</v>
      </c>
      <c r="D8">
        <v>300</v>
      </c>
      <c r="E8">
        <v>12000</v>
      </c>
      <c r="F8">
        <v>1000</v>
      </c>
      <c r="G8">
        <v>1000</v>
      </c>
      <c r="H8">
        <v>700</v>
      </c>
      <c r="I8">
        <v>40097</v>
      </c>
      <c r="J8">
        <v>0</v>
      </c>
    </row>
    <row r="9" spans="1:10" x14ac:dyDescent="0.2">
      <c r="A9" s="3">
        <v>45729</v>
      </c>
      <c r="B9">
        <v>0</v>
      </c>
      <c r="C9">
        <v>1500</v>
      </c>
      <c r="D9">
        <v>300</v>
      </c>
      <c r="E9">
        <v>12000</v>
      </c>
      <c r="F9">
        <v>1000</v>
      </c>
      <c r="G9">
        <v>1000</v>
      </c>
      <c r="H9">
        <v>700</v>
      </c>
      <c r="I9">
        <v>40097</v>
      </c>
      <c r="J9">
        <v>0</v>
      </c>
    </row>
    <row r="10" spans="1:10" x14ac:dyDescent="0.2">
      <c r="A10" s="3">
        <v>45730</v>
      </c>
      <c r="B10">
        <v>0</v>
      </c>
      <c r="C10">
        <v>1500</v>
      </c>
      <c r="D10">
        <v>300</v>
      </c>
      <c r="E10">
        <v>12000</v>
      </c>
      <c r="F10">
        <v>1000</v>
      </c>
      <c r="G10">
        <v>1000</v>
      </c>
      <c r="H10">
        <v>700</v>
      </c>
      <c r="I10">
        <v>40097</v>
      </c>
      <c r="J10">
        <v>0</v>
      </c>
    </row>
    <row r="11" spans="1:10" x14ac:dyDescent="0.2">
      <c r="A11" s="3">
        <v>45733</v>
      </c>
      <c r="B11">
        <v>0</v>
      </c>
      <c r="C11">
        <v>1500</v>
      </c>
      <c r="D11">
        <v>300</v>
      </c>
      <c r="E11">
        <v>12000</v>
      </c>
      <c r="F11">
        <v>1000</v>
      </c>
      <c r="G11">
        <v>1000</v>
      </c>
      <c r="H11">
        <v>700</v>
      </c>
      <c r="I11">
        <v>40097</v>
      </c>
      <c r="J11">
        <v>0</v>
      </c>
    </row>
    <row r="12" spans="1:10" x14ac:dyDescent="0.2">
      <c r="A12" s="3">
        <v>45734</v>
      </c>
      <c r="B12">
        <v>0</v>
      </c>
      <c r="C12">
        <v>1500</v>
      </c>
      <c r="D12">
        <v>300</v>
      </c>
      <c r="E12">
        <v>12000</v>
      </c>
      <c r="F12">
        <v>1000</v>
      </c>
      <c r="G12">
        <v>1000</v>
      </c>
      <c r="H12">
        <v>700</v>
      </c>
      <c r="I12">
        <v>40097</v>
      </c>
      <c r="J12">
        <v>0</v>
      </c>
    </row>
    <row r="13" spans="1:10" x14ac:dyDescent="0.2">
      <c r="A13" s="3">
        <v>45735</v>
      </c>
      <c r="B13">
        <v>0</v>
      </c>
      <c r="C13">
        <v>1500</v>
      </c>
      <c r="D13">
        <v>300</v>
      </c>
      <c r="E13">
        <v>12000</v>
      </c>
      <c r="F13">
        <v>1000</v>
      </c>
      <c r="G13">
        <v>1000</v>
      </c>
      <c r="H13">
        <v>700</v>
      </c>
      <c r="I13">
        <v>40097</v>
      </c>
      <c r="J13">
        <v>0</v>
      </c>
    </row>
    <row r="14" spans="1:10" x14ac:dyDescent="0.2">
      <c r="A14" s="3">
        <v>45736</v>
      </c>
      <c r="B14">
        <v>0</v>
      </c>
      <c r="C14">
        <v>1500</v>
      </c>
      <c r="D14">
        <v>300</v>
      </c>
      <c r="E14">
        <v>12000</v>
      </c>
      <c r="F14">
        <v>1000</v>
      </c>
      <c r="G14">
        <v>1000</v>
      </c>
      <c r="H14">
        <v>700</v>
      </c>
      <c r="I14">
        <v>40097</v>
      </c>
      <c r="J14">
        <v>0</v>
      </c>
    </row>
    <row r="15" spans="1:10" x14ac:dyDescent="0.2">
      <c r="A15" s="3">
        <v>45737</v>
      </c>
      <c r="B15">
        <v>0</v>
      </c>
      <c r="C15">
        <v>1500</v>
      </c>
      <c r="D15">
        <v>300</v>
      </c>
      <c r="E15">
        <v>12000</v>
      </c>
      <c r="F15">
        <v>1000</v>
      </c>
      <c r="G15">
        <v>1000</v>
      </c>
      <c r="H15">
        <v>700</v>
      </c>
      <c r="I15">
        <v>1000040097</v>
      </c>
      <c r="J15">
        <v>1000000000</v>
      </c>
    </row>
    <row r="16" spans="1:10" x14ac:dyDescent="0.2">
      <c r="A16" s="3">
        <v>45740</v>
      </c>
      <c r="B16">
        <v>0</v>
      </c>
      <c r="C16">
        <v>1500</v>
      </c>
      <c r="D16">
        <v>300</v>
      </c>
      <c r="E16">
        <v>12000</v>
      </c>
      <c r="F16">
        <v>1000</v>
      </c>
      <c r="G16">
        <v>1000</v>
      </c>
      <c r="H16">
        <v>700</v>
      </c>
      <c r="I16">
        <v>1500040097</v>
      </c>
      <c r="J16">
        <v>500000000</v>
      </c>
    </row>
    <row r="17" spans="1:10" x14ac:dyDescent="0.2">
      <c r="A17" s="3">
        <v>45741</v>
      </c>
      <c r="B17">
        <v>0</v>
      </c>
      <c r="C17">
        <v>1500</v>
      </c>
      <c r="D17">
        <v>300</v>
      </c>
      <c r="E17">
        <v>12000</v>
      </c>
      <c r="F17">
        <v>1000</v>
      </c>
      <c r="G17">
        <v>1000</v>
      </c>
      <c r="H17">
        <v>700</v>
      </c>
      <c r="I17">
        <v>1500040097</v>
      </c>
      <c r="J17">
        <v>0</v>
      </c>
    </row>
    <row r="18" spans="1:10" x14ac:dyDescent="0.2">
      <c r="A18" s="3">
        <v>45742</v>
      </c>
      <c r="B18">
        <v>0</v>
      </c>
      <c r="C18">
        <v>1500</v>
      </c>
      <c r="D18">
        <v>300</v>
      </c>
      <c r="E18">
        <v>12000</v>
      </c>
      <c r="F18">
        <v>1000</v>
      </c>
      <c r="G18">
        <v>1000</v>
      </c>
      <c r="H18">
        <v>700</v>
      </c>
      <c r="I18">
        <v>1500040097</v>
      </c>
      <c r="J18">
        <v>0</v>
      </c>
    </row>
    <row r="19" spans="1:10" x14ac:dyDescent="0.2">
      <c r="A19" s="3">
        <v>45743</v>
      </c>
      <c r="B19">
        <v>0</v>
      </c>
      <c r="C19">
        <v>1500</v>
      </c>
      <c r="D19">
        <v>300</v>
      </c>
      <c r="E19">
        <v>12000</v>
      </c>
      <c r="F19">
        <v>1000</v>
      </c>
      <c r="G19">
        <v>1000</v>
      </c>
      <c r="H19">
        <v>700</v>
      </c>
      <c r="I19">
        <v>1500040097</v>
      </c>
      <c r="J19">
        <v>0</v>
      </c>
    </row>
    <row r="20" spans="1:10" x14ac:dyDescent="0.2">
      <c r="A20" s="3">
        <v>45744</v>
      </c>
      <c r="B20">
        <v>0</v>
      </c>
      <c r="C20">
        <v>1500</v>
      </c>
      <c r="D20">
        <v>300</v>
      </c>
      <c r="E20">
        <v>12000</v>
      </c>
      <c r="F20">
        <v>1000</v>
      </c>
      <c r="G20">
        <v>1000</v>
      </c>
      <c r="H20">
        <v>700</v>
      </c>
      <c r="I20">
        <v>1500040097</v>
      </c>
      <c r="J20">
        <v>0</v>
      </c>
    </row>
    <row r="21" spans="1:10" x14ac:dyDescent="0.2">
      <c r="A21" s="3">
        <v>45747</v>
      </c>
      <c r="B21">
        <v>0</v>
      </c>
      <c r="C21">
        <v>1500</v>
      </c>
      <c r="D21">
        <v>300</v>
      </c>
      <c r="E21">
        <v>12000</v>
      </c>
      <c r="F21">
        <v>1000</v>
      </c>
      <c r="G21">
        <v>1000</v>
      </c>
      <c r="H21">
        <v>700</v>
      </c>
      <c r="I21">
        <v>1500040097</v>
      </c>
      <c r="J21">
        <v>0</v>
      </c>
    </row>
    <row r="22" spans="1:10" x14ac:dyDescent="0.2">
      <c r="A22" s="3">
        <v>45748</v>
      </c>
      <c r="B22">
        <v>0</v>
      </c>
      <c r="C22">
        <v>1500</v>
      </c>
      <c r="D22">
        <v>300</v>
      </c>
      <c r="E22">
        <v>12000</v>
      </c>
      <c r="F22">
        <v>1000</v>
      </c>
      <c r="G22">
        <v>1000</v>
      </c>
      <c r="H22">
        <v>700</v>
      </c>
      <c r="I22">
        <v>1500040097</v>
      </c>
      <c r="J22">
        <v>0</v>
      </c>
    </row>
    <row r="23" spans="1:10" x14ac:dyDescent="0.2">
      <c r="A23" s="3">
        <v>45749</v>
      </c>
      <c r="B23">
        <v>0</v>
      </c>
      <c r="C23">
        <v>1500</v>
      </c>
      <c r="D23">
        <v>300</v>
      </c>
      <c r="E23">
        <v>12000</v>
      </c>
      <c r="F23">
        <v>1000</v>
      </c>
      <c r="G23">
        <v>1000</v>
      </c>
      <c r="H23">
        <v>700</v>
      </c>
      <c r="I23">
        <v>1500040097</v>
      </c>
      <c r="J23">
        <v>0</v>
      </c>
    </row>
    <row r="24" spans="1:10" x14ac:dyDescent="0.2">
      <c r="A24" s="3">
        <v>45750</v>
      </c>
      <c r="B24">
        <v>0</v>
      </c>
      <c r="C24">
        <v>1500</v>
      </c>
      <c r="D24">
        <v>300</v>
      </c>
      <c r="E24">
        <v>12000</v>
      </c>
      <c r="F24">
        <v>1000</v>
      </c>
      <c r="G24">
        <v>1000</v>
      </c>
      <c r="H24">
        <v>700</v>
      </c>
      <c r="I24">
        <v>1500040097</v>
      </c>
      <c r="J24">
        <v>0</v>
      </c>
    </row>
    <row r="25" spans="1:10" x14ac:dyDescent="0.2">
      <c r="A25" s="3">
        <v>45751</v>
      </c>
      <c r="B25">
        <v>0</v>
      </c>
      <c r="C25">
        <v>1500</v>
      </c>
      <c r="D25">
        <v>300</v>
      </c>
      <c r="E25">
        <v>12000</v>
      </c>
      <c r="F25">
        <v>1000</v>
      </c>
      <c r="G25">
        <v>1000</v>
      </c>
      <c r="H25">
        <v>700</v>
      </c>
      <c r="I25">
        <v>1500040097</v>
      </c>
      <c r="J25">
        <v>0</v>
      </c>
    </row>
    <row r="26" spans="1:10" x14ac:dyDescent="0.2">
      <c r="A26" s="3">
        <v>45754</v>
      </c>
      <c r="B26">
        <v>0</v>
      </c>
      <c r="C26">
        <v>1500</v>
      </c>
      <c r="D26">
        <v>300</v>
      </c>
      <c r="E26">
        <v>12000</v>
      </c>
      <c r="F26">
        <v>1000</v>
      </c>
      <c r="G26">
        <v>1000</v>
      </c>
      <c r="H26">
        <v>700</v>
      </c>
      <c r="I26">
        <v>1500040097</v>
      </c>
      <c r="J26">
        <v>0</v>
      </c>
    </row>
    <row r="27" spans="1:10" x14ac:dyDescent="0.2">
      <c r="A27" s="3">
        <v>45755</v>
      </c>
      <c r="B27">
        <v>0</v>
      </c>
      <c r="C27">
        <v>1500</v>
      </c>
      <c r="D27">
        <v>300</v>
      </c>
      <c r="E27">
        <v>12000</v>
      </c>
      <c r="F27">
        <v>1000</v>
      </c>
      <c r="G27">
        <v>1000</v>
      </c>
      <c r="H27">
        <v>700</v>
      </c>
      <c r="I27">
        <v>1500040097</v>
      </c>
      <c r="J27">
        <v>0</v>
      </c>
    </row>
    <row r="28" spans="1:10" x14ac:dyDescent="0.2">
      <c r="A28" s="3">
        <v>45756</v>
      </c>
      <c r="B28">
        <v>0</v>
      </c>
      <c r="C28">
        <v>1500</v>
      </c>
      <c r="D28">
        <v>300</v>
      </c>
      <c r="E28">
        <v>12000</v>
      </c>
      <c r="F28">
        <v>1000</v>
      </c>
      <c r="G28">
        <v>1000</v>
      </c>
      <c r="H28">
        <v>700</v>
      </c>
      <c r="I28">
        <v>1500040097</v>
      </c>
      <c r="J28">
        <v>0</v>
      </c>
    </row>
  </sheetData>
  <sortState xmlns:xlrd2="http://schemas.microsoft.com/office/spreadsheetml/2017/richdata2" ref="A28:H33">
    <sortCondition ref="A28:A33"/>
  </sortState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8778F-BCDD-4F31-AE41-684F1C06DD1C}">
  <dimension ref="A1:Z35"/>
  <sheetViews>
    <sheetView topLeftCell="C1" workbookViewId="0">
      <selection activeCell="P4" sqref="P4"/>
    </sheetView>
  </sheetViews>
  <sheetFormatPr defaultRowHeight="12.75" x14ac:dyDescent="0.2"/>
  <cols>
    <col min="2" max="2" width="10.140625" bestFit="1" customWidth="1"/>
    <col min="3" max="3" width="18" customWidth="1"/>
    <col min="4" max="4" width="20.42578125" customWidth="1"/>
    <col min="6" max="6" width="11" bestFit="1" customWidth="1"/>
    <col min="7" max="7" width="12" bestFit="1" customWidth="1"/>
    <col min="8" max="8" width="11" bestFit="1" customWidth="1"/>
    <col min="9" max="9" width="12" bestFit="1" customWidth="1"/>
    <col min="10" max="10" width="11" bestFit="1" customWidth="1"/>
    <col min="11" max="11" width="10.140625" bestFit="1" customWidth="1"/>
    <col min="12" max="12" width="13.28515625" bestFit="1" customWidth="1"/>
    <col min="17" max="17" width="10.42578125" bestFit="1" customWidth="1"/>
    <col min="18" max="18" width="12.85546875" customWidth="1"/>
    <col min="19" max="19" width="12.7109375" customWidth="1"/>
    <col min="20" max="20" width="11.28515625" customWidth="1"/>
    <col min="21" max="21" width="15" customWidth="1"/>
    <col min="22" max="22" width="12.5703125" customWidth="1"/>
  </cols>
  <sheetData>
    <row r="1" spans="1:26" ht="15" x14ac:dyDescent="0.25">
      <c r="A1" s="26" t="s">
        <v>100</v>
      </c>
      <c r="B1" s="26"/>
      <c r="C1" s="26"/>
      <c r="D1" s="26"/>
      <c r="E1" s="26"/>
      <c r="F1" s="26"/>
      <c r="G1" s="26"/>
      <c r="H1" s="26"/>
      <c r="I1" s="8"/>
      <c r="J1" s="13" t="s">
        <v>101</v>
      </c>
      <c r="K1" s="14"/>
      <c r="L1" s="15" t="s">
        <v>102</v>
      </c>
      <c r="M1" s="15" t="s">
        <v>103</v>
      </c>
      <c r="N1" s="15"/>
      <c r="O1" s="15">
        <v>3</v>
      </c>
      <c r="P1" s="27">
        <v>1</v>
      </c>
      <c r="Q1" s="27"/>
      <c r="R1" s="27"/>
      <c r="S1" s="27"/>
      <c r="T1" s="15">
        <v>15</v>
      </c>
      <c r="U1" s="15"/>
      <c r="V1" s="15">
        <v>16</v>
      </c>
      <c r="W1" s="8"/>
      <c r="X1" s="15">
        <v>10</v>
      </c>
      <c r="Y1" s="8"/>
      <c r="Z1" s="10"/>
    </row>
    <row r="2" spans="1:26" x14ac:dyDescent="0.2">
      <c r="A2" s="16"/>
      <c r="B2" s="20" t="s">
        <v>134</v>
      </c>
      <c r="C2" s="16"/>
      <c r="D2" s="16"/>
      <c r="E2" s="16"/>
      <c r="F2" s="16"/>
      <c r="G2" s="16"/>
      <c r="H2" s="16"/>
      <c r="I2" s="8"/>
      <c r="J2" s="13"/>
      <c r="K2" s="14" t="s">
        <v>104</v>
      </c>
      <c r="L2" s="26" t="s">
        <v>132</v>
      </c>
      <c r="M2" s="26"/>
      <c r="N2" s="26" t="s">
        <v>133</v>
      </c>
      <c r="O2" s="26"/>
      <c r="P2" s="26" t="s">
        <v>105</v>
      </c>
      <c r="Q2" s="26"/>
      <c r="R2" s="26" t="s">
        <v>106</v>
      </c>
      <c r="S2" s="26"/>
      <c r="T2" s="13" t="s">
        <v>107</v>
      </c>
      <c r="U2" s="13" t="s">
        <v>108</v>
      </c>
      <c r="V2" s="14" t="s">
        <v>109</v>
      </c>
      <c r="W2" s="8"/>
      <c r="X2" s="13" t="s">
        <v>110</v>
      </c>
      <c r="Y2" s="8"/>
      <c r="Z2" s="10"/>
    </row>
    <row r="3" spans="1:26" x14ac:dyDescent="0.2">
      <c r="A3" s="17"/>
      <c r="B3" s="17" t="s">
        <v>111</v>
      </c>
      <c r="C3" s="17" t="s">
        <v>112</v>
      </c>
      <c r="D3" s="17" t="s">
        <v>113</v>
      </c>
      <c r="E3" s="17"/>
      <c r="F3" s="17"/>
      <c r="G3" s="17"/>
      <c r="H3" s="17"/>
      <c r="I3" s="8"/>
      <c r="J3" s="13" t="s">
        <v>114</v>
      </c>
      <c r="K3" s="14"/>
      <c r="L3" s="13" t="s">
        <v>33</v>
      </c>
      <c r="M3" s="13" t="s">
        <v>98</v>
      </c>
      <c r="N3" s="13" t="s">
        <v>33</v>
      </c>
      <c r="O3" s="13" t="s">
        <v>98</v>
      </c>
      <c r="P3" s="13" t="s">
        <v>115</v>
      </c>
      <c r="Q3" s="13" t="s">
        <v>116</v>
      </c>
      <c r="R3" s="13" t="s">
        <v>115</v>
      </c>
      <c r="S3" s="13" t="s">
        <v>116</v>
      </c>
      <c r="T3" s="13"/>
      <c r="U3" s="13"/>
      <c r="V3" s="14"/>
      <c r="W3" s="8"/>
      <c r="X3" s="13" t="s">
        <v>98</v>
      </c>
      <c r="Y3" s="8"/>
      <c r="Z3" s="10"/>
    </row>
    <row r="4" spans="1:26" x14ac:dyDescent="0.2">
      <c r="A4" s="17"/>
      <c r="B4" s="18">
        <v>45737</v>
      </c>
      <c r="C4" s="17" t="s">
        <v>98</v>
      </c>
      <c r="D4" s="17">
        <v>100</v>
      </c>
      <c r="E4" s="17"/>
      <c r="F4" s="17"/>
      <c r="G4" s="17"/>
      <c r="H4" s="17"/>
      <c r="I4" s="8"/>
      <c r="J4" s="13" t="s">
        <v>117</v>
      </c>
      <c r="K4" s="10">
        <f>B15</f>
        <v>45737</v>
      </c>
      <c r="L4" s="8">
        <f>Calculations!E17</f>
        <v>2.3134730000000001</v>
      </c>
      <c r="M4" s="8">
        <f>Calculations!E32</f>
        <v>2.5466259999999998</v>
      </c>
      <c r="N4" s="8">
        <f>Calculations!H17</f>
        <v>2.374952</v>
      </c>
      <c r="O4" s="8">
        <f>Calculations!I32</f>
        <v>2.518564</v>
      </c>
      <c r="P4" s="8">
        <f>Calculations!F7</f>
        <v>0.14119999999999999</v>
      </c>
      <c r="Q4" s="8">
        <f>Calculations!G7</f>
        <v>0.14169999999999999</v>
      </c>
      <c r="R4" s="8">
        <f>Calculations!I44</f>
        <v>0.41</v>
      </c>
      <c r="S4" s="8">
        <f>Calculations!J44</f>
        <v>0.73</v>
      </c>
      <c r="T4" s="8">
        <f>Calculations!E82</f>
        <v>24968.49</v>
      </c>
      <c r="U4" s="8"/>
      <c r="V4" s="8"/>
      <c r="W4" s="8"/>
      <c r="X4" s="8"/>
      <c r="Y4" s="8"/>
      <c r="Z4" s="10"/>
    </row>
    <row r="5" spans="1:26" x14ac:dyDescent="0.2">
      <c r="A5" s="8"/>
      <c r="B5" s="10"/>
      <c r="C5" s="8"/>
      <c r="D5" s="8"/>
      <c r="E5" s="8"/>
      <c r="F5" s="8"/>
      <c r="G5" s="8"/>
      <c r="H5" s="8"/>
      <c r="I5" s="8"/>
      <c r="J5" s="13" t="s">
        <v>118</v>
      </c>
      <c r="K5" s="10">
        <f>B16</f>
        <v>45740</v>
      </c>
      <c r="L5" s="8">
        <f>Calculations!E18</f>
        <v>2.3073969999999999</v>
      </c>
      <c r="M5" s="8">
        <f>Calculations!E33</f>
        <v>2.5468039999999998</v>
      </c>
      <c r="N5" s="8">
        <f>Calculations!H18</f>
        <v>2.3520560000000001</v>
      </c>
      <c r="O5" s="8">
        <f>Calculations!I33</f>
        <v>2.7131069999999999</v>
      </c>
      <c r="P5" s="8">
        <f>Calculations!F8</f>
        <v>0.1416</v>
      </c>
      <c r="Q5" s="8">
        <f>Calculations!G8</f>
        <v>0.14199999999999999</v>
      </c>
      <c r="R5" s="8">
        <f>Calculations!I45</f>
        <v>0.43</v>
      </c>
      <c r="S5" s="8">
        <f>Calculations!J45</f>
        <v>0.6</v>
      </c>
      <c r="T5" s="8">
        <f>Calculations!E83</f>
        <v>25304.11</v>
      </c>
      <c r="U5" s="8"/>
      <c r="V5" s="8"/>
      <c r="W5" s="8"/>
      <c r="X5" s="8"/>
      <c r="Y5" s="8"/>
      <c r="Z5" s="10"/>
    </row>
    <row r="6" spans="1:26" x14ac:dyDescent="0.2">
      <c r="A6" s="8"/>
      <c r="B6" s="10"/>
      <c r="C6" s="8"/>
      <c r="D6" s="8"/>
      <c r="E6" s="8"/>
      <c r="F6" s="8"/>
      <c r="G6" s="8"/>
      <c r="H6" s="8"/>
      <c r="I6" s="8"/>
      <c r="J6" s="13" t="s">
        <v>119</v>
      </c>
      <c r="K6" s="10">
        <f>B17</f>
        <v>45741</v>
      </c>
      <c r="L6" s="8">
        <f>Calculations!E19</f>
        <v>2.310508</v>
      </c>
      <c r="M6" s="8">
        <f>Calculations!E34</f>
        <v>2.5365509999999998</v>
      </c>
      <c r="N6" s="8">
        <f>Calculations!H19</f>
        <v>2.3571040000000001</v>
      </c>
      <c r="O6" s="8">
        <f>Calculations!I34</f>
        <v>2.7336049999999998</v>
      </c>
      <c r="P6" s="8">
        <f>Calculations!F9</f>
        <v>0.14230000000000001</v>
      </c>
      <c r="Q6" s="8">
        <f>Calculations!G9</f>
        <v>0.14230000000000001</v>
      </c>
      <c r="R6" s="8">
        <f>Calculations!I46</f>
        <v>0.51</v>
      </c>
      <c r="S6" s="8">
        <f>Calculations!J46</f>
        <v>0.65</v>
      </c>
      <c r="T6" s="8">
        <f>Calculations!E84</f>
        <v>25339.51</v>
      </c>
      <c r="U6" s="8"/>
      <c r="V6" s="8"/>
      <c r="W6" s="8"/>
      <c r="X6" s="8"/>
      <c r="Y6" s="8"/>
      <c r="Z6" s="10"/>
    </row>
    <row r="7" spans="1:26" x14ac:dyDescent="0.2">
      <c r="A7" s="8"/>
      <c r="B7" s="10"/>
      <c r="C7" s="8"/>
      <c r="D7" s="8"/>
      <c r="E7" s="8"/>
      <c r="F7" s="8"/>
      <c r="G7" s="8"/>
      <c r="H7" s="8"/>
      <c r="I7" s="8"/>
      <c r="J7" s="13" t="s">
        <v>120</v>
      </c>
      <c r="K7" s="10">
        <f>B18</f>
        <v>45742</v>
      </c>
      <c r="L7" s="8">
        <f>Calculations!E20</f>
        <v>2.3073969999999999</v>
      </c>
      <c r="M7" s="8">
        <f>Calculations!E35</f>
        <v>2.7007289999999999</v>
      </c>
      <c r="N7" s="8">
        <f>Calculations!H20</f>
        <v>2.3471700000000002</v>
      </c>
      <c r="O7" s="8">
        <f>Calculations!I35</f>
        <v>2.7129050000000001</v>
      </c>
      <c r="P7" s="8">
        <f>Calculations!F10</f>
        <v>0.14180000000000001</v>
      </c>
      <c r="Q7" s="8">
        <f>Calculations!G10</f>
        <v>0.14219999999999999</v>
      </c>
      <c r="R7" s="8">
        <f>Calculations!I47</f>
        <v>0.49</v>
      </c>
      <c r="S7" s="8">
        <f>Calculations!J47</f>
        <v>0.6</v>
      </c>
      <c r="T7" s="8">
        <f>Calculations!E85</f>
        <v>25161.06</v>
      </c>
      <c r="U7" s="8"/>
      <c r="V7" s="8"/>
      <c r="W7" s="8"/>
      <c r="X7" s="8"/>
      <c r="Y7" s="8"/>
      <c r="Z7" s="10"/>
    </row>
    <row r="8" spans="1:26" x14ac:dyDescent="0.2">
      <c r="A8" s="8"/>
      <c r="B8" s="10"/>
      <c r="C8" s="8"/>
      <c r="D8" s="8"/>
      <c r="E8" s="8"/>
      <c r="F8" s="8"/>
      <c r="G8" s="8"/>
      <c r="H8" s="8"/>
      <c r="I8" s="8"/>
      <c r="J8" s="13" t="s">
        <v>121</v>
      </c>
      <c r="K8" s="10">
        <f>B19</f>
        <v>45743</v>
      </c>
      <c r="L8" s="8">
        <f>Calculations!E21</f>
        <v>2.3073969999999999</v>
      </c>
      <c r="M8" s="8">
        <f>Calculations!E36</f>
        <v>2.5570590000000002</v>
      </c>
      <c r="N8" s="8">
        <f>Calculations!H21</f>
        <v>2.3466360000000002</v>
      </c>
      <c r="O8" s="8">
        <f>Calculations!I36</f>
        <v>2.7335020000000001</v>
      </c>
      <c r="P8" s="8">
        <f>Calculations!F11</f>
        <v>0.1429</v>
      </c>
      <c r="Q8" s="8">
        <f>Calculations!G11</f>
        <v>0.1431</v>
      </c>
      <c r="R8" s="8">
        <f>Calculations!I48</f>
        <v>0.55000000000000004</v>
      </c>
      <c r="S8" s="8">
        <f>Calculations!J48</f>
        <v>0.57999999999999996</v>
      </c>
      <c r="T8" s="8">
        <f>Calculations!E86</f>
        <v>25161.06</v>
      </c>
      <c r="U8" s="8"/>
      <c r="V8" s="8"/>
      <c r="W8" s="8"/>
      <c r="X8" s="8"/>
      <c r="Y8" s="8"/>
      <c r="Z8" s="10"/>
    </row>
    <row r="9" spans="1:26" x14ac:dyDescent="0.2">
      <c r="A9" s="8"/>
      <c r="B9" s="10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10"/>
      <c r="R9" s="8"/>
      <c r="S9" s="8"/>
      <c r="T9" s="8"/>
      <c r="U9" s="8"/>
      <c r="V9" s="8"/>
      <c r="W9" s="8"/>
      <c r="X9" s="8"/>
      <c r="Y9" s="8"/>
      <c r="Z9" s="10"/>
    </row>
    <row r="10" spans="1:26" x14ac:dyDescent="0.2">
      <c r="A10" s="8"/>
      <c r="B10" s="10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10"/>
      <c r="R10" s="8"/>
      <c r="S10" s="8"/>
      <c r="T10" s="8"/>
      <c r="U10" s="8"/>
      <c r="V10" s="8"/>
      <c r="W10" s="8"/>
      <c r="X10" s="8"/>
      <c r="Y10" s="8"/>
      <c r="Z10" s="10"/>
    </row>
    <row r="11" spans="1:26" x14ac:dyDescent="0.2">
      <c r="A11" s="8"/>
      <c r="B11" s="10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10"/>
      <c r="R11" s="8"/>
      <c r="S11" s="8"/>
      <c r="T11" s="8"/>
      <c r="U11" s="8"/>
      <c r="V11" s="8"/>
      <c r="W11" s="8"/>
      <c r="X11" s="8"/>
      <c r="Y11" s="8"/>
      <c r="Z11" s="10"/>
    </row>
    <row r="12" spans="1:26" ht="15" x14ac:dyDescent="0.25">
      <c r="A12" s="13"/>
      <c r="B12" s="14"/>
      <c r="C12" s="15">
        <v>6</v>
      </c>
      <c r="D12" s="15">
        <v>4</v>
      </c>
      <c r="E12" s="15">
        <v>5</v>
      </c>
      <c r="F12" s="15">
        <v>7</v>
      </c>
      <c r="G12" s="15"/>
      <c r="H12" s="15">
        <v>8</v>
      </c>
      <c r="I12" s="15"/>
      <c r="J12" s="15">
        <v>11</v>
      </c>
      <c r="K12" s="15">
        <v>12</v>
      </c>
      <c r="L12" s="15">
        <v>9</v>
      </c>
      <c r="M12" s="15"/>
      <c r="N12" s="15"/>
      <c r="O12" s="15"/>
      <c r="P12" s="15"/>
      <c r="Q12" s="21"/>
      <c r="R12" s="15"/>
      <c r="S12" s="15"/>
      <c r="T12" s="15"/>
      <c r="U12" s="15"/>
      <c r="V12" s="15"/>
      <c r="W12" s="15">
        <v>13</v>
      </c>
      <c r="X12" s="15">
        <v>14</v>
      </c>
      <c r="Y12" s="19"/>
      <c r="Z12" s="19"/>
    </row>
    <row r="13" spans="1:26" x14ac:dyDescent="0.2">
      <c r="A13" s="13"/>
      <c r="B13" s="14" t="s">
        <v>104</v>
      </c>
      <c r="C13" s="13" t="s">
        <v>122</v>
      </c>
      <c r="D13" s="13" t="s">
        <v>123</v>
      </c>
      <c r="E13" s="13" t="s">
        <v>123</v>
      </c>
      <c r="F13" s="13" t="s">
        <v>124</v>
      </c>
      <c r="G13" s="13" t="s">
        <v>125</v>
      </c>
      <c r="H13" s="13" t="s">
        <v>126</v>
      </c>
      <c r="I13" s="13" t="s">
        <v>126</v>
      </c>
      <c r="J13" s="13" t="s">
        <v>127</v>
      </c>
      <c r="K13" s="13" t="s">
        <v>128</v>
      </c>
      <c r="L13" s="13" t="s">
        <v>129</v>
      </c>
      <c r="M13" s="13"/>
      <c r="N13" s="13"/>
      <c r="O13" s="13"/>
      <c r="P13" s="13"/>
      <c r="Q13" s="14"/>
      <c r="R13" s="13"/>
      <c r="S13" s="14"/>
      <c r="T13" s="13" t="s">
        <v>130</v>
      </c>
      <c r="U13" s="13"/>
      <c r="V13" s="13"/>
      <c r="W13" s="13" t="s">
        <v>77</v>
      </c>
      <c r="X13" s="13" t="s">
        <v>131</v>
      </c>
      <c r="Y13" s="13"/>
      <c r="Z13" s="14"/>
    </row>
    <row r="14" spans="1:26" x14ac:dyDescent="0.2">
      <c r="A14" s="13" t="s">
        <v>114</v>
      </c>
      <c r="B14" s="14"/>
      <c r="C14" s="13" t="s">
        <v>33</v>
      </c>
      <c r="D14" s="13" t="s">
        <v>98</v>
      </c>
      <c r="E14" s="13" t="s">
        <v>33</v>
      </c>
      <c r="F14" s="13" t="s">
        <v>33</v>
      </c>
      <c r="G14" s="13" t="s">
        <v>98</v>
      </c>
      <c r="H14" s="13" t="s">
        <v>33</v>
      </c>
      <c r="I14" s="13" t="s">
        <v>98</v>
      </c>
      <c r="J14" s="13" t="s">
        <v>33</v>
      </c>
      <c r="K14" s="13" t="s">
        <v>33</v>
      </c>
      <c r="L14" s="13" t="s">
        <v>33</v>
      </c>
      <c r="M14" s="13"/>
      <c r="N14" s="13"/>
      <c r="O14" s="13"/>
      <c r="P14" s="13"/>
      <c r="Q14" s="14"/>
      <c r="R14" s="13"/>
      <c r="S14" s="14"/>
      <c r="T14" s="13"/>
      <c r="U14" s="13"/>
      <c r="V14" s="13"/>
      <c r="W14" s="13" t="s">
        <v>98</v>
      </c>
      <c r="X14" s="13" t="s">
        <v>33</v>
      </c>
      <c r="Y14" s="13"/>
      <c r="Z14" s="14"/>
    </row>
    <row r="15" spans="1:26" x14ac:dyDescent="0.2">
      <c r="A15" s="13" t="s">
        <v>117</v>
      </c>
      <c r="B15" s="10">
        <v>45737</v>
      </c>
      <c r="C15" s="8">
        <f>dailyHoldings!J15</f>
        <v>1000000000</v>
      </c>
      <c r="D15" s="8">
        <f>E15*(P4+Q4)/2</f>
        <v>391875.90899999999</v>
      </c>
      <c r="E15" s="8">
        <f>Calculations!K64</f>
        <v>2770420</v>
      </c>
      <c r="F15" s="8">
        <f>dailyHoldings!I15</f>
        <v>1000040097</v>
      </c>
      <c r="G15" s="8">
        <f>F15*(P4+Q4)/2</f>
        <v>141455671.72064999</v>
      </c>
      <c r="H15" s="8">
        <f>L4*F15/(365*100)</f>
        <v>63385.363378818656</v>
      </c>
      <c r="I15" s="8">
        <f>M4*G15/(100*365)</f>
        <v>9869.4436014047114</v>
      </c>
      <c r="J15" s="8">
        <f>H15+F15+E15</f>
        <v>1002873902.3633788</v>
      </c>
      <c r="K15" s="8">
        <v>100</v>
      </c>
      <c r="L15" s="9">
        <f>transactions!$J$16/365</f>
        <v>0</v>
      </c>
      <c r="M15" s="8"/>
      <c r="N15" s="8"/>
      <c r="O15" s="8"/>
      <c r="P15" s="8"/>
      <c r="Q15" s="10"/>
      <c r="R15" s="8"/>
      <c r="S15" s="8"/>
      <c r="T15" s="8"/>
      <c r="U15" s="8"/>
      <c r="V15" s="8"/>
      <c r="W15" s="8"/>
      <c r="X15" s="8"/>
      <c r="Y15" s="8"/>
      <c r="Z15" s="8"/>
    </row>
    <row r="16" spans="1:26" x14ac:dyDescent="0.2">
      <c r="A16" s="13" t="s">
        <v>118</v>
      </c>
      <c r="B16" s="10">
        <v>45740</v>
      </c>
      <c r="C16" s="8">
        <f>dailyHoldings!J16</f>
        <v>500000000</v>
      </c>
      <c r="D16" s="8">
        <f t="shared" ref="D16:D19" si="0">E16*(P5+Q5)/2</f>
        <v>403046.64799999993</v>
      </c>
      <c r="E16" s="8">
        <f>Calculations!K65</f>
        <v>2842360</v>
      </c>
      <c r="F16" s="8">
        <f>dailyHoldings!I16</f>
        <v>1500040097</v>
      </c>
      <c r="G16" s="8">
        <f t="shared" ref="G16:G19" si="1">F16*(P5+Q5)/2</f>
        <v>212705685.75459996</v>
      </c>
      <c r="H16" s="8">
        <f t="shared" ref="H16:H19" si="2">L5*F16/(365*100)</f>
        <v>94827.06903280846</v>
      </c>
      <c r="I16" s="8">
        <f t="shared" ref="I16:I19" si="3">M5*G16/(100*365)</f>
        <v>14841.635378152279</v>
      </c>
      <c r="J16" s="8">
        <f t="shared" ref="J16:J19" si="4">H16+F16+E16</f>
        <v>1502977284.0690329</v>
      </c>
      <c r="K16" s="8">
        <f>K15*(1+Calculations!E73)</f>
        <v>75.03867411537064</v>
      </c>
      <c r="L16" s="9">
        <f>transactions!$J$16/365</f>
        <v>0</v>
      </c>
      <c r="M16" s="8"/>
      <c r="N16" s="8"/>
      <c r="O16" s="8"/>
      <c r="P16" s="8"/>
      <c r="Q16" s="10"/>
      <c r="R16" s="8"/>
      <c r="S16" s="8"/>
      <c r="T16" s="8"/>
      <c r="U16" s="8"/>
      <c r="V16" s="8"/>
      <c r="W16" s="8"/>
      <c r="X16" s="8"/>
      <c r="Y16" s="8"/>
      <c r="Z16" s="8"/>
    </row>
    <row r="17" spans="1:26" x14ac:dyDescent="0.2">
      <c r="A17" s="13" t="s">
        <v>119</v>
      </c>
      <c r="B17" s="10">
        <v>45741</v>
      </c>
      <c r="C17" s="8">
        <f>dailyHoldings!J17</f>
        <v>0</v>
      </c>
      <c r="D17" s="8">
        <f t="shared" si="0"/>
        <v>411676.74600000004</v>
      </c>
      <c r="E17" s="8">
        <f>Calculations!K66</f>
        <v>2893020</v>
      </c>
      <c r="F17" s="8">
        <f>dailyHoldings!I17</f>
        <v>1500040097</v>
      </c>
      <c r="G17" s="8">
        <f t="shared" si="1"/>
        <v>213455705.80310002</v>
      </c>
      <c r="H17" s="8">
        <f t="shared" si="2"/>
        <v>94954.921765459629</v>
      </c>
      <c r="I17" s="8">
        <f t="shared" si="3"/>
        <v>14834.007781111208</v>
      </c>
      <c r="J17" s="8">
        <f t="shared" si="4"/>
        <v>1503028071.9217656</v>
      </c>
      <c r="K17" s="8">
        <f>K16*(1+Calculations!E74)</f>
        <v>56.307901639262909</v>
      </c>
      <c r="L17" s="9">
        <f>transactions!$J$16/365</f>
        <v>0</v>
      </c>
      <c r="M17" s="8"/>
      <c r="N17" s="8"/>
      <c r="O17" s="8"/>
      <c r="P17" s="8"/>
      <c r="Q17" s="10"/>
      <c r="R17" s="8"/>
      <c r="S17" s="8"/>
      <c r="T17" s="8"/>
      <c r="U17" s="8"/>
      <c r="V17" s="8"/>
      <c r="W17" s="8"/>
      <c r="X17" s="8"/>
      <c r="Y17" s="8"/>
      <c r="Z17" s="8"/>
    </row>
    <row r="18" spans="1:26" x14ac:dyDescent="0.2">
      <c r="A18" s="13" t="s">
        <v>120</v>
      </c>
      <c r="B18" s="10">
        <v>45742</v>
      </c>
      <c r="C18" s="8">
        <f>dailyHoldings!J18</f>
        <v>0</v>
      </c>
      <c r="D18" s="8">
        <f t="shared" si="0"/>
        <v>413204.38000000006</v>
      </c>
      <c r="E18" s="8">
        <f>Calculations!K67</f>
        <v>2909890</v>
      </c>
      <c r="F18" s="8">
        <f>dailyHoldings!I18</f>
        <v>1500040097</v>
      </c>
      <c r="G18" s="8">
        <f t="shared" si="1"/>
        <v>213005693.77400002</v>
      </c>
      <c r="H18" s="8">
        <f t="shared" si="2"/>
        <v>94827.06903280846</v>
      </c>
      <c r="I18" s="8">
        <f t="shared" si="3"/>
        <v>15760.839844946884</v>
      </c>
      <c r="J18" s="8">
        <f t="shared" si="4"/>
        <v>1503044814.0690329</v>
      </c>
      <c r="K18" s="8">
        <f>K17*(1+Calculations!E75)</f>
        <v>56.308533679564576</v>
      </c>
      <c r="L18" s="9">
        <f>transactions!$J$16/365</f>
        <v>0</v>
      </c>
      <c r="M18" s="8"/>
      <c r="N18" s="8"/>
      <c r="O18" s="8"/>
      <c r="P18" s="8"/>
      <c r="Q18" s="10"/>
      <c r="R18" s="8"/>
      <c r="S18" s="8"/>
      <c r="T18" s="8"/>
      <c r="U18" s="8"/>
      <c r="V18" s="8"/>
      <c r="W18" s="8"/>
      <c r="X18" s="8"/>
      <c r="Y18" s="8"/>
      <c r="Z18" s="8"/>
    </row>
    <row r="19" spans="1:26" x14ac:dyDescent="0.2">
      <c r="A19" s="13" t="s">
        <v>121</v>
      </c>
      <c r="B19" s="10">
        <v>45743</v>
      </c>
      <c r="C19" s="8">
        <f>dailyHoldings!J19</f>
        <v>0</v>
      </c>
      <c r="D19" s="8">
        <f t="shared" si="0"/>
        <v>416476.06000000006</v>
      </c>
      <c r="E19" s="8">
        <f>Calculations!K68</f>
        <v>2912420</v>
      </c>
      <c r="F19" s="8">
        <f>dailyHoldings!I19</f>
        <v>1500040097</v>
      </c>
      <c r="G19" s="8">
        <f t="shared" si="1"/>
        <v>214505733.87100002</v>
      </c>
      <c r="H19" s="8">
        <f t="shared" si="2"/>
        <v>94827.06903280846</v>
      </c>
      <c r="I19" s="8">
        <f t="shared" si="3"/>
        <v>15027.501845108094</v>
      </c>
      <c r="J19" s="8">
        <f t="shared" si="4"/>
        <v>1503047344.0690329</v>
      </c>
      <c r="K19" s="8">
        <f>K18*(1+Calculations!E76)</f>
        <v>56.308628466877153</v>
      </c>
      <c r="L19" s="9">
        <f>transactions!$J$16/365</f>
        <v>0</v>
      </c>
      <c r="M19" s="8"/>
      <c r="N19" s="8"/>
      <c r="O19" s="8"/>
      <c r="P19" s="8"/>
      <c r="Q19" s="10"/>
      <c r="R19" s="8"/>
      <c r="S19" s="8"/>
      <c r="T19" s="8"/>
      <c r="U19" s="8"/>
      <c r="V19" s="8"/>
      <c r="W19" s="8"/>
      <c r="X19" s="8"/>
      <c r="Y19" s="8"/>
      <c r="Z19" s="8"/>
    </row>
    <row r="20" spans="1:26" x14ac:dyDescent="0.2">
      <c r="Q20" s="3"/>
    </row>
    <row r="21" spans="1:26" x14ac:dyDescent="0.2">
      <c r="Q21" s="3"/>
    </row>
    <row r="22" spans="1:26" x14ac:dyDescent="0.2">
      <c r="Q22" s="3"/>
    </row>
    <row r="23" spans="1:26" x14ac:dyDescent="0.2">
      <c r="Q23" s="3"/>
    </row>
    <row r="24" spans="1:26" x14ac:dyDescent="0.2">
      <c r="C24" s="12"/>
      <c r="D24" s="12"/>
      <c r="Q24" s="3"/>
    </row>
    <row r="25" spans="1:26" x14ac:dyDescent="0.2">
      <c r="C25" s="22"/>
      <c r="D25" s="12"/>
      <c r="Q25" s="3"/>
    </row>
    <row r="26" spans="1:26" x14ac:dyDescent="0.2">
      <c r="C26" s="3"/>
      <c r="Q26" s="3"/>
    </row>
    <row r="27" spans="1:26" x14ac:dyDescent="0.2">
      <c r="C27" s="3"/>
      <c r="Q27" s="3"/>
    </row>
    <row r="28" spans="1:26" x14ac:dyDescent="0.2">
      <c r="C28" s="3"/>
      <c r="Q28" s="3"/>
    </row>
    <row r="29" spans="1:26" x14ac:dyDescent="0.2">
      <c r="C29" s="3"/>
      <c r="Q29" s="3"/>
    </row>
    <row r="30" spans="1:26" x14ac:dyDescent="0.2">
      <c r="C30" s="3"/>
      <c r="Q30" s="3"/>
    </row>
    <row r="31" spans="1:26" x14ac:dyDescent="0.2">
      <c r="C31" s="3"/>
    </row>
    <row r="32" spans="1:26" x14ac:dyDescent="0.2">
      <c r="C32" s="3"/>
    </row>
    <row r="33" spans="3:3" x14ac:dyDescent="0.2">
      <c r="C33" s="3"/>
    </row>
    <row r="34" spans="3:3" x14ac:dyDescent="0.2">
      <c r="C34" s="3"/>
    </row>
    <row r="35" spans="3:3" x14ac:dyDescent="0.2">
      <c r="C35" s="3"/>
    </row>
  </sheetData>
  <mergeCells count="7">
    <mergeCell ref="A1:H1"/>
    <mergeCell ref="P1:Q1"/>
    <mergeCell ref="R1:S1"/>
    <mergeCell ref="L2:M2"/>
    <mergeCell ref="N2:O2"/>
    <mergeCell ref="P2:Q2"/>
    <mergeCell ref="R2:S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DA083-9919-4E45-8248-B499BD88B597}">
  <dimension ref="A2:S87"/>
  <sheetViews>
    <sheetView tabSelected="1" workbookViewId="0">
      <selection activeCell="M18" sqref="M18"/>
    </sheetView>
  </sheetViews>
  <sheetFormatPr defaultRowHeight="12.75" x14ac:dyDescent="0.2"/>
  <cols>
    <col min="1" max="1" width="3.5703125" bestFit="1" customWidth="1"/>
    <col min="2" max="2" width="25.7109375" bestFit="1" customWidth="1"/>
    <col min="3" max="4" width="18" bestFit="1" customWidth="1"/>
    <col min="5" max="5" width="13.140625" bestFit="1" customWidth="1"/>
    <col min="6" max="6" width="11.5703125" bestFit="1" customWidth="1"/>
    <col min="7" max="7" width="18" bestFit="1" customWidth="1"/>
    <col min="8" max="9" width="11.5703125" bestFit="1" customWidth="1"/>
    <col min="10" max="10" width="10.140625" bestFit="1" customWidth="1"/>
    <col min="12" max="12" width="14.28515625" customWidth="1"/>
    <col min="13" max="13" width="18" bestFit="1" customWidth="1"/>
    <col min="14" max="14" width="10.140625" bestFit="1" customWidth="1"/>
    <col min="15" max="15" width="10.85546875" bestFit="1" customWidth="1"/>
    <col min="17" max="17" width="10.140625" bestFit="1" customWidth="1"/>
  </cols>
  <sheetData>
    <row r="2" spans="1:18" x14ac:dyDescent="0.2">
      <c r="A2" t="s">
        <v>135</v>
      </c>
    </row>
    <row r="3" spans="1:18" x14ac:dyDescent="0.2">
      <c r="B3" t="str">
        <f>_xll.RDP.HistoricalPricing("CADSEK=","BID;ASK","START:"&amp;Answer!$K$4&amp;" END:"&amp;Answer!$K$8&amp;" INTERVAL:P1D SOURCE:RFV",,"SORT:ASC CH:Fd RH:Timestamp",D6)</f>
        <v>Updated at 15:09:41</v>
      </c>
    </row>
    <row r="4" spans="1:18" x14ac:dyDescent="0.2">
      <c r="C4" s="12"/>
      <c r="D4" s="12"/>
      <c r="E4" s="12"/>
    </row>
    <row r="5" spans="1:18" x14ac:dyDescent="0.2">
      <c r="C5" s="3"/>
      <c r="D5" t="str">
        <f>_xll.RDP.HistoricalPricing("SEKCAD=R","BID;ASK","START:21-Mar-2025 END:27-Mar-2025 INTERVAL:P1D SOURCE:RFV",,"SORT:ASC CH:Fd RH:Timestamp",E6)</f>
        <v>Updated at 15:09:41</v>
      </c>
      <c r="I5" t="str">
        <f>_xll.RDP.HistoricalPricing("CADSEK=","BID;ASK","START:21-Mar-2025 END:27-Mar-2025 INTERVAL:P1D SOURCE:RFV",,"SORT:ASC CH:Fd RH:Timestamp",J6)</f>
        <v>Updated at 15:09:41</v>
      </c>
      <c r="Q5" s="12"/>
      <c r="R5" s="12"/>
    </row>
    <row r="6" spans="1:18" x14ac:dyDescent="0.2">
      <c r="C6" s="3"/>
      <c r="D6" s="12" t="s">
        <v>99</v>
      </c>
      <c r="E6" s="12" t="s">
        <v>99</v>
      </c>
      <c r="F6" s="12" t="s">
        <v>22</v>
      </c>
      <c r="G6" s="12" t="s">
        <v>23</v>
      </c>
      <c r="J6" s="12" t="s">
        <v>99</v>
      </c>
      <c r="K6" s="12" t="s">
        <v>22</v>
      </c>
      <c r="L6" s="12" t="s">
        <v>23</v>
      </c>
      <c r="O6" s="12"/>
      <c r="P6" s="12"/>
      <c r="Q6" s="12"/>
    </row>
    <row r="7" spans="1:18" x14ac:dyDescent="0.2">
      <c r="C7" s="3"/>
      <c r="D7" s="3">
        <v>45737</v>
      </c>
      <c r="E7" s="25">
        <v>45737</v>
      </c>
      <c r="F7">
        <v>0.14119999999999999</v>
      </c>
      <c r="G7">
        <v>0.14169999999999999</v>
      </c>
      <c r="J7" s="3">
        <v>45737</v>
      </c>
      <c r="K7">
        <v>7.0469999999999997</v>
      </c>
      <c r="L7">
        <v>7.0838999999999999</v>
      </c>
      <c r="O7" s="3"/>
    </row>
    <row r="8" spans="1:18" x14ac:dyDescent="0.2">
      <c r="C8" s="3"/>
      <c r="D8" s="3">
        <v>45740</v>
      </c>
      <c r="E8" s="25">
        <v>45740</v>
      </c>
      <c r="F8">
        <v>0.1416</v>
      </c>
      <c r="G8">
        <v>0.14199999999999999</v>
      </c>
      <c r="J8" s="3">
        <v>45740</v>
      </c>
      <c r="K8">
        <v>7.0481999999999996</v>
      </c>
      <c r="L8">
        <v>7.0644999999999998</v>
      </c>
      <c r="O8" s="3"/>
    </row>
    <row r="9" spans="1:18" x14ac:dyDescent="0.2">
      <c r="C9" s="3"/>
      <c r="D9" s="3">
        <v>45741</v>
      </c>
      <c r="E9" s="25">
        <v>45741</v>
      </c>
      <c r="F9">
        <v>0.14230000000000001</v>
      </c>
      <c r="G9">
        <v>0.14230000000000001</v>
      </c>
      <c r="J9" s="3">
        <v>45741</v>
      </c>
      <c r="K9">
        <v>7.0243000000000002</v>
      </c>
      <c r="L9" s="12">
        <v>7.0355999999999996</v>
      </c>
      <c r="M9" s="12"/>
      <c r="O9" s="3"/>
    </row>
    <row r="10" spans="1:18" x14ac:dyDescent="0.2">
      <c r="D10" s="3">
        <v>45742</v>
      </c>
      <c r="E10" s="25">
        <v>45742</v>
      </c>
      <c r="F10">
        <v>0.14180000000000001</v>
      </c>
      <c r="G10">
        <v>0.14219999999999999</v>
      </c>
      <c r="J10" s="3">
        <v>45742</v>
      </c>
      <c r="K10">
        <v>7.0125999999999999</v>
      </c>
      <c r="L10" s="3">
        <v>7.0888999999999998</v>
      </c>
      <c r="O10" s="3"/>
    </row>
    <row r="11" spans="1:18" x14ac:dyDescent="0.2">
      <c r="D11" s="3">
        <v>45743</v>
      </c>
      <c r="E11" s="25">
        <v>45743</v>
      </c>
      <c r="F11">
        <v>0.1429</v>
      </c>
      <c r="G11">
        <v>0.1431</v>
      </c>
      <c r="J11" s="3">
        <v>45743</v>
      </c>
      <c r="K11">
        <v>6.9851999999999999</v>
      </c>
      <c r="L11" s="3">
        <v>7.0011999999999999</v>
      </c>
      <c r="O11" s="3"/>
    </row>
    <row r="12" spans="1:18" x14ac:dyDescent="0.2">
      <c r="L12" s="3"/>
    </row>
    <row r="13" spans="1:18" x14ac:dyDescent="0.2">
      <c r="L13" s="3"/>
    </row>
    <row r="14" spans="1:18" x14ac:dyDescent="0.2">
      <c r="A14" t="s">
        <v>136</v>
      </c>
      <c r="L14" s="3"/>
    </row>
    <row r="15" spans="1:18" x14ac:dyDescent="0.2">
      <c r="C15" t="str">
        <f>_xll.RDP.HistoricalPricing("SEKONZ=R;SEK1MZ=R","ZERO_YLD1;ZERO_YLD1","START:21-Mar-2025 END:27-Mar-2025 INTERVAL:P1D SOURCE:RFV",,"SORT:ASC CH:Fd RH:Timestamp",D16)</f>
        <v>Updated at 15:09:41</v>
      </c>
    </row>
    <row r="16" spans="1:18" x14ac:dyDescent="0.2">
      <c r="D16" s="12" t="s">
        <v>99</v>
      </c>
      <c r="E16" s="12" t="s">
        <v>138</v>
      </c>
      <c r="F16" s="12" t="s">
        <v>138</v>
      </c>
      <c r="G16" s="12" t="s">
        <v>99</v>
      </c>
      <c r="H16" s="12" t="s">
        <v>138</v>
      </c>
      <c r="I16" s="12" t="s">
        <v>138</v>
      </c>
    </row>
    <row r="17" spans="1:9" x14ac:dyDescent="0.2">
      <c r="D17" s="3">
        <v>45737</v>
      </c>
      <c r="E17">
        <v>2.3134730000000001</v>
      </c>
      <c r="F17">
        <v>2.3134730000000001</v>
      </c>
      <c r="G17" s="3">
        <v>45737</v>
      </c>
      <c r="H17">
        <v>2.374952</v>
      </c>
      <c r="I17">
        <v>2.374952</v>
      </c>
    </row>
    <row r="18" spans="1:9" x14ac:dyDescent="0.2">
      <c r="D18" s="3">
        <v>45740</v>
      </c>
      <c r="E18">
        <v>2.3073969999999999</v>
      </c>
      <c r="F18">
        <v>2.3073969999999999</v>
      </c>
      <c r="G18" s="3">
        <v>45740</v>
      </c>
      <c r="H18">
        <v>2.3520560000000001</v>
      </c>
      <c r="I18">
        <v>2.3520560000000001</v>
      </c>
    </row>
    <row r="19" spans="1:9" x14ac:dyDescent="0.2">
      <c r="D19" s="3">
        <v>45741</v>
      </c>
      <c r="E19">
        <v>2.310508</v>
      </c>
      <c r="F19">
        <v>2.310508</v>
      </c>
      <c r="G19" s="3">
        <v>45741</v>
      </c>
      <c r="H19">
        <v>2.3571040000000001</v>
      </c>
      <c r="I19">
        <v>2.3571040000000001</v>
      </c>
    </row>
    <row r="20" spans="1:9" x14ac:dyDescent="0.2">
      <c r="D20" s="3">
        <v>45742</v>
      </c>
      <c r="E20">
        <v>2.3073969999999999</v>
      </c>
      <c r="F20">
        <v>2.3073969999999999</v>
      </c>
      <c r="G20" s="3">
        <v>45742</v>
      </c>
      <c r="H20">
        <v>2.3471700000000002</v>
      </c>
      <c r="I20">
        <v>2.3471700000000002</v>
      </c>
    </row>
    <row r="21" spans="1:9" x14ac:dyDescent="0.2">
      <c r="D21" s="3">
        <v>45743</v>
      </c>
      <c r="E21">
        <v>2.3073969999999999</v>
      </c>
      <c r="F21">
        <v>2.3073969999999999</v>
      </c>
      <c r="G21" s="3">
        <v>45743</v>
      </c>
      <c r="H21">
        <v>2.3466360000000002</v>
      </c>
      <c r="I21">
        <v>2.3466360000000002</v>
      </c>
    </row>
    <row r="28" spans="1:9" x14ac:dyDescent="0.2">
      <c r="A28" t="s">
        <v>137</v>
      </c>
    </row>
    <row r="30" spans="1:9" x14ac:dyDescent="0.2">
      <c r="C30" t="str">
        <f>_xll.RDP.HistoricalPricing("CADONZ=R","ZERO_YLD1","START:21-Mar-2025 END:27-Mar-2025 INTERVAL:P1D SOURCE:RFV",,"SORT:ASC CH:Fd RH:Timestamp",D31)</f>
        <v>Updated at 15:09:41</v>
      </c>
      <c r="D30" s="12"/>
      <c r="E30" s="12"/>
      <c r="G30" t="str">
        <f>_xll.RDP.HistoricalPricing("CAD1MZ=R","ZERO_YLD1","START:21-Mar-2025 END:27-Mar-2025 INTERVAL:P1D SOURCE:RFV",,"SORT:ASC CH:Fd RH:Timestamp",H31)</f>
        <v>Updated at 15:09:41</v>
      </c>
    </row>
    <row r="31" spans="1:9" x14ac:dyDescent="0.2">
      <c r="D31" s="22" t="s">
        <v>99</v>
      </c>
      <c r="E31" s="12" t="s">
        <v>138</v>
      </c>
      <c r="H31" s="12" t="s">
        <v>99</v>
      </c>
      <c r="I31" s="12" t="s">
        <v>138</v>
      </c>
    </row>
    <row r="32" spans="1:9" x14ac:dyDescent="0.2">
      <c r="D32" s="3">
        <v>45737</v>
      </c>
      <c r="E32">
        <v>2.5466259999999998</v>
      </c>
      <c r="H32" s="3">
        <v>45737</v>
      </c>
      <c r="I32">
        <v>2.518564</v>
      </c>
    </row>
    <row r="33" spans="2:10" x14ac:dyDescent="0.2">
      <c r="D33" s="3">
        <v>45740</v>
      </c>
      <c r="E33">
        <v>2.5468039999999998</v>
      </c>
      <c r="H33" s="3">
        <v>45740</v>
      </c>
      <c r="I33">
        <v>2.7131069999999999</v>
      </c>
    </row>
    <row r="34" spans="2:10" x14ac:dyDescent="0.2">
      <c r="D34" s="3">
        <v>45741</v>
      </c>
      <c r="E34">
        <v>2.5365509999999998</v>
      </c>
      <c r="H34" s="3">
        <v>45741</v>
      </c>
      <c r="I34">
        <v>2.7336049999999998</v>
      </c>
    </row>
    <row r="35" spans="2:10" x14ac:dyDescent="0.2">
      <c r="D35" s="3">
        <v>45742</v>
      </c>
      <c r="E35">
        <v>2.7007289999999999</v>
      </c>
      <c r="H35" s="3">
        <v>45742</v>
      </c>
      <c r="I35">
        <v>2.7129050000000001</v>
      </c>
    </row>
    <row r="36" spans="2:10" x14ac:dyDescent="0.2">
      <c r="D36" s="3">
        <v>45743</v>
      </c>
      <c r="E36">
        <v>2.5570590000000002</v>
      </c>
      <c r="H36" s="3">
        <v>45743</v>
      </c>
      <c r="I36">
        <v>2.7335020000000001</v>
      </c>
    </row>
    <row r="40" spans="2:10" x14ac:dyDescent="0.2">
      <c r="B40" t="s">
        <v>139</v>
      </c>
    </row>
    <row r="42" spans="2:10" x14ac:dyDescent="0.2">
      <c r="G42" t="str">
        <f>_xll.RDP.HistoricalPricing("SEKCAD1M=R","BID;ASK","START:21-Mar-2025 END:27-Apr-2025 INTERVAL:P1D SOURCE:RFV",,"SORT:ASC CH:Fd RH:Timestamp",H43)</f>
        <v>Updated at 15:10:48</v>
      </c>
    </row>
    <row r="43" spans="2:10" x14ac:dyDescent="0.2">
      <c r="D43" s="12"/>
      <c r="E43" s="12"/>
      <c r="F43" s="12"/>
      <c r="H43" s="12" t="s">
        <v>99</v>
      </c>
      <c r="I43" s="12" t="s">
        <v>22</v>
      </c>
      <c r="J43" s="12" t="s">
        <v>23</v>
      </c>
    </row>
    <row r="44" spans="2:10" x14ac:dyDescent="0.2">
      <c r="D44" s="3"/>
      <c r="H44" s="3">
        <v>45737</v>
      </c>
      <c r="I44">
        <v>0.41</v>
      </c>
      <c r="J44">
        <v>0.73</v>
      </c>
    </row>
    <row r="45" spans="2:10" x14ac:dyDescent="0.2">
      <c r="D45" s="3"/>
      <c r="H45" s="3">
        <v>45740</v>
      </c>
      <c r="I45">
        <v>0.43</v>
      </c>
      <c r="J45">
        <v>0.6</v>
      </c>
    </row>
    <row r="46" spans="2:10" x14ac:dyDescent="0.2">
      <c r="D46" s="3"/>
      <c r="H46" s="3">
        <v>45741</v>
      </c>
      <c r="I46">
        <v>0.51</v>
      </c>
      <c r="J46">
        <v>0.65</v>
      </c>
    </row>
    <row r="47" spans="2:10" x14ac:dyDescent="0.2">
      <c r="D47" s="3"/>
      <c r="H47" s="3">
        <v>45742</v>
      </c>
      <c r="I47">
        <v>0.49</v>
      </c>
      <c r="J47">
        <v>0.6</v>
      </c>
    </row>
    <row r="48" spans="2:10" x14ac:dyDescent="0.2">
      <c r="D48" s="3"/>
      <c r="H48" s="3">
        <v>45743</v>
      </c>
      <c r="I48">
        <v>0.55000000000000004</v>
      </c>
      <c r="J48">
        <v>0.57999999999999996</v>
      </c>
    </row>
    <row r="49" spans="2:19" x14ac:dyDescent="0.2">
      <c r="H49" s="3">
        <v>45744</v>
      </c>
      <c r="I49">
        <v>0.37</v>
      </c>
      <c r="J49">
        <v>0.68</v>
      </c>
    </row>
    <row r="50" spans="2:19" x14ac:dyDescent="0.2">
      <c r="H50" s="3">
        <v>45747</v>
      </c>
      <c r="I50">
        <v>0.35</v>
      </c>
      <c r="J50">
        <v>0.62</v>
      </c>
    </row>
    <row r="51" spans="2:19" x14ac:dyDescent="0.2">
      <c r="H51" s="3">
        <v>45748</v>
      </c>
      <c r="I51">
        <v>0.48</v>
      </c>
      <c r="J51">
        <v>0.52</v>
      </c>
    </row>
    <row r="52" spans="2:19" x14ac:dyDescent="0.2">
      <c r="H52" s="3">
        <v>45749</v>
      </c>
      <c r="I52">
        <v>0.38</v>
      </c>
      <c r="J52">
        <v>0.67</v>
      </c>
    </row>
    <row r="53" spans="2:19" x14ac:dyDescent="0.2">
      <c r="H53" s="3">
        <v>45750</v>
      </c>
      <c r="I53">
        <v>0.39</v>
      </c>
      <c r="J53">
        <v>0.54</v>
      </c>
    </row>
    <row r="54" spans="2:19" x14ac:dyDescent="0.2">
      <c r="H54" s="3">
        <v>45751</v>
      </c>
      <c r="I54">
        <v>0.34</v>
      </c>
      <c r="J54">
        <v>0.52</v>
      </c>
      <c r="S54" s="24"/>
    </row>
    <row r="55" spans="2:19" x14ac:dyDescent="0.2">
      <c r="H55" s="3">
        <v>45754</v>
      </c>
      <c r="I55">
        <v>0.3</v>
      </c>
      <c r="J55">
        <v>0.56999999999999995</v>
      </c>
    </row>
    <row r="56" spans="2:19" x14ac:dyDescent="0.2">
      <c r="B56" t="s">
        <v>140</v>
      </c>
      <c r="H56" s="3">
        <v>45755</v>
      </c>
      <c r="I56">
        <v>0.23</v>
      </c>
      <c r="J56">
        <v>0.56000000000000005</v>
      </c>
    </row>
    <row r="57" spans="2:19" x14ac:dyDescent="0.2">
      <c r="B57" t="s">
        <v>25</v>
      </c>
      <c r="C57" t="s">
        <v>74</v>
      </c>
      <c r="D57" t="s">
        <v>7</v>
      </c>
      <c r="E57" t="s">
        <v>8</v>
      </c>
      <c r="F57" t="s">
        <v>6</v>
      </c>
      <c r="G57" t="s">
        <v>9</v>
      </c>
      <c r="H57" s="3">
        <v>45756</v>
      </c>
      <c r="I57">
        <v>0.25</v>
      </c>
      <c r="J57">
        <v>0.51</v>
      </c>
      <c r="K57" t="s">
        <v>14</v>
      </c>
    </row>
    <row r="58" spans="2:19" x14ac:dyDescent="0.2">
      <c r="B58" s="3">
        <v>45743</v>
      </c>
      <c r="C58">
        <v>2572.806</v>
      </c>
      <c r="D58">
        <v>548</v>
      </c>
      <c r="E58">
        <v>1458.5</v>
      </c>
      <c r="F58">
        <v>79.400000000000006</v>
      </c>
      <c r="G58">
        <v>115.55</v>
      </c>
      <c r="H58">
        <v>227.9</v>
      </c>
      <c r="I58">
        <v>306.60000000000002</v>
      </c>
    </row>
    <row r="59" spans="2:19" x14ac:dyDescent="0.2">
      <c r="B59" s="3">
        <v>45742</v>
      </c>
      <c r="C59">
        <v>2604.0309999999999</v>
      </c>
      <c r="D59">
        <v>553.20000000000005</v>
      </c>
      <c r="E59">
        <v>1457.5</v>
      </c>
      <c r="F59">
        <v>82.08</v>
      </c>
      <c r="G59">
        <v>132</v>
      </c>
      <c r="H59">
        <v>241.7</v>
      </c>
      <c r="I59">
        <v>309.5</v>
      </c>
    </row>
    <row r="60" spans="2:19" x14ac:dyDescent="0.2">
      <c r="B60" s="3">
        <v>45741</v>
      </c>
      <c r="C60">
        <v>2641.3760000000002</v>
      </c>
      <c r="D60">
        <v>566.79999999999995</v>
      </c>
      <c r="E60">
        <v>1477.5</v>
      </c>
      <c r="F60">
        <v>83.66</v>
      </c>
      <c r="G60">
        <v>133.69999999999999</v>
      </c>
      <c r="H60">
        <v>244.6</v>
      </c>
      <c r="I60">
        <v>310.5</v>
      </c>
    </row>
    <row r="61" spans="2:19" x14ac:dyDescent="0.2">
      <c r="B61" s="3">
        <v>45740</v>
      </c>
      <c r="C61">
        <v>2630.7629999999999</v>
      </c>
      <c r="D61">
        <v>573.79999999999995</v>
      </c>
      <c r="E61">
        <v>1502.5</v>
      </c>
      <c r="F61">
        <v>83.8</v>
      </c>
      <c r="G61">
        <v>131.94999999999999</v>
      </c>
      <c r="H61">
        <v>244.1</v>
      </c>
      <c r="I61">
        <v>309.7</v>
      </c>
    </row>
    <row r="62" spans="2:19" x14ac:dyDescent="0.2">
      <c r="B62" s="3">
        <v>45737</v>
      </c>
      <c r="C62">
        <v>2629.3580000000002</v>
      </c>
      <c r="D62">
        <v>573.79999999999995</v>
      </c>
      <c r="E62">
        <v>1525</v>
      </c>
      <c r="F62">
        <v>83.52</v>
      </c>
      <c r="G62">
        <v>131.94999999999999</v>
      </c>
      <c r="H62">
        <v>243.8</v>
      </c>
      <c r="I62">
        <v>308.89999999999998</v>
      </c>
    </row>
    <row r="64" spans="2:19" x14ac:dyDescent="0.2">
      <c r="B64" s="3">
        <v>45737</v>
      </c>
      <c r="C64">
        <v>0</v>
      </c>
      <c r="D64">
        <v>1500</v>
      </c>
      <c r="E64">
        <v>300</v>
      </c>
      <c r="F64">
        <v>12000</v>
      </c>
      <c r="G64">
        <v>1000</v>
      </c>
      <c r="H64">
        <v>1000</v>
      </c>
      <c r="I64">
        <v>700</v>
      </c>
      <c r="K64">
        <f>D64*D58+E64*E58+F64*F58+G64*G58+H64*H58+I64*I58</f>
        <v>2770420</v>
      </c>
    </row>
    <row r="65" spans="1:13" x14ac:dyDescent="0.2">
      <c r="B65" s="3">
        <v>45740</v>
      </c>
      <c r="C65">
        <v>0</v>
      </c>
      <c r="D65">
        <v>1500</v>
      </c>
      <c r="E65">
        <v>300</v>
      </c>
      <c r="F65">
        <v>12000</v>
      </c>
      <c r="G65">
        <v>1000</v>
      </c>
      <c r="H65">
        <v>1000</v>
      </c>
      <c r="I65">
        <v>700</v>
      </c>
      <c r="K65">
        <f t="shared" ref="K65:K68" si="0">D65*D59+E65*E59+F65*F59+G65*G59+H65*H59+I65*I59</f>
        <v>2842360</v>
      </c>
    </row>
    <row r="66" spans="1:13" x14ac:dyDescent="0.2">
      <c r="B66" s="3">
        <v>45741</v>
      </c>
      <c r="C66">
        <v>0</v>
      </c>
      <c r="D66">
        <v>1500</v>
      </c>
      <c r="E66">
        <v>300</v>
      </c>
      <c r="F66">
        <v>12000</v>
      </c>
      <c r="G66">
        <v>1000</v>
      </c>
      <c r="H66">
        <v>1000</v>
      </c>
      <c r="I66">
        <v>700</v>
      </c>
      <c r="K66">
        <f t="shared" si="0"/>
        <v>2893020</v>
      </c>
    </row>
    <row r="67" spans="1:13" x14ac:dyDescent="0.2">
      <c r="B67" s="3">
        <v>45742</v>
      </c>
      <c r="C67">
        <v>0</v>
      </c>
      <c r="D67">
        <v>1500</v>
      </c>
      <c r="E67">
        <v>300</v>
      </c>
      <c r="F67">
        <v>12000</v>
      </c>
      <c r="G67">
        <v>1000</v>
      </c>
      <c r="H67">
        <v>1000</v>
      </c>
      <c r="I67">
        <v>700</v>
      </c>
      <c r="K67">
        <f t="shared" si="0"/>
        <v>2909890</v>
      </c>
    </row>
    <row r="68" spans="1:13" x14ac:dyDescent="0.2">
      <c r="B68" s="3">
        <v>45743</v>
      </c>
      <c r="C68">
        <v>0</v>
      </c>
      <c r="D68">
        <v>1500</v>
      </c>
      <c r="E68">
        <v>300</v>
      </c>
      <c r="F68">
        <v>12000</v>
      </c>
      <c r="G68">
        <v>1000</v>
      </c>
      <c r="H68">
        <v>1000</v>
      </c>
      <c r="I68">
        <v>700</v>
      </c>
      <c r="K68">
        <f t="shared" si="0"/>
        <v>2912420</v>
      </c>
    </row>
    <row r="70" spans="1:13" x14ac:dyDescent="0.2">
      <c r="A70" s="5" t="s">
        <v>141</v>
      </c>
    </row>
    <row r="71" spans="1:13" x14ac:dyDescent="0.2">
      <c r="C71" s="5" t="s">
        <v>142</v>
      </c>
      <c r="D71" s="5" t="s">
        <v>14</v>
      </c>
      <c r="E71" s="5" t="s">
        <v>143</v>
      </c>
    </row>
    <row r="72" spans="1:13" x14ac:dyDescent="0.2">
      <c r="B72" s="3">
        <v>45737</v>
      </c>
      <c r="C72" cm="1">
        <f t="array" ref="C72:C76">Answer!C15:C19</f>
        <v>1000000000</v>
      </c>
      <c r="D72">
        <f>Answer!E15+Answer!F15</f>
        <v>1002810517</v>
      </c>
    </row>
    <row r="73" spans="1:13" x14ac:dyDescent="0.2">
      <c r="B73" s="3">
        <v>45740</v>
      </c>
      <c r="C73">
        <v>500000000</v>
      </c>
      <c r="D73">
        <f>Answer!E16+Answer!F16</f>
        <v>1502882457</v>
      </c>
      <c r="E73">
        <f>(D73-(D72+C72))/(D72+C72)</f>
        <v>-0.24961325884629354</v>
      </c>
    </row>
    <row r="74" spans="1:13" x14ac:dyDescent="0.2">
      <c r="B74" s="3">
        <v>45741</v>
      </c>
      <c r="C74">
        <v>0</v>
      </c>
      <c r="D74">
        <f>Answer!E17+Answer!F17</f>
        <v>1502933117</v>
      </c>
      <c r="E74">
        <f t="shared" ref="E74:E76" si="1">(D74-(D73+C73))/(D73+C73)</f>
        <v>-0.24961491786634588</v>
      </c>
    </row>
    <row r="75" spans="1:13" x14ac:dyDescent="0.2">
      <c r="B75" s="3">
        <v>45742</v>
      </c>
      <c r="C75">
        <v>0</v>
      </c>
      <c r="D75">
        <f>Answer!E18+Answer!F18</f>
        <v>1502949987</v>
      </c>
      <c r="E75">
        <f t="shared" si="1"/>
        <v>1.1224717726410976E-5</v>
      </c>
    </row>
    <row r="76" spans="1:13" x14ac:dyDescent="0.2">
      <c r="B76" s="3">
        <v>45743</v>
      </c>
      <c r="C76">
        <v>0</v>
      </c>
      <c r="D76">
        <f>Answer!E19+Answer!F19</f>
        <v>1502952517</v>
      </c>
      <c r="E76">
        <f t="shared" si="1"/>
        <v>1.6833560809631918E-6</v>
      </c>
    </row>
    <row r="79" spans="1:13" x14ac:dyDescent="0.2">
      <c r="B79" s="23" t="s">
        <v>144</v>
      </c>
      <c r="J79" s="23" t="s">
        <v>145</v>
      </c>
      <c r="K79" s="5" t="s">
        <v>147</v>
      </c>
      <c r="M79" s="23" t="s">
        <v>72</v>
      </c>
    </row>
    <row r="80" spans="1:13" x14ac:dyDescent="0.2">
      <c r="C80" t="str">
        <f>_xll.RDP.HistoricalPricing(".GSPTSE","TRDPRC_1","START:21-Mar-2025 END:27-Mar-2025 INTERVAL:P1D SOURCE:RFV",,"SORT:ASC CH:Fd RH:Timestamp",D81)</f>
        <v>Updated at 15:09:41</v>
      </c>
      <c r="K80" s="24" t="s">
        <v>146</v>
      </c>
    </row>
    <row r="81" spans="4:16" x14ac:dyDescent="0.2">
      <c r="D81" s="12" t="s">
        <v>99</v>
      </c>
      <c r="E81" s="12" t="s">
        <v>93</v>
      </c>
      <c r="J81" s="22">
        <v>45737</v>
      </c>
      <c r="K81">
        <v>24955</v>
      </c>
      <c r="L81" s="12"/>
      <c r="M81" s="12" t="str">
        <f>_xll.RDP.HistoricalPricing("CADSEK1M=R","MID_PRICE","START:21-Mar-2025 END:27-Mar-2025 INTERVAL:P1D SOURCE:RFV",,"SORT:ASC CH:Fd RH:Timestamp",N82)</f>
        <v>Updated at 15:09:41</v>
      </c>
      <c r="N81" s="12"/>
      <c r="O81" s="12"/>
    </row>
    <row r="82" spans="4:16" x14ac:dyDescent="0.2">
      <c r="D82" s="22">
        <v>45737</v>
      </c>
      <c r="E82">
        <v>24968.49</v>
      </c>
      <c r="H82" s="12"/>
      <c r="J82" s="3">
        <v>45740</v>
      </c>
      <c r="K82">
        <v>25290</v>
      </c>
      <c r="M82" s="3"/>
      <c r="N82" s="22" t="s">
        <v>99</v>
      </c>
      <c r="O82" s="12" t="s">
        <v>163</v>
      </c>
      <c r="P82" s="12"/>
    </row>
    <row r="83" spans="4:16" x14ac:dyDescent="0.2">
      <c r="D83" s="3">
        <v>45740</v>
      </c>
      <c r="E83">
        <v>25304.11</v>
      </c>
      <c r="J83" s="3">
        <v>45741</v>
      </c>
      <c r="K83">
        <v>25325</v>
      </c>
      <c r="M83" s="3"/>
      <c r="N83" s="3">
        <v>45737</v>
      </c>
      <c r="O83" s="25">
        <v>-28.52</v>
      </c>
    </row>
    <row r="84" spans="4:16" x14ac:dyDescent="0.2">
      <c r="D84" s="3">
        <v>45741</v>
      </c>
      <c r="E84">
        <v>25339.51</v>
      </c>
      <c r="J84" s="3">
        <v>45742</v>
      </c>
      <c r="K84">
        <v>25140</v>
      </c>
      <c r="M84" s="3"/>
      <c r="N84" s="3">
        <v>45740</v>
      </c>
      <c r="O84" s="25">
        <v>-25.535</v>
      </c>
    </row>
    <row r="85" spans="4:16" x14ac:dyDescent="0.2">
      <c r="D85" s="3">
        <v>45742</v>
      </c>
      <c r="E85">
        <v>25161.06</v>
      </c>
      <c r="J85" s="3">
        <v>45743</v>
      </c>
      <c r="K85">
        <v>25140</v>
      </c>
      <c r="M85" s="3"/>
      <c r="N85" s="3">
        <v>45741</v>
      </c>
      <c r="O85" s="25">
        <v>-29.004999999999999</v>
      </c>
    </row>
    <row r="86" spans="4:16" x14ac:dyDescent="0.2">
      <c r="D86" s="3">
        <v>45743</v>
      </c>
      <c r="E86">
        <v>25161.06</v>
      </c>
      <c r="N86" s="3">
        <v>45742</v>
      </c>
      <c r="O86" s="25">
        <v>-26.86</v>
      </c>
    </row>
    <row r="87" spans="4:16" x14ac:dyDescent="0.2">
      <c r="N87" s="3">
        <v>45743</v>
      </c>
      <c r="O87" s="25">
        <v>-24.94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7B6A4-781C-409A-B4C7-FC1259FD6EFC}">
  <dimension ref="A2:R28"/>
  <sheetViews>
    <sheetView workbookViewId="0">
      <selection activeCell="P3" sqref="P3"/>
    </sheetView>
  </sheetViews>
  <sheetFormatPr defaultRowHeight="12.75" x14ac:dyDescent="0.2"/>
  <cols>
    <col min="1" max="1" width="18" bestFit="1" customWidth="1"/>
    <col min="2" max="2" width="10.140625" bestFit="1" customWidth="1"/>
    <col min="6" max="6" width="18" bestFit="1" customWidth="1"/>
    <col min="7" max="7" width="10.140625" bestFit="1" customWidth="1"/>
    <col min="8" max="8" width="10.42578125" bestFit="1" customWidth="1"/>
    <col min="9" max="9" width="10.140625" bestFit="1" customWidth="1"/>
    <col min="10" max="10" width="10.42578125" bestFit="1" customWidth="1"/>
    <col min="11" max="11" width="10.140625" bestFit="1" customWidth="1"/>
    <col min="12" max="12" width="10.42578125" bestFit="1" customWidth="1"/>
    <col min="13" max="13" width="10.140625" bestFit="1" customWidth="1"/>
    <col min="14" max="14" width="10.42578125" bestFit="1" customWidth="1"/>
    <col min="15" max="15" width="10.140625" bestFit="1" customWidth="1"/>
    <col min="16" max="16" width="10.42578125" bestFit="1" customWidth="1"/>
    <col min="17" max="17" width="10.140625" bestFit="1" customWidth="1"/>
    <col min="18" max="18" width="10.42578125" bestFit="1" customWidth="1"/>
  </cols>
  <sheetData>
    <row r="2" spans="1:18" x14ac:dyDescent="0.2">
      <c r="A2" t="str">
        <f>_xll.RDP.HistoricalPricing("CADSEK=","BID;ASK","START:21-Mar-2025 INTERVAL:P1D SOURCE:RFV",,"CH:Fd RH:Timestamp",B3)</f>
        <v>Updated at 15:11:02</v>
      </c>
      <c r="F2" t="str">
        <f>_xll.RDP.HistoricalPricing(".GSPTSE;CLS.TO;KXS.TO;CTS.TO;LMN.V;OTEX.TO","TRDPRC_1","INTERVAL:P1D SOURCE:RFV",,"CH:Fd RH:Timestamp",G3)</f>
        <v>Updated at 15:09:42</v>
      </c>
      <c r="H2" s="5" t="s">
        <v>148</v>
      </c>
      <c r="J2" s="5" t="s">
        <v>149</v>
      </c>
      <c r="L2" s="5" t="s">
        <v>150</v>
      </c>
      <c r="N2" s="5" t="s">
        <v>151</v>
      </c>
      <c r="P2" s="5" t="s">
        <v>152</v>
      </c>
      <c r="R2" s="5" t="s">
        <v>153</v>
      </c>
    </row>
    <row r="3" spans="1:18" x14ac:dyDescent="0.2">
      <c r="B3" s="12" t="s">
        <v>99</v>
      </c>
      <c r="C3" s="12" t="s">
        <v>22</v>
      </c>
      <c r="D3" s="12" t="s">
        <v>23</v>
      </c>
      <c r="G3" s="12" t="s">
        <v>99</v>
      </c>
      <c r="H3" s="12" t="s">
        <v>93</v>
      </c>
      <c r="I3" s="12" t="s">
        <v>99</v>
      </c>
      <c r="J3" s="12" t="s">
        <v>93</v>
      </c>
      <c r="K3" s="12" t="s">
        <v>99</v>
      </c>
      <c r="L3" s="12" t="s">
        <v>93</v>
      </c>
      <c r="M3" s="12" t="s">
        <v>99</v>
      </c>
      <c r="N3" s="12" t="s">
        <v>93</v>
      </c>
      <c r="O3" s="12" t="s">
        <v>99</v>
      </c>
      <c r="P3" s="12" t="s">
        <v>93</v>
      </c>
      <c r="Q3" s="12" t="s">
        <v>99</v>
      </c>
      <c r="R3" s="12" t="s">
        <v>93</v>
      </c>
    </row>
    <row r="4" spans="1:18" x14ac:dyDescent="0.2">
      <c r="B4" s="3">
        <v>45756</v>
      </c>
      <c r="C4">
        <v>7.0749000000000004</v>
      </c>
      <c r="D4">
        <v>7.0804999999999998</v>
      </c>
      <c r="G4" s="3">
        <v>45755</v>
      </c>
      <c r="H4">
        <v>22506.9</v>
      </c>
      <c r="I4" s="3">
        <v>45755</v>
      </c>
      <c r="J4">
        <v>98.05</v>
      </c>
      <c r="K4" s="3">
        <v>45755</v>
      </c>
      <c r="L4">
        <v>160.54</v>
      </c>
      <c r="M4" s="3">
        <v>45755</v>
      </c>
      <c r="N4">
        <v>5.95</v>
      </c>
      <c r="O4" s="3">
        <v>45755</v>
      </c>
      <c r="P4">
        <v>41.17</v>
      </c>
      <c r="Q4" s="3">
        <v>45755</v>
      </c>
      <c r="R4">
        <v>33.07</v>
      </c>
    </row>
    <row r="5" spans="1:18" x14ac:dyDescent="0.2">
      <c r="B5" s="3">
        <v>45755</v>
      </c>
      <c r="C5">
        <v>7.0174000000000003</v>
      </c>
      <c r="D5">
        <v>7.0818000000000003</v>
      </c>
      <c r="G5" s="3">
        <v>45754</v>
      </c>
      <c r="H5">
        <v>22859.46</v>
      </c>
      <c r="I5" s="3">
        <v>45754</v>
      </c>
      <c r="J5">
        <v>100.18</v>
      </c>
      <c r="K5" s="3">
        <v>45754</v>
      </c>
      <c r="L5">
        <v>155.75</v>
      </c>
      <c r="M5" s="3">
        <v>45754</v>
      </c>
      <c r="N5">
        <v>5.95</v>
      </c>
      <c r="O5" s="3">
        <v>45754</v>
      </c>
      <c r="P5">
        <v>40.68</v>
      </c>
      <c r="Q5" s="3">
        <v>45754</v>
      </c>
      <c r="R5">
        <v>32.82</v>
      </c>
    </row>
    <row r="6" spans="1:18" x14ac:dyDescent="0.2">
      <c r="B6" s="3">
        <v>45754</v>
      </c>
      <c r="C6">
        <v>7.0532000000000004</v>
      </c>
      <c r="D6">
        <v>7.0888999999999998</v>
      </c>
      <c r="G6" s="3">
        <v>45751</v>
      </c>
      <c r="H6">
        <v>23193.47</v>
      </c>
      <c r="I6" s="3">
        <v>45751</v>
      </c>
      <c r="J6">
        <v>94.08</v>
      </c>
      <c r="K6" s="3">
        <v>45751</v>
      </c>
      <c r="L6">
        <v>158.26</v>
      </c>
      <c r="M6" s="3">
        <v>45751</v>
      </c>
      <c r="N6">
        <v>5.96</v>
      </c>
      <c r="O6" s="3">
        <v>45751</v>
      </c>
      <c r="P6">
        <v>40.9</v>
      </c>
      <c r="Q6" s="3">
        <v>45751</v>
      </c>
      <c r="R6">
        <v>34.340000000000003</v>
      </c>
    </row>
    <row r="7" spans="1:18" x14ac:dyDescent="0.2">
      <c r="B7" s="3">
        <v>45751</v>
      </c>
      <c r="C7">
        <v>7.0080999999999998</v>
      </c>
      <c r="D7">
        <v>7.0354000000000001</v>
      </c>
      <c r="G7" s="3">
        <v>45750</v>
      </c>
      <c r="H7">
        <v>24335.77</v>
      </c>
      <c r="I7" s="3">
        <v>45750</v>
      </c>
      <c r="J7">
        <v>97.27</v>
      </c>
      <c r="K7" s="3">
        <v>45750</v>
      </c>
      <c r="L7">
        <v>163.21</v>
      </c>
      <c r="M7" s="3">
        <v>45750</v>
      </c>
      <c r="N7">
        <v>6.03</v>
      </c>
      <c r="O7" s="3">
        <v>45750</v>
      </c>
      <c r="P7">
        <v>42.7</v>
      </c>
      <c r="Q7" s="3">
        <v>45750</v>
      </c>
      <c r="R7">
        <v>35.01</v>
      </c>
    </row>
    <row r="8" spans="1:18" x14ac:dyDescent="0.2">
      <c r="B8" s="3">
        <v>45750</v>
      </c>
      <c r="C8">
        <v>6.9181999999999997</v>
      </c>
      <c r="D8">
        <v>6.9874000000000001</v>
      </c>
      <c r="G8" s="3">
        <v>45749</v>
      </c>
      <c r="H8">
        <v>25307.18</v>
      </c>
      <c r="I8" s="3">
        <v>45749</v>
      </c>
      <c r="J8">
        <v>117.93</v>
      </c>
      <c r="K8" s="3">
        <v>45749</v>
      </c>
      <c r="L8">
        <v>160.88999999999999</v>
      </c>
      <c r="M8" s="3">
        <v>45749</v>
      </c>
      <c r="N8">
        <v>6.05</v>
      </c>
      <c r="O8" s="3">
        <v>45749</v>
      </c>
      <c r="P8">
        <v>43.4</v>
      </c>
      <c r="Q8" s="3">
        <v>45749</v>
      </c>
      <c r="R8">
        <v>37.159999999999997</v>
      </c>
    </row>
    <row r="9" spans="1:18" x14ac:dyDescent="0.2">
      <c r="B9" s="3">
        <v>45749</v>
      </c>
      <c r="C9">
        <v>6.9212999999999996</v>
      </c>
      <c r="D9">
        <v>7.0175000000000001</v>
      </c>
      <c r="G9" s="3">
        <v>45748</v>
      </c>
      <c r="H9">
        <v>25033.279999999999</v>
      </c>
      <c r="I9" s="3">
        <v>45748</v>
      </c>
      <c r="J9">
        <v>113.08</v>
      </c>
      <c r="K9" s="3">
        <v>45748</v>
      </c>
      <c r="L9">
        <v>156.55000000000001</v>
      </c>
      <c r="M9" s="3">
        <v>45748</v>
      </c>
      <c r="N9">
        <v>5.47</v>
      </c>
      <c r="O9" s="3">
        <v>45748</v>
      </c>
      <c r="P9">
        <v>42.11</v>
      </c>
      <c r="Q9" s="3">
        <v>45748</v>
      </c>
      <c r="R9">
        <v>36.29</v>
      </c>
    </row>
    <row r="10" spans="1:18" x14ac:dyDescent="0.2">
      <c r="B10" s="3">
        <v>45748</v>
      </c>
      <c r="C10">
        <v>6.9904999999999999</v>
      </c>
      <c r="D10">
        <v>7.0183999999999997</v>
      </c>
      <c r="G10" s="3">
        <v>45747</v>
      </c>
      <c r="H10">
        <v>24917.5</v>
      </c>
      <c r="I10" s="3">
        <v>45747</v>
      </c>
      <c r="J10">
        <v>113.52</v>
      </c>
      <c r="K10" s="3">
        <v>45747</v>
      </c>
      <c r="L10">
        <v>158.66</v>
      </c>
      <c r="M10" s="3">
        <v>45747</v>
      </c>
      <c r="N10">
        <v>5.46</v>
      </c>
      <c r="O10" s="3">
        <v>45747</v>
      </c>
      <c r="P10">
        <v>40.5</v>
      </c>
      <c r="Q10" s="3">
        <v>45747</v>
      </c>
      <c r="R10">
        <v>36.32</v>
      </c>
    </row>
    <row r="11" spans="1:18" x14ac:dyDescent="0.2">
      <c r="B11" s="3">
        <v>45747</v>
      </c>
      <c r="C11">
        <v>6.9707999999999997</v>
      </c>
      <c r="D11">
        <v>6.9897999999999998</v>
      </c>
      <c r="G11" s="3">
        <v>45744</v>
      </c>
      <c r="H11">
        <v>24759.15</v>
      </c>
      <c r="I11" s="3">
        <v>45744</v>
      </c>
      <c r="J11">
        <v>118.36</v>
      </c>
      <c r="K11" s="3">
        <v>45744</v>
      </c>
      <c r="L11">
        <v>155.24</v>
      </c>
      <c r="M11" s="3">
        <v>45744</v>
      </c>
      <c r="N11">
        <v>5.46</v>
      </c>
      <c r="O11" s="3">
        <v>45744</v>
      </c>
      <c r="P11">
        <v>41.77</v>
      </c>
      <c r="Q11" s="3">
        <v>45744</v>
      </c>
      <c r="R11">
        <v>36.17</v>
      </c>
    </row>
    <row r="12" spans="1:18" x14ac:dyDescent="0.2">
      <c r="B12" s="3">
        <v>45744</v>
      </c>
      <c r="C12">
        <v>6.9554999999999998</v>
      </c>
      <c r="D12">
        <v>7.0239000000000003</v>
      </c>
      <c r="G12" s="3">
        <v>45743</v>
      </c>
      <c r="H12">
        <v>25161.06</v>
      </c>
      <c r="I12" s="3">
        <v>45743</v>
      </c>
      <c r="J12">
        <v>120.91</v>
      </c>
      <c r="K12" s="3">
        <v>45743</v>
      </c>
      <c r="L12">
        <v>156.63</v>
      </c>
      <c r="M12" s="3">
        <v>45743</v>
      </c>
      <c r="N12">
        <v>5.45</v>
      </c>
      <c r="O12" s="3">
        <v>45743</v>
      </c>
      <c r="P12">
        <v>40.869999999999997</v>
      </c>
      <c r="Q12" s="3">
        <v>45743</v>
      </c>
      <c r="R12">
        <v>37.9</v>
      </c>
    </row>
    <row r="13" spans="1:18" x14ac:dyDescent="0.2">
      <c r="B13" s="3">
        <v>45743</v>
      </c>
      <c r="C13">
        <v>6.9851999999999999</v>
      </c>
      <c r="D13">
        <v>7.0011999999999999</v>
      </c>
      <c r="G13" s="3">
        <v>45742</v>
      </c>
      <c r="H13">
        <v>25161.06</v>
      </c>
      <c r="I13" s="3">
        <v>45742</v>
      </c>
      <c r="J13">
        <v>125.3</v>
      </c>
      <c r="K13" s="3">
        <v>45742</v>
      </c>
      <c r="L13">
        <v>158.30000000000001</v>
      </c>
      <c r="M13" s="3">
        <v>45742</v>
      </c>
      <c r="N13">
        <v>5.46</v>
      </c>
      <c r="O13" s="3">
        <v>45742</v>
      </c>
      <c r="P13">
        <v>41.07</v>
      </c>
      <c r="Q13" s="3">
        <v>45742</v>
      </c>
      <c r="R13">
        <v>38.299999999999997</v>
      </c>
    </row>
    <row r="14" spans="1:18" x14ac:dyDescent="0.2">
      <c r="B14" s="3">
        <v>45742</v>
      </c>
      <c r="C14">
        <v>7.0125999999999999</v>
      </c>
      <c r="D14">
        <v>7.0888999999999998</v>
      </c>
      <c r="G14" s="3">
        <v>45741</v>
      </c>
      <c r="H14">
        <v>25339.51</v>
      </c>
      <c r="I14" s="3">
        <v>45741</v>
      </c>
      <c r="J14">
        <v>139.07</v>
      </c>
      <c r="K14" s="3">
        <v>45741</v>
      </c>
      <c r="L14">
        <v>159.87</v>
      </c>
      <c r="M14" s="3">
        <v>45741</v>
      </c>
      <c r="N14">
        <v>5.46</v>
      </c>
      <c r="O14" s="3">
        <v>45741</v>
      </c>
      <c r="P14">
        <v>41.47</v>
      </c>
      <c r="Q14" s="3">
        <v>45741</v>
      </c>
      <c r="R14">
        <v>38.799999999999997</v>
      </c>
    </row>
    <row r="15" spans="1:18" x14ac:dyDescent="0.2">
      <c r="B15" s="3">
        <v>45741</v>
      </c>
      <c r="C15">
        <v>7.0243000000000002</v>
      </c>
      <c r="D15">
        <v>7.0355999999999996</v>
      </c>
      <c r="G15" s="3">
        <v>45740</v>
      </c>
      <c r="H15">
        <v>25304.11</v>
      </c>
      <c r="I15" s="3">
        <v>45740</v>
      </c>
      <c r="J15">
        <v>143.1</v>
      </c>
      <c r="K15" s="3">
        <v>45740</v>
      </c>
      <c r="L15">
        <v>158.82</v>
      </c>
      <c r="M15" s="3">
        <v>45740</v>
      </c>
      <c r="N15">
        <v>5.47</v>
      </c>
      <c r="O15" s="3">
        <v>45740</v>
      </c>
      <c r="P15">
        <v>40.590000000000003</v>
      </c>
      <c r="Q15" s="3">
        <v>45740</v>
      </c>
      <c r="R15">
        <v>38.56</v>
      </c>
    </row>
    <row r="16" spans="1:18" x14ac:dyDescent="0.2">
      <c r="B16" s="3">
        <v>45740</v>
      </c>
      <c r="C16">
        <v>7.0481999999999996</v>
      </c>
      <c r="D16">
        <v>7.0644999999999998</v>
      </c>
      <c r="G16" s="3">
        <v>45737</v>
      </c>
      <c r="H16">
        <v>24968.49</v>
      </c>
      <c r="I16" s="3">
        <v>45737</v>
      </c>
      <c r="J16">
        <v>137.66999999999999</v>
      </c>
      <c r="K16" s="3">
        <v>45737</v>
      </c>
      <c r="L16">
        <v>159.84</v>
      </c>
      <c r="M16" s="3">
        <v>45737</v>
      </c>
      <c r="N16">
        <v>5.47</v>
      </c>
      <c r="O16" s="3">
        <v>45737</v>
      </c>
      <c r="P16">
        <v>38.83</v>
      </c>
      <c r="Q16" s="3">
        <v>45737</v>
      </c>
      <c r="R16">
        <v>37.86</v>
      </c>
    </row>
    <row r="17" spans="2:18" x14ac:dyDescent="0.2">
      <c r="B17" s="3">
        <v>45737</v>
      </c>
      <c r="C17">
        <v>7.0469999999999997</v>
      </c>
      <c r="D17">
        <v>7.0838999999999999</v>
      </c>
      <c r="G17" s="3">
        <v>45736</v>
      </c>
      <c r="H17">
        <v>25060.240000000002</v>
      </c>
      <c r="I17" s="3">
        <v>45736</v>
      </c>
      <c r="J17">
        <v>136.97999999999999</v>
      </c>
      <c r="K17" s="3">
        <v>45736</v>
      </c>
      <c r="L17">
        <v>157.56</v>
      </c>
      <c r="M17" s="3">
        <v>45736</v>
      </c>
      <c r="N17">
        <v>5.46</v>
      </c>
      <c r="O17" s="3">
        <v>45736</v>
      </c>
      <c r="P17">
        <v>38.33</v>
      </c>
      <c r="Q17" s="3">
        <v>45736</v>
      </c>
      <c r="R17">
        <v>37.79</v>
      </c>
    </row>
    <row r="18" spans="2:18" x14ac:dyDescent="0.2">
      <c r="G18" s="3">
        <v>45735</v>
      </c>
      <c r="H18">
        <v>25069.21</v>
      </c>
      <c r="I18" s="3">
        <v>45735</v>
      </c>
      <c r="J18">
        <v>131.78</v>
      </c>
      <c r="K18" s="3">
        <v>45735</v>
      </c>
      <c r="L18">
        <v>159.38</v>
      </c>
      <c r="M18" s="3">
        <v>45735</v>
      </c>
      <c r="N18">
        <v>5.47</v>
      </c>
      <c r="O18" s="3">
        <v>45735</v>
      </c>
      <c r="P18">
        <v>37.99</v>
      </c>
      <c r="Q18" s="3">
        <v>45735</v>
      </c>
      <c r="R18">
        <v>37.67</v>
      </c>
    </row>
    <row r="19" spans="2:18" x14ac:dyDescent="0.2">
      <c r="G19" s="3">
        <v>45734</v>
      </c>
      <c r="H19">
        <v>24706.07</v>
      </c>
      <c r="I19" s="3">
        <v>45734</v>
      </c>
      <c r="J19">
        <v>125.17</v>
      </c>
      <c r="K19" s="3">
        <v>45734</v>
      </c>
      <c r="L19">
        <v>156.78</v>
      </c>
      <c r="M19" s="3">
        <v>45734</v>
      </c>
      <c r="N19">
        <v>5.46</v>
      </c>
      <c r="O19" s="3">
        <v>45734</v>
      </c>
      <c r="P19">
        <v>37.08</v>
      </c>
      <c r="Q19" s="3">
        <v>45734</v>
      </c>
      <c r="R19">
        <v>37.31</v>
      </c>
    </row>
    <row r="20" spans="2:18" x14ac:dyDescent="0.2">
      <c r="G20" s="3">
        <v>45733</v>
      </c>
      <c r="H20">
        <v>24785.11</v>
      </c>
      <c r="I20" s="3">
        <v>45733</v>
      </c>
      <c r="J20">
        <v>131.08000000000001</v>
      </c>
      <c r="K20" s="3">
        <v>45733</v>
      </c>
      <c r="L20">
        <v>159.59</v>
      </c>
      <c r="M20" s="3">
        <v>45733</v>
      </c>
      <c r="N20">
        <v>5.46</v>
      </c>
      <c r="O20" s="3">
        <v>45733</v>
      </c>
      <c r="P20">
        <v>38.770000000000003</v>
      </c>
      <c r="Q20" s="3">
        <v>45733</v>
      </c>
      <c r="R20">
        <v>37.15</v>
      </c>
    </row>
    <row r="21" spans="2:18" x14ac:dyDescent="0.2">
      <c r="G21" s="3">
        <v>45730</v>
      </c>
      <c r="H21">
        <v>24553.4</v>
      </c>
      <c r="I21" s="3">
        <v>45730</v>
      </c>
      <c r="J21">
        <v>131.66</v>
      </c>
      <c r="K21" s="3">
        <v>45730</v>
      </c>
      <c r="L21">
        <v>159.52000000000001</v>
      </c>
      <c r="M21" s="3">
        <v>45730</v>
      </c>
      <c r="N21">
        <v>5.47</v>
      </c>
      <c r="O21" s="3">
        <v>45730</v>
      </c>
      <c r="P21">
        <v>38.520000000000003</v>
      </c>
      <c r="Q21" s="3">
        <v>45730</v>
      </c>
      <c r="R21">
        <v>37.44</v>
      </c>
    </row>
    <row r="22" spans="2:18" x14ac:dyDescent="0.2">
      <c r="G22" s="3">
        <v>45729</v>
      </c>
      <c r="H22">
        <v>24203.23</v>
      </c>
      <c r="I22" s="3">
        <v>45729</v>
      </c>
      <c r="J22">
        <v>124.82</v>
      </c>
      <c r="K22" s="3">
        <v>45729</v>
      </c>
      <c r="L22">
        <v>155.66</v>
      </c>
      <c r="M22" s="3">
        <v>45729</v>
      </c>
      <c r="N22">
        <v>5.43</v>
      </c>
      <c r="O22" s="3">
        <v>45729</v>
      </c>
      <c r="P22">
        <v>38.9</v>
      </c>
      <c r="Q22" s="3">
        <v>45729</v>
      </c>
      <c r="R22">
        <v>36.25</v>
      </c>
    </row>
    <row r="23" spans="2:18" x14ac:dyDescent="0.2">
      <c r="G23" s="3">
        <v>45728</v>
      </c>
      <c r="H23">
        <v>24423.34</v>
      </c>
      <c r="I23" s="3">
        <v>45728</v>
      </c>
      <c r="J23">
        <v>128.78</v>
      </c>
      <c r="K23" s="3">
        <v>45728</v>
      </c>
      <c r="L23">
        <v>158.47999999999999</v>
      </c>
      <c r="M23" s="3">
        <v>45728</v>
      </c>
      <c r="N23">
        <v>5.43</v>
      </c>
      <c r="O23" s="3">
        <v>45728</v>
      </c>
      <c r="P23">
        <v>40.24</v>
      </c>
      <c r="Q23" s="3">
        <v>45728</v>
      </c>
      <c r="R23">
        <v>36.32</v>
      </c>
    </row>
    <row r="24" spans="2:18" x14ac:dyDescent="0.2">
      <c r="G24" s="3">
        <v>45727</v>
      </c>
      <c r="H24">
        <v>24248.2</v>
      </c>
      <c r="I24" s="3">
        <v>45727</v>
      </c>
      <c r="J24">
        <v>124.75</v>
      </c>
      <c r="K24" s="3">
        <v>45727</v>
      </c>
      <c r="L24">
        <v>158.99</v>
      </c>
      <c r="M24" s="3">
        <v>45727</v>
      </c>
      <c r="N24">
        <v>5.43</v>
      </c>
      <c r="O24" s="3">
        <v>45727</v>
      </c>
      <c r="P24">
        <v>38.700000000000003</v>
      </c>
      <c r="Q24" s="3">
        <v>45727</v>
      </c>
      <c r="R24">
        <v>36.880000000000003</v>
      </c>
    </row>
    <row r="25" spans="2:18" x14ac:dyDescent="0.2">
      <c r="G25" s="3">
        <v>45726</v>
      </c>
      <c r="H25">
        <v>24380.71</v>
      </c>
      <c r="I25" s="3">
        <v>45726</v>
      </c>
      <c r="J25">
        <v>117.19</v>
      </c>
      <c r="K25" s="3">
        <v>45726</v>
      </c>
      <c r="L25">
        <v>160.84</v>
      </c>
      <c r="M25" s="3">
        <v>45726</v>
      </c>
      <c r="N25">
        <v>5.43</v>
      </c>
      <c r="O25" s="3">
        <v>45726</v>
      </c>
      <c r="P25">
        <v>39.17</v>
      </c>
      <c r="Q25" s="3">
        <v>45726</v>
      </c>
      <c r="R25">
        <v>37.53</v>
      </c>
    </row>
    <row r="26" spans="2:18" x14ac:dyDescent="0.2">
      <c r="G26" s="3">
        <v>45723</v>
      </c>
      <c r="H26">
        <v>24758.76</v>
      </c>
      <c r="I26" s="3">
        <v>45723</v>
      </c>
      <c r="J26">
        <v>125.78</v>
      </c>
      <c r="K26" s="3">
        <v>45723</v>
      </c>
      <c r="L26">
        <v>162.05000000000001</v>
      </c>
      <c r="M26" s="3">
        <v>45723</v>
      </c>
      <c r="N26">
        <v>5.44</v>
      </c>
      <c r="O26" s="3">
        <v>45723</v>
      </c>
      <c r="P26">
        <v>38.53</v>
      </c>
      <c r="Q26" s="3">
        <v>45723</v>
      </c>
      <c r="R26">
        <v>37.85</v>
      </c>
    </row>
    <row r="27" spans="2:18" x14ac:dyDescent="0.2">
      <c r="G27" s="3">
        <v>45722</v>
      </c>
      <c r="H27">
        <v>24584.04</v>
      </c>
      <c r="I27" s="3">
        <v>45722</v>
      </c>
      <c r="J27">
        <v>116.84</v>
      </c>
      <c r="K27" s="3">
        <v>45722</v>
      </c>
      <c r="L27">
        <v>157.86000000000001</v>
      </c>
      <c r="M27" s="3">
        <v>45722</v>
      </c>
      <c r="N27">
        <v>5.45</v>
      </c>
      <c r="O27" s="3">
        <v>45722</v>
      </c>
      <c r="P27">
        <v>36.75</v>
      </c>
      <c r="Q27" s="3">
        <v>45722</v>
      </c>
      <c r="R27">
        <v>37.08</v>
      </c>
    </row>
    <row r="28" spans="2:18" x14ac:dyDescent="0.2">
      <c r="G28" s="3">
        <v>45721</v>
      </c>
      <c r="H28">
        <v>24870.82</v>
      </c>
      <c r="I28" s="3">
        <v>45721</v>
      </c>
      <c r="J28">
        <v>130.38</v>
      </c>
      <c r="K28" s="3">
        <v>45721</v>
      </c>
      <c r="L28">
        <v>160.16999999999999</v>
      </c>
      <c r="M28" s="3">
        <v>45721</v>
      </c>
      <c r="N28">
        <v>5.46</v>
      </c>
      <c r="O28" s="3">
        <v>45721</v>
      </c>
      <c r="P28">
        <v>36.35</v>
      </c>
      <c r="Q28" s="3">
        <v>45721</v>
      </c>
      <c r="R28">
        <v>37.31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855892-6E46-4891-AA47-7D0A443AD0D1}">
  <dimension ref="A1:K15"/>
  <sheetViews>
    <sheetView workbookViewId="0">
      <selection activeCell="D1" sqref="D1"/>
    </sheetView>
  </sheetViews>
  <sheetFormatPr defaultRowHeight="12.75" x14ac:dyDescent="0.2"/>
  <cols>
    <col min="1" max="1" width="10.140625" bestFit="1" customWidth="1"/>
    <col min="2" max="2" width="8.85546875" bestFit="1" customWidth="1"/>
    <col min="3" max="3" width="7.7109375" bestFit="1" customWidth="1"/>
    <col min="4" max="4" width="7.42578125" bestFit="1" customWidth="1"/>
    <col min="6" max="6" width="8.7109375" bestFit="1" customWidth="1"/>
    <col min="7" max="7" width="9.85546875" bestFit="1" customWidth="1"/>
    <col min="8" max="8" width="11" bestFit="1" customWidth="1"/>
    <col min="9" max="9" width="11" customWidth="1"/>
    <col min="10" max="10" width="12.7109375" bestFit="1" customWidth="1"/>
  </cols>
  <sheetData>
    <row r="1" spans="1:11" x14ac:dyDescent="0.2">
      <c r="A1" t="s">
        <v>13</v>
      </c>
      <c r="B1" s="5" t="s">
        <v>154</v>
      </c>
      <c r="C1" s="5" t="s">
        <v>155</v>
      </c>
      <c r="D1" s="5" t="s">
        <v>156</v>
      </c>
      <c r="E1" s="5" t="s">
        <v>157</v>
      </c>
      <c r="F1" s="5" t="s">
        <v>158</v>
      </c>
      <c r="G1" s="5" t="s">
        <v>159</v>
      </c>
      <c r="H1" s="5" t="s">
        <v>33</v>
      </c>
      <c r="I1" s="5" t="s">
        <v>98</v>
      </c>
      <c r="J1" s="5" t="s">
        <v>37</v>
      </c>
      <c r="K1" s="5" t="s">
        <v>160</v>
      </c>
    </row>
    <row r="2" spans="1:11" x14ac:dyDescent="0.2">
      <c r="A2" s="3">
        <v>45737</v>
      </c>
      <c r="B2">
        <v>0</v>
      </c>
      <c r="C2">
        <v>1500</v>
      </c>
      <c r="D2">
        <v>300</v>
      </c>
      <c r="E2">
        <v>12000</v>
      </c>
      <c r="F2">
        <v>1000</v>
      </c>
      <c r="G2">
        <v>700</v>
      </c>
      <c r="H2">
        <v>1000040097</v>
      </c>
      <c r="J2">
        <v>1000000000</v>
      </c>
    </row>
    <row r="3" spans="1:11" x14ac:dyDescent="0.2">
      <c r="A3" s="3">
        <v>45740</v>
      </c>
      <c r="B3">
        <v>0</v>
      </c>
      <c r="C3">
        <v>1500</v>
      </c>
      <c r="D3">
        <v>300</v>
      </c>
      <c r="E3">
        <v>12000</v>
      </c>
      <c r="F3">
        <v>1000</v>
      </c>
      <c r="G3">
        <v>700</v>
      </c>
      <c r="H3">
        <v>1500040097</v>
      </c>
      <c r="J3">
        <v>500000000</v>
      </c>
    </row>
    <row r="4" spans="1:11" x14ac:dyDescent="0.2">
      <c r="A4" s="3">
        <v>45741</v>
      </c>
      <c r="B4">
        <v>0</v>
      </c>
      <c r="C4">
        <v>1500</v>
      </c>
      <c r="D4">
        <v>300</v>
      </c>
      <c r="E4">
        <v>12000</v>
      </c>
      <c r="F4">
        <v>1000</v>
      </c>
      <c r="G4">
        <v>700</v>
      </c>
      <c r="H4">
        <v>1500040097</v>
      </c>
      <c r="J4">
        <v>0</v>
      </c>
    </row>
    <row r="5" spans="1:11" x14ac:dyDescent="0.2">
      <c r="A5" s="3">
        <v>45742</v>
      </c>
      <c r="B5">
        <v>0</v>
      </c>
      <c r="C5">
        <v>1500</v>
      </c>
      <c r="D5">
        <v>300</v>
      </c>
      <c r="E5">
        <v>12000</v>
      </c>
      <c r="F5">
        <v>1000</v>
      </c>
      <c r="G5">
        <v>700</v>
      </c>
      <c r="H5">
        <v>1500040097</v>
      </c>
      <c r="J5">
        <v>0</v>
      </c>
    </row>
    <row r="6" spans="1:11" x14ac:dyDescent="0.2">
      <c r="A6" s="3">
        <v>45743</v>
      </c>
      <c r="B6">
        <v>0</v>
      </c>
      <c r="C6">
        <v>1500</v>
      </c>
      <c r="D6">
        <v>300</v>
      </c>
      <c r="E6">
        <v>12000</v>
      </c>
      <c r="F6">
        <v>1000</v>
      </c>
      <c r="G6">
        <v>700</v>
      </c>
      <c r="H6">
        <v>1500040097</v>
      </c>
      <c r="J6">
        <v>0</v>
      </c>
    </row>
    <row r="7" spans="1:11" x14ac:dyDescent="0.2">
      <c r="A7" s="3"/>
    </row>
    <row r="8" spans="1:11" x14ac:dyDescent="0.2">
      <c r="A8" s="3"/>
    </row>
    <row r="9" spans="1:11" x14ac:dyDescent="0.2">
      <c r="A9" s="3"/>
    </row>
    <row r="10" spans="1:11" x14ac:dyDescent="0.2">
      <c r="A10" s="3"/>
    </row>
    <row r="11" spans="1:11" x14ac:dyDescent="0.2">
      <c r="A11" s="3"/>
    </row>
    <row r="12" spans="1:11" x14ac:dyDescent="0.2">
      <c r="A12" s="3"/>
    </row>
    <row r="13" spans="1:11" x14ac:dyDescent="0.2">
      <c r="A13" s="3"/>
    </row>
    <row r="14" spans="1:11" x14ac:dyDescent="0.2">
      <c r="A14" s="3"/>
    </row>
    <row r="15" spans="1:11" x14ac:dyDescent="0.2">
      <c r="A15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lisam_Description xmlns="1a019fe7-1cbb-4790-8c4c-66bee00fcef3" xsi:nil="true"/>
    <_lisam_PublishedVersion xmlns="2605b138-f2f2-41dd-8107-1f1968d575cc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4B9EE45F5E913744812EC575222D4F45" ma:contentTypeVersion="5" ma:contentTypeDescription="Skapa ett nytt dokument." ma:contentTypeScope="" ma:versionID="67cb386fc1d57f2fea636930c46a1048">
  <xsd:schema xmlns:xsd="http://www.w3.org/2001/XMLSchema" xmlns:xs="http://www.w3.org/2001/XMLSchema" xmlns:p="http://schemas.microsoft.com/office/2006/metadata/properties" xmlns:ns2="1a019fe7-1cbb-4790-8c4c-66bee00fcef3" xmlns:ns3="2605b138-f2f2-41dd-8107-1f1968d575cc" targetNamespace="http://schemas.microsoft.com/office/2006/metadata/properties" ma:root="true" ma:fieldsID="53b5e745f1bbe8a166940e7e55112667" ns2:_="" ns3:_="">
    <xsd:import namespace="1a019fe7-1cbb-4790-8c4c-66bee00fcef3"/>
    <xsd:import namespace="2605b138-f2f2-41dd-8107-1f1968d575cc"/>
    <xsd:element name="properties">
      <xsd:complexType>
        <xsd:sequence>
          <xsd:element name="documentManagement">
            <xsd:complexType>
              <xsd:all>
                <xsd:element ref="ns2:_lisam_Description" minOccurs="0"/>
                <xsd:element ref="ns3:_lisam_PublishedVersion" minOccurs="0"/>
                <xsd:element ref="ns3:MediaServiceMetadata" minOccurs="0"/>
                <xsd:element ref="ns3:MediaServiceFastMetadata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a019fe7-1cbb-4790-8c4c-66bee00fcef3" elementFormDefault="qualified">
    <xsd:import namespace="http://schemas.microsoft.com/office/2006/documentManagement/types"/>
    <xsd:import namespace="http://schemas.microsoft.com/office/infopath/2007/PartnerControls"/>
    <xsd:element name="_lisam_Description" ma:index="8" nillable="true" ma:displayName="Beskrivning" ma:internalName="_lisam_Description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05b138-f2f2-41dd-8107-1f1968d575cc" elementFormDefault="qualified">
    <xsd:import namespace="http://schemas.microsoft.com/office/2006/documentManagement/types"/>
    <xsd:import namespace="http://schemas.microsoft.com/office/infopath/2007/PartnerControls"/>
    <xsd:element name="_lisam_PublishedVersion" ma:index="9" nillable="true" ma:displayName="Published Version" ma:internalName="_lisam_PublishedVersion">
      <xsd:simpleType>
        <xsd:restriction base="dms:Text"/>
      </xsd:simple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nehållstyp"/>
        <xsd:element ref="dc:title" minOccurs="0" maxOccurs="1" ma:index="4" ma:displayName="Rubri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8C15950-02B0-47B4-B0BB-036A50519F3D}">
  <ds:schemaRefs>
    <ds:schemaRef ds:uri="http://schemas.microsoft.com/office/2006/metadata/properties"/>
    <ds:schemaRef ds:uri="http://schemas.microsoft.com/office/infopath/2007/PartnerControls"/>
    <ds:schemaRef ds:uri="1a019fe7-1cbb-4790-8c4c-66bee00fcef3"/>
    <ds:schemaRef ds:uri="2605b138-f2f2-41dd-8107-1f1968d575cc"/>
  </ds:schemaRefs>
</ds:datastoreItem>
</file>

<file path=customXml/itemProps2.xml><?xml version="1.0" encoding="utf-8"?>
<ds:datastoreItem xmlns:ds="http://schemas.openxmlformats.org/officeDocument/2006/customXml" ds:itemID="{8A3EE94D-3566-4229-A431-80C4F8E1EA2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5E5895A-796D-47F0-8DE7-0EFD0D2FDFA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a019fe7-1cbb-4790-8c4c-66bee00fcef3"/>
    <ds:schemaRef ds:uri="2605b138-f2f2-41dd-8107-1f1968d575c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5</vt:i4>
      </vt:variant>
    </vt:vector>
  </HeadingPairs>
  <TitlesOfParts>
    <vt:vector size="17" baseType="lpstr">
      <vt:lpstr>settings</vt:lpstr>
      <vt:lpstr>transactions</vt:lpstr>
      <vt:lpstr>portfolio</vt:lpstr>
      <vt:lpstr>data</vt:lpstr>
      <vt:lpstr>assetHistory</vt:lpstr>
      <vt:lpstr>assetStat</vt:lpstr>
      <vt:lpstr>portfolioHistory</vt:lpstr>
      <vt:lpstr>dailyHoldings</vt:lpstr>
      <vt:lpstr>Answer</vt:lpstr>
      <vt:lpstr>Calculations</vt:lpstr>
      <vt:lpstr>Assets</vt:lpstr>
      <vt:lpstr>DailyHolding 2</vt:lpstr>
      <vt:lpstr>covarMatrix</vt:lpstr>
      <vt:lpstr>equityPortfolioData</vt:lpstr>
      <vt:lpstr>interestRate</vt:lpstr>
      <vt:lpstr>muVector</vt:lpstr>
      <vt:lpstr>optimalEquityWeights</vt:lpstr>
    </vt:vector>
  </TitlesOfParts>
  <Company>mai.liu.se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</dc:creator>
  <cp:lastModifiedBy>William Eriksson</cp:lastModifiedBy>
  <dcterms:created xsi:type="dcterms:W3CDTF">2006-05-15T11:36:03Z</dcterms:created>
  <dcterms:modified xsi:type="dcterms:W3CDTF">2025-04-09T13:11:11Z</dcterms:modified>
</cp:coreProperties>
</file>
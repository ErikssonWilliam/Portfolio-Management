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omments2.xml" ContentType="application/vnd.openxmlformats-officedocument.spreadsheetml.comments+xml"/>
  <Override PartName="/xl/customProperty3.bin" ContentType="application/vnd.openxmlformats-officedocument.spreadsheetml.customProperty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ur03.it.liu.se\students\wiler441\Documents\TPPE33\tppe33_labs\Project 3\"/>
    </mc:Choice>
  </mc:AlternateContent>
  <xr:revisionPtr revIDLastSave="0" documentId="13_ncr:1_{71AE3EFD-8CE8-4CE5-9B96-BABB4A47DBEE}" xr6:coauthVersionLast="47" xr6:coauthVersionMax="47" xr10:uidLastSave="{00000000-0000-0000-0000-000000000000}"/>
  <bookViews>
    <workbookView xWindow="-120" yWindow="-120" windowWidth="29040" windowHeight="17520" activeTab="4" xr2:uid="{00000000-000D-0000-FFFF-FFFF00000000}"/>
  </bookViews>
  <sheets>
    <sheet name="settings" sheetId="6" r:id="rId1"/>
    <sheet name="transactions" sheetId="1" r:id="rId2"/>
    <sheet name="portfolio" sheetId="2" r:id="rId3"/>
    <sheet name="data" sheetId="8" r:id="rId4"/>
    <sheet name="assetHistory" sheetId="4" r:id="rId5"/>
    <sheet name="assetStat" sheetId="5" r:id="rId6"/>
    <sheet name="portfolioHistory" sheetId="3" r:id="rId7"/>
    <sheet name="dailyHoldings" sheetId="7" r:id="rId8"/>
    <sheet name="Answer" sheetId="10" r:id="rId9"/>
    <sheet name="Refinitiv" sheetId="11" r:id="rId10"/>
  </sheets>
  <functionGroups builtInGroupCount="19"/>
  <definedNames>
    <definedName name="covarMatrix">assetStat!$N$3:$T$9</definedName>
    <definedName name="equityPortfolioData">portfolio!$A$10:$L$18</definedName>
    <definedName name="interestRate">portfolio!$F$2</definedName>
    <definedName name="muVector">assetStat!$B$3:$B$9</definedName>
    <definedName name="optimalEquityWeights">portfolio!$G$9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2" l="1"/>
  <c r="B5" i="2"/>
  <c r="A6" i="2"/>
  <c r="B6" i="2"/>
  <c r="C6" i="2"/>
  <c r="D6" i="2"/>
  <c r="E6" i="2"/>
  <c r="K8" i="2"/>
  <c r="L8" i="2"/>
  <c r="A9" i="2"/>
  <c r="B9" i="2"/>
  <c r="D9" i="2"/>
  <c r="K9" i="2"/>
  <c r="L9" i="2"/>
  <c r="A12" i="2"/>
  <c r="B12" i="2"/>
  <c r="G12" i="2"/>
  <c r="A15" i="2"/>
  <c r="B15" i="2"/>
  <c r="H15" i="2"/>
  <c r="I15" i="2"/>
  <c r="G5" i="8"/>
  <c r="E6" i="8"/>
  <c r="G6" i="8"/>
  <c r="D10" i="8"/>
  <c r="I8" i="10"/>
  <c r="K8" i="10"/>
  <c r="F21" i="1"/>
  <c r="F17" i="1"/>
  <c r="F13" i="1"/>
  <c r="F9" i="1"/>
  <c r="E41" i="11"/>
  <c r="J23" i="1" s="1"/>
  <c r="E40" i="11"/>
  <c r="J19" i="1" s="1"/>
  <c r="E39" i="11"/>
  <c r="E38" i="11"/>
  <c r="W6" i="11" s="1"/>
  <c r="E37" i="11"/>
  <c r="J7" i="1" s="1"/>
  <c r="E36" i="11"/>
  <c r="C25" i="11" s="1"/>
  <c r="A27" i="11"/>
  <c r="A28" i="11" s="1"/>
  <c r="B26" i="11"/>
  <c r="B25" i="11"/>
  <c r="U19" i="11"/>
  <c r="H13" i="10" s="1"/>
  <c r="J20" i="1" s="1"/>
  <c r="U18" i="11"/>
  <c r="V18" i="11" s="1"/>
  <c r="Q12" i="10" s="1"/>
  <c r="U17" i="11"/>
  <c r="W18" i="11" s="1"/>
  <c r="U16" i="11"/>
  <c r="H10" i="10" s="1"/>
  <c r="J8" i="1" s="1"/>
  <c r="U15" i="11"/>
  <c r="W15" i="11" s="1"/>
  <c r="F5" i="1" s="1"/>
  <c r="V14" i="11"/>
  <c r="Q8" i="10" s="1"/>
  <c r="U14" i="11"/>
  <c r="Z9" i="11"/>
  <c r="Y9" i="11"/>
  <c r="U9" i="11"/>
  <c r="Z8" i="11"/>
  <c r="Y8" i="11"/>
  <c r="W8" i="11"/>
  <c r="U8" i="11"/>
  <c r="Z7" i="11"/>
  <c r="Y7" i="11"/>
  <c r="W7" i="11"/>
  <c r="U7" i="11"/>
  <c r="T7" i="11"/>
  <c r="Z6" i="11"/>
  <c r="Y6" i="11"/>
  <c r="U6" i="11"/>
  <c r="Z5" i="11"/>
  <c r="Y5" i="11"/>
  <c r="U5" i="11"/>
  <c r="T5" i="11"/>
  <c r="Z4" i="11"/>
  <c r="Y4" i="11"/>
  <c r="U4" i="11"/>
  <c r="T4" i="11"/>
  <c r="C13" i="10"/>
  <c r="C12" i="10"/>
  <c r="H11" i="10"/>
  <c r="J12" i="1" s="1"/>
  <c r="C11" i="10"/>
  <c r="B11" i="10"/>
  <c r="B12" i="10" s="1"/>
  <c r="C10" i="10"/>
  <c r="B10" i="10"/>
  <c r="T6" i="11" s="1"/>
  <c r="Z46" i="1"/>
  <c r="X46" i="1"/>
  <c r="X44" i="1"/>
  <c r="Z44" i="1" s="1"/>
  <c r="Z42" i="1"/>
  <c r="X42" i="1"/>
  <c r="X41" i="1"/>
  <c r="Z41" i="1" s="1"/>
  <c r="X40" i="1"/>
  <c r="Z40" i="1" s="1"/>
  <c r="X39" i="1"/>
  <c r="Z39" i="1" s="1"/>
  <c r="X38" i="1"/>
  <c r="Z38" i="1" s="1"/>
  <c r="X37" i="1"/>
  <c r="Z37" i="1" s="1"/>
  <c r="Y26" i="1"/>
  <c r="Z25" i="1"/>
  <c r="Y25" i="1"/>
  <c r="X25" i="1"/>
  <c r="Y20" i="1"/>
  <c r="Z20" i="1" s="1"/>
  <c r="Y19" i="1"/>
  <c r="X19" i="1"/>
  <c r="Z19" i="1" s="1"/>
  <c r="X18" i="1"/>
  <c r="Z18" i="1" s="1"/>
  <c r="X17" i="1"/>
  <c r="Z17" i="1" s="1"/>
  <c r="Z16" i="1"/>
  <c r="X15" i="1"/>
  <c r="X14" i="1"/>
  <c r="Z14" i="1" s="1"/>
  <c r="X12" i="1"/>
  <c r="Z12" i="1" s="1"/>
  <c r="J11" i="1"/>
  <c r="X10" i="1"/>
  <c r="Z10" i="1" s="1"/>
  <c r="X9" i="1"/>
  <c r="Z9" i="1" s="1"/>
  <c r="X8" i="1"/>
  <c r="Z8" i="1" s="1"/>
  <c r="X5" i="1"/>
  <c r="Z5" i="1" s="1"/>
  <c r="Z4" i="1"/>
  <c r="X4" i="1"/>
  <c r="G4" i="1"/>
  <c r="F4" i="1"/>
  <c r="H4" i="1" s="1"/>
  <c r="J4" i="1" s="1"/>
  <c r="X3" i="1"/>
  <c r="Z3" i="1" s="1"/>
  <c r="G3" i="1"/>
  <c r="F3" i="1"/>
  <c r="H3" i="1" s="1"/>
  <c r="J3" i="1" s="1"/>
  <c r="B27" i="6"/>
  <c r="B9" i="6"/>
  <c r="A9" i="6"/>
  <c r="B8" i="6"/>
  <c r="A8" i="6"/>
  <c r="B7" i="6"/>
  <c r="A7" i="6"/>
  <c r="B6" i="6"/>
  <c r="A6" i="6"/>
  <c r="B5" i="6"/>
  <c r="A5" i="6"/>
  <c r="B4" i="6"/>
  <c r="A4" i="6"/>
  <c r="B3" i="6"/>
  <c r="A3" i="6"/>
  <c r="B2" i="6"/>
  <c r="A2" i="4"/>
  <c r="A3" i="4"/>
  <c r="A4" i="4"/>
  <c r="F2" i="2"/>
  <c r="F18" i="8"/>
  <c r="H6" i="8"/>
  <c r="I6" i="8"/>
  <c r="G2" i="8"/>
  <c r="G18" i="8"/>
  <c r="F14" i="8"/>
  <c r="H18" i="8"/>
  <c r="I14" i="8"/>
  <c r="M8" i="8"/>
  <c r="F10" i="8"/>
  <c r="I18" i="8"/>
  <c r="G10" i="8"/>
  <c r="J18" i="8"/>
  <c r="H14" i="8"/>
  <c r="J14" i="8"/>
  <c r="K6" i="8"/>
  <c r="H10" i="8"/>
  <c r="I10" i="8"/>
  <c r="H5" i="8"/>
  <c r="J10" i="8"/>
  <c r="I5" i="8"/>
  <c r="J5" i="8"/>
  <c r="K5" i="8"/>
  <c r="G14" i="8"/>
  <c r="J6" i="8"/>
  <c r="C53" i="11"/>
  <c r="B34" i="11"/>
  <c r="AD4" i="11"/>
  <c r="G15" i="2" l="1"/>
  <c r="J9" i="2"/>
  <c r="I9" i="2"/>
  <c r="H9" i="2"/>
  <c r="F6" i="8"/>
  <c r="F5" i="8"/>
  <c r="D5" i="8" s="1"/>
  <c r="D5" i="2" s="1"/>
  <c r="C5" i="8"/>
  <c r="C5" i="2" s="1"/>
  <c r="C14" i="8"/>
  <c r="C12" i="2" s="1"/>
  <c r="C10" i="8"/>
  <c r="C18" i="8"/>
  <c r="C15" i="2" s="1"/>
  <c r="C6" i="8"/>
  <c r="W4" i="11"/>
  <c r="W9" i="11"/>
  <c r="W5" i="11"/>
  <c r="J15" i="1"/>
  <c r="C8" i="10"/>
  <c r="C9" i="10"/>
  <c r="C26" i="11"/>
  <c r="V5" i="11" s="1"/>
  <c r="B26" i="6"/>
  <c r="B25" i="6" s="1"/>
  <c r="T8" i="11"/>
  <c r="B13" i="10"/>
  <c r="T9" i="11" s="1"/>
  <c r="A29" i="11"/>
  <c r="B28" i="11"/>
  <c r="C28" i="11" s="1"/>
  <c r="D8" i="10"/>
  <c r="V4" i="11"/>
  <c r="V15" i="11"/>
  <c r="Q9" i="10" s="1"/>
  <c r="V16" i="11"/>
  <c r="Q10" i="10" s="1"/>
  <c r="W17" i="11"/>
  <c r="H12" i="10"/>
  <c r="J16" i="1" s="1"/>
  <c r="V19" i="11"/>
  <c r="Q13" i="10" s="1"/>
  <c r="V17" i="11"/>
  <c r="Q11" i="10" s="1"/>
  <c r="W19" i="11"/>
  <c r="B27" i="11"/>
  <c r="C27" i="11" s="1"/>
  <c r="W16" i="11"/>
  <c r="E10" i="8" l="1"/>
  <c r="C9" i="2"/>
  <c r="D18" i="8"/>
  <c r="D15" i="2" s="1"/>
  <c r="E5" i="8"/>
  <c r="D14" i="8"/>
  <c r="D9" i="10"/>
  <c r="C25" i="6"/>
  <c r="C26" i="6"/>
  <c r="V6" i="11"/>
  <c r="D10" i="10"/>
  <c r="B24" i="6"/>
  <c r="D11" i="10"/>
  <c r="V7" i="11"/>
  <c r="J9" i="10"/>
  <c r="B29" i="11"/>
  <c r="C29" i="11" s="1"/>
  <c r="A30" i="11"/>
  <c r="B30" i="11" s="1"/>
  <c r="C30" i="11" s="1"/>
  <c r="E14" i="8" l="1"/>
  <c r="D12" i="2"/>
  <c r="F2" i="8"/>
  <c r="F9" i="2" s="1"/>
  <c r="E5" i="2"/>
  <c r="E9" i="2"/>
  <c r="B23" i="6"/>
  <c r="E18" i="8"/>
  <c r="J6" i="1"/>
  <c r="I9" i="10"/>
  <c r="J10" i="10" s="1"/>
  <c r="J10" i="1" s="1"/>
  <c r="C24" i="6"/>
  <c r="D13" i="10"/>
  <c r="V9" i="11"/>
  <c r="D12" i="10"/>
  <c r="V8" i="11"/>
  <c r="F15" i="2" l="1"/>
  <c r="E15" i="2"/>
  <c r="E2" i="2"/>
  <c r="F6" i="2"/>
  <c r="F5" i="2"/>
  <c r="E12" i="2"/>
  <c r="F12" i="2"/>
  <c r="B22" i="6"/>
  <c r="C22" i="6" s="1"/>
  <c r="C23" i="6"/>
  <c r="I10" i="10"/>
  <c r="B21" i="6" l="1"/>
  <c r="C21" i="6" s="1"/>
  <c r="J11" i="10"/>
  <c r="J14" i="1" s="1"/>
  <c r="I11" i="10" l="1"/>
  <c r="J12" i="10" l="1"/>
  <c r="J18" i="1" s="1"/>
  <c r="I12" i="10" l="1"/>
  <c r="J13" i="10"/>
  <c r="J22" i="1" s="1"/>
  <c r="I13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Jörgen Blomvall</author>
  </authors>
  <commentList>
    <comment ref="H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Commission to broker</t>
        </r>
      </text>
    </comment>
    <comment ref="I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Fee to e.g. clearing house</t>
        </r>
      </text>
    </comment>
    <comment ref="Y1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2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25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26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Jörgen Blomvall</author>
  </authors>
  <commentList>
    <comment ref="A1" authorId="0" shapeId="0" xr:uid="{00000000-0006-0000-0600-000001000000}">
      <text>
        <r>
          <rPr>
            <b/>
            <sz val="9"/>
            <color indexed="8"/>
            <rFont val="Tahoma"/>
            <family val="2"/>
          </rPr>
          <t xml:space="preserve">Portfolio values are appended automatically when the document is open if the variable trapType in the module automaticStart is changed to
</t>
        </r>
        <r>
          <rPr>
            <b/>
            <sz val="9"/>
            <color indexed="8"/>
            <rFont val="Tahoma"/>
            <family val="2"/>
          </rPr>
          <t xml:space="preserve">trapType = 1 for every second minute
</t>
        </r>
        <r>
          <rPr>
            <b/>
            <sz val="9"/>
            <color indexed="8"/>
            <rFont val="Tahoma"/>
            <family val="2"/>
          </rPr>
          <t xml:space="preserve">trapType = 2 for every day at 18:00
</t>
        </r>
        <r>
          <rPr>
            <b/>
            <sz val="9"/>
            <color indexed="8"/>
            <rFont val="Tahoma"/>
            <family val="2"/>
          </rPr>
          <t xml:space="preserve">
</t>
        </r>
        <r>
          <rPr>
            <b/>
            <sz val="9"/>
            <color indexed="8"/>
            <rFont val="Tahoma"/>
            <family val="2"/>
          </rPr>
          <t>Note that the change in variable value only takes effect if the document is saved and then opened again. (Auto_Open is run only when the document is opened)</t>
        </r>
        <r>
          <rPr>
            <sz val="9"/>
            <color indexed="8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tc={5449283C-2A74-4331-9E4F-4C911DB8C790}</author>
    <author>tc={D6F6F2A1-F7B9-4F8D-B4BC-854C41654245}</author>
    <author>tc={EB63B54C-84C1-4DAF-BD5A-78775AE49ADA}</author>
  </authors>
  <commentList>
    <comment ref="B2" authorId="0" shapeId="0" xr:uid="{00000000-0006-0000-09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Hårdkodad, bara för att se ifall matlab koden funkar</t>
      </text>
    </comment>
    <comment ref="U3" authorId="1" shapeId="0" xr:uid="{00000000-0006-0000-0900-000002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Hur ska vi få värden för varje dag?</t>
      </text>
    </comment>
    <comment ref="Z3" authorId="2" shapeId="0" xr:uid="{00000000-0006-0000-0900-000003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Hämta från refinitiv</t>
      </text>
    </comment>
  </commentList>
</comments>
</file>

<file path=xl/sharedStrings.xml><?xml version="1.0" encoding="utf-8"?>
<sst xmlns="http://schemas.openxmlformats.org/spreadsheetml/2006/main" count="566" uniqueCount="162">
  <si>
    <t>Deposit</t>
  </si>
  <si>
    <t>Buy</t>
  </si>
  <si>
    <t>Asset</t>
  </si>
  <si>
    <t>Holding</t>
  </si>
  <si>
    <t>Cash</t>
  </si>
  <si>
    <t>Description</t>
  </si>
  <si>
    <t>ERICb.ST</t>
  </si>
  <si>
    <t>ABB.ST</t>
  </si>
  <si>
    <t>AZN.ST</t>
  </si>
  <si>
    <t>SHBa.ST</t>
  </si>
  <si>
    <t>SKAb.ST</t>
  </si>
  <si>
    <t>VOLVb.ST</t>
  </si>
  <si>
    <t>LAST</t>
  </si>
  <si>
    <t>Date</t>
  </si>
  <si>
    <t>Value</t>
  </si>
  <si>
    <t>Price</t>
  </si>
  <si>
    <t>Expected value</t>
  </si>
  <si>
    <t>Volatility</t>
  </si>
  <si>
    <t>Correlation</t>
  </si>
  <si>
    <t>Covariance</t>
  </si>
  <si>
    <t>Sell</t>
  </si>
  <si>
    <t>Number</t>
  </si>
  <si>
    <t>BID</t>
  </si>
  <si>
    <t>ASK</t>
  </si>
  <si>
    <t>ACVOL_1</t>
  </si>
  <si>
    <t>Equity</t>
  </si>
  <si>
    <t>Asset type</t>
  </si>
  <si>
    <t>Share</t>
  </si>
  <si>
    <t>Optimal</t>
  </si>
  <si>
    <t>IDN</t>
  </si>
  <si>
    <t>AN.RS.L.BETA</t>
  </si>
  <si>
    <t>AN.RS.L.VOLATILITY_30D</t>
  </si>
  <si>
    <t>Currency</t>
  </si>
  <si>
    <t>SEK</t>
  </si>
  <si>
    <t># Transactions</t>
  </si>
  <si>
    <t>Watch list</t>
  </si>
  <si>
    <t>3M STIBOR</t>
  </si>
  <si>
    <t>Deposits SEK</t>
  </si>
  <si>
    <t>SEK=</t>
  </si>
  <si>
    <t>Total value (SEK)</t>
  </si>
  <si>
    <t>FX</t>
  </si>
  <si>
    <t>FX (USDxxx)</t>
  </si>
  <si>
    <t>MATUR_DATE</t>
  </si>
  <si>
    <t>COUPN_RATE</t>
  </si>
  <si>
    <t>RT_YIELD_1</t>
  </si>
  <si>
    <t>SEC_YLD_1</t>
  </si>
  <si>
    <t>PRIMACT_1</t>
  </si>
  <si>
    <t>SEC_ACT_1</t>
  </si>
  <si>
    <t>ACCR_INT</t>
  </si>
  <si>
    <t>Yes</t>
  </si>
  <si>
    <t>Display</t>
  </si>
  <si>
    <t>Equity fields</t>
  </si>
  <si>
    <t>Summarize</t>
  </si>
  <si>
    <t>Equity options fields</t>
  </si>
  <si>
    <t>ON rate</t>
  </si>
  <si>
    <t>Currency fields</t>
  </si>
  <si>
    <t>ON</t>
  </si>
  <si>
    <t>Fixed income fields</t>
  </si>
  <si>
    <t>Fixed income</t>
  </si>
  <si>
    <t>Portfolio currency</t>
  </si>
  <si>
    <t>ON BID</t>
  </si>
  <si>
    <t>ON ASK</t>
  </si>
  <si>
    <t>EquityOption</t>
  </si>
  <si>
    <t/>
  </si>
  <si>
    <t>USD</t>
  </si>
  <si>
    <t>BMWG.DE</t>
  </si>
  <si>
    <t>EUR</t>
  </si>
  <si>
    <t>Bond</t>
  </si>
  <si>
    <t>EXPIR_DATE</t>
  </si>
  <si>
    <t>STRIKE_PRC</t>
  </si>
  <si>
    <t>PUTCALLIND</t>
  </si>
  <si>
    <t>Forward fields</t>
  </si>
  <si>
    <t>Forward</t>
  </si>
  <si>
    <t>Asset property 1</t>
  </si>
  <si>
    <t>.OMXS30</t>
  </si>
  <si>
    <t>S30139000J4.ST</t>
  </si>
  <si>
    <t>OMXS30V4</t>
  </si>
  <si>
    <t>Future fields</t>
  </si>
  <si>
    <t>Future</t>
  </si>
  <si>
    <t>Settlement</t>
  </si>
  <si>
    <t>Example</t>
  </si>
  <si>
    <t>Mixed</t>
  </si>
  <si>
    <t>FFIU4</t>
  </si>
  <si>
    <t>assetHistory</t>
  </si>
  <si>
    <t>column</t>
  </si>
  <si>
    <t>#data</t>
  </si>
  <si>
    <t>End</t>
  </si>
  <si>
    <t>Option</t>
  </si>
  <si>
    <t>FI Clean price</t>
  </si>
  <si>
    <t>FI Accrued interest</t>
  </si>
  <si>
    <t>Commission</t>
  </si>
  <si>
    <t>Fee</t>
  </si>
  <si>
    <t>HST_CLOSE</t>
  </si>
  <si>
    <t>LOT_SIZE_A</t>
  </si>
  <si>
    <t>Equity option</t>
  </si>
  <si>
    <t>SE1053=</t>
  </si>
  <si>
    <t>S30180000I1.ST</t>
  </si>
  <si>
    <t>OMXS30U0</t>
  </si>
  <si>
    <t>TRDPRC_1</t>
  </si>
  <si>
    <t>TR.Volatility30D</t>
  </si>
  <si>
    <t>TR.BetaDaily90D</t>
  </si>
  <si>
    <t>1. The answers should be written in the columns below, no other columns can be added to the sheet.</t>
  </si>
  <si>
    <t xml:space="preserve">2. Do not use any options maturing in April. </t>
  </si>
  <si>
    <t xml:space="preserve">3. Choose a suitable method to estimate the daily 1M 95% VaR. </t>
  </si>
  <si>
    <t xml:space="preserve">4. Non-trivial calculations should be commented and preferably motivated. </t>
  </si>
  <si>
    <t>Day/Data</t>
  </si>
  <si>
    <t>0. Date</t>
  </si>
  <si>
    <t>1. Cont. Risk-free rate 1M</t>
  </si>
  <si>
    <t>2. Cont. Dividend</t>
  </si>
  <si>
    <t>3. Value of options</t>
  </si>
  <si>
    <t xml:space="preserve">4. Num. call options </t>
  </si>
  <si>
    <t>5. Num. put options</t>
  </si>
  <si>
    <t>6. Settlement</t>
  </si>
  <si>
    <t>7. Cash</t>
  </si>
  <si>
    <t>8. Interest rate income</t>
  </si>
  <si>
    <t>9. Commission</t>
  </si>
  <si>
    <t>10. Implied Volatility</t>
  </si>
  <si>
    <t>11. Call delta</t>
  </si>
  <si>
    <t>12. Put delta</t>
  </si>
  <si>
    <t>13. Gamma</t>
  </si>
  <si>
    <t>14. Vega</t>
  </si>
  <si>
    <t>15. Hedge delta</t>
  </si>
  <si>
    <t>16. 95% VaR</t>
  </si>
  <si>
    <t>Friday</t>
  </si>
  <si>
    <t>Monday</t>
  </si>
  <si>
    <t>Tuesday</t>
  </si>
  <si>
    <t>Wednesday</t>
  </si>
  <si>
    <t>Thursday</t>
  </si>
  <si>
    <t>.OMXC25</t>
  </si>
  <si>
    <t>DKK</t>
  </si>
  <si>
    <t>Dividends</t>
  </si>
  <si>
    <t>q = r - (1/T)ln(F/S)</t>
  </si>
  <si>
    <t>T</t>
  </si>
  <si>
    <t>q</t>
  </si>
  <si>
    <t>Deposits DKK</t>
  </si>
  <si>
    <t>Matlab</t>
  </si>
  <si>
    <t>S</t>
  </si>
  <si>
    <t>r</t>
  </si>
  <si>
    <t>K</t>
  </si>
  <si>
    <t>t</t>
  </si>
  <si>
    <t>Timestamp</t>
  </si>
  <si>
    <t>Invalid RIC.</t>
  </si>
  <si>
    <t>Call Values</t>
  </si>
  <si>
    <t>Put Value</t>
  </si>
  <si>
    <t>Option Value Cal</t>
  </si>
  <si>
    <t>Option Value Put</t>
  </si>
  <si>
    <t>DDK</t>
  </si>
  <si>
    <t>OMXC25CAP</t>
  </si>
  <si>
    <t>Mid Price Close</t>
  </si>
  <si>
    <t>Trade Close</t>
  </si>
  <si>
    <t>C25CAPc1</t>
  </si>
  <si>
    <t>Portfolio delta</t>
  </si>
  <si>
    <t>Hedge delta</t>
  </si>
  <si>
    <t>Position futures</t>
  </si>
  <si>
    <t>Skillnad</t>
  </si>
  <si>
    <t>Lot size</t>
  </si>
  <si>
    <t>Zero yield</t>
  </si>
  <si>
    <t>DDK=</t>
  </si>
  <si>
    <t>SETTLE</t>
  </si>
  <si>
    <t>Deposits DDK</t>
  </si>
  <si>
    <t>Unable to resolve all requested identifiers.</t>
  </si>
  <si>
    <t>MID_PRICE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</si>
</sst>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yyyy\-mm\-dd"/>
    <numFmt numFmtId="165" formatCode="###,###,###.00"/>
    <numFmt numFmtId="166" formatCode="0.000%"/>
    <numFmt numFmtId="167" formatCode="0.00000"/>
    <numFmt numFmtId="168" formatCode="0.000000000"/>
    <numFmt numFmtId="169" formatCode="#,##0.00000000000"/>
    <numFmt numFmtId="170" formatCode="0.0000000"/>
    <numFmt numFmtId="171" formatCode="dd\-mmm\-yyyy"/>
    <numFmt numFmtId="172" formatCode="#,##0.00;\-#,##0.00;#,##0.00;&quot;--&quot;"/>
    <numFmt numFmtId="173" formatCode="0.0000"/>
    <numFmt numFmtId="174" formatCode="0.000"/>
    <numFmt numFmtId="175" formatCode="#,##0.0000"/>
    <numFmt numFmtId="176" formatCode="0.000000"/>
  </numFmts>
  <fonts count="1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9"/>
      <color indexed="8"/>
      <name val="Tahoma"/>
      <family val="2"/>
    </font>
    <font>
      <sz val="9"/>
      <color indexed="8"/>
      <name val="Tahoma"/>
      <family val="2"/>
    </font>
    <font>
      <b/>
      <sz val="10"/>
      <name val="Arial"/>
      <family val="2"/>
    </font>
    <font>
      <sz val="11"/>
      <color rgb="FF000000"/>
      <name val="Calibri"/>
      <family val="2"/>
      <charset val="1"/>
    </font>
    <font>
      <sz val="10"/>
      <color rgb="FF000000"/>
      <name val="Arial"/>
      <family val="2"/>
    </font>
    <font>
      <b/>
      <sz val="11"/>
      <color rgb="FFFFFFFF"/>
      <name val="Calibri"/>
      <family val="2"/>
    </font>
    <font>
      <sz val="9"/>
      <name val="Arial"/>
      <family val="2"/>
    </font>
    <font>
      <sz val="1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FF"/>
        <bgColor rgb="FFFFFFCC"/>
      </patternFill>
    </fill>
  </fills>
  <borders count="7">
    <border>
      <left/>
      <right/>
      <top/>
      <bottom/>
      <diagonal/>
    </border>
    <border>
      <left style="thin">
        <color rgb="FF5C616C"/>
      </left>
      <right style="thin">
        <color rgb="FF5C616C"/>
      </right>
      <top style="thin">
        <color rgb="FF5C616C"/>
      </top>
      <bottom style="thin">
        <color rgb="FF5C616C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5C616C"/>
      </left>
      <right/>
      <top style="thin">
        <color rgb="FF5C616C"/>
      </top>
      <bottom style="thin">
        <color rgb="FF5C616C"/>
      </bottom>
      <diagonal/>
    </border>
    <border>
      <left/>
      <right style="thin">
        <color rgb="FF5C616C"/>
      </right>
      <top style="thin">
        <color rgb="FF5C616C"/>
      </top>
      <bottom style="thin">
        <color rgb="FF5C616C"/>
      </bottom>
      <diagonal/>
    </border>
    <border>
      <left style="thin">
        <color rgb="FF5C616C"/>
      </left>
      <right style="thin">
        <color rgb="FF5C616C"/>
      </right>
      <top style="thin">
        <color rgb="FF5C616C"/>
      </top>
      <bottom/>
      <diagonal/>
    </border>
  </borders>
  <cellStyleXfs count="4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</cellStyleXfs>
  <cellXfs count="46">
    <xf numFmtId="0" fontId="0" fillId="0" borderId="0" xfId="0"/>
    <xf numFmtId="3" fontId="0" fillId="0" borderId="0" xfId="0" applyNumberFormat="1"/>
    <xf numFmtId="22" fontId="0" fillId="0" borderId="0" xfId="0" applyNumberFormat="1"/>
    <xf numFmtId="14" fontId="0" fillId="0" borderId="0" xfId="0" applyNumberFormat="1"/>
    <xf numFmtId="10" fontId="0" fillId="0" borderId="0" xfId="0" applyNumberFormat="1"/>
    <xf numFmtId="0" fontId="2" fillId="0" borderId="0" xfId="0" applyFont="1"/>
    <xf numFmtId="165" fontId="0" fillId="0" borderId="0" xfId="0" applyNumberFormat="1"/>
    <xf numFmtId="166" fontId="0" fillId="0" borderId="0" xfId="0" applyNumberFormat="1"/>
    <xf numFmtId="164" fontId="0" fillId="0" borderId="0" xfId="0" applyNumberFormat="1"/>
    <xf numFmtId="0" fontId="0" fillId="0" borderId="0" xfId="0" quotePrefix="1"/>
    <xf numFmtId="0" fontId="2" fillId="0" borderId="0" xfId="0" quotePrefix="1" applyFont="1"/>
    <xf numFmtId="0" fontId="2" fillId="3" borderId="0" xfId="1" applyFill="1"/>
    <xf numFmtId="0" fontId="2" fillId="0" borderId="0" xfId="1"/>
    <xf numFmtId="0" fontId="6" fillId="2" borderId="1" xfId="1" applyFont="1" applyFill="1" applyBorder="1" applyAlignment="1">
      <alignment vertical="top" wrapText="1"/>
    </xf>
    <xf numFmtId="0" fontId="2" fillId="2" borderId="1" xfId="1" applyFill="1" applyBorder="1"/>
    <xf numFmtId="0" fontId="2" fillId="3" borderId="1" xfId="1" applyFill="1" applyBorder="1"/>
    <xf numFmtId="0" fontId="6" fillId="0" borderId="0" xfId="0" applyFont="1"/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7" fillId="0" borderId="0" xfId="0" applyFont="1"/>
    <xf numFmtId="14" fontId="2" fillId="3" borderId="1" xfId="1" applyNumberFormat="1" applyFill="1" applyBorder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10" fillId="0" borderId="0" xfId="0" applyFont="1"/>
    <xf numFmtId="170" fontId="0" fillId="0" borderId="0" xfId="0" applyNumberFormat="1"/>
    <xf numFmtId="171" fontId="11" fillId="0" borderId="2" xfId="0" applyNumberFormat="1" applyFont="1" applyBorder="1"/>
    <xf numFmtId="172" fontId="11" fillId="0" borderId="2" xfId="0" applyNumberFormat="1" applyFont="1" applyBorder="1"/>
    <xf numFmtId="172" fontId="0" fillId="0" borderId="0" xfId="0" applyNumberFormat="1"/>
    <xf numFmtId="0" fontId="9" fillId="0" borderId="0" xfId="0" applyFont="1" applyAlignment="1">
      <alignment horizontal="center"/>
    </xf>
    <xf numFmtId="170" fontId="2" fillId="3" borderId="1" xfId="1" applyNumberFormat="1" applyFill="1" applyBorder="1"/>
    <xf numFmtId="14" fontId="0" fillId="0" borderId="0" xfId="0" quotePrefix="1" applyNumberFormat="1"/>
    <xf numFmtId="173" fontId="2" fillId="3" borderId="1" xfId="1" applyNumberFormat="1" applyFill="1" applyBorder="1"/>
    <xf numFmtId="3" fontId="2" fillId="3" borderId="1" xfId="1" applyNumberFormat="1" applyFill="1" applyBorder="1"/>
    <xf numFmtId="174" fontId="2" fillId="3" borderId="1" xfId="1" applyNumberFormat="1" applyFill="1" applyBorder="1"/>
    <xf numFmtId="174" fontId="0" fillId="0" borderId="0" xfId="0" applyNumberFormat="1"/>
    <xf numFmtId="0" fontId="2" fillId="3" borderId="4" xfId="1" applyFill="1" applyBorder="1"/>
    <xf numFmtId="0" fontId="2" fillId="3" borderId="5" xfId="1" applyFill="1" applyBorder="1"/>
    <xf numFmtId="0" fontId="6" fillId="2" borderId="6" xfId="1" applyFont="1" applyFill="1" applyBorder="1" applyAlignment="1">
      <alignment vertical="top" wrapText="1"/>
    </xf>
    <xf numFmtId="0" fontId="2" fillId="0" borderId="3" xfId="1" applyBorder="1"/>
    <xf numFmtId="1" fontId="0" fillId="0" borderId="0" xfId="0" applyNumberFormat="1"/>
    <xf numFmtId="4" fontId="0" fillId="0" borderId="0" xfId="0" applyNumberFormat="1"/>
    <xf numFmtId="175" fontId="2" fillId="3" borderId="1" xfId="1" applyNumberFormat="1" applyFill="1" applyBorder="1"/>
    <xf numFmtId="176" fontId="0" fillId="0" borderId="0" xfId="0" quotePrefix="1" applyNumberFormat="1"/>
    <xf numFmtId="176" fontId="0" fillId="0" borderId="0" xfId="0" applyNumberFormat="1"/>
    <xf numFmtId="0" fontId="6" fillId="2" borderId="0" xfId="1" applyFont="1" applyFill="1" applyAlignment="1">
      <alignment horizontal="left"/>
    </xf>
  </cellXfs>
  <cellStyles count="4">
    <cellStyle name="Normal" xfId="0" builtinId="0"/>
    <cellStyle name="Normal 2" xfId="1" xr:uid="{00000000-0005-0000-0000-000001000000}"/>
    <cellStyle name="Normal 3" xfId="2" xr:uid="{00000000-0005-0000-0000-000002000000}"/>
    <cellStyle name="Percent 2" xfId="3" xr:uid="{00000000-0005-0000-0000-00000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rdp.data">
      <tp t="s">
        <v>Paused at 10:02:36</v>
        <stp/>
        <stp>232</stp>
        <stp>19055453</stp>
        <tr r="M8" s="8"/>
      </tp>
    </main>
    <main first="refinitivshim.rtdserver.rtget">
      <tp>
        <v>9.6325000000000003</v>
        <stp/>
        <stp>181</stp>
        <stp>19055453</stp>
        <tr r="K6" s="8"/>
      </tp>
      <tp>
        <v>2.2759999999999998</v>
        <stp/>
        <stp>196</stp>
        <stp>19055453</stp>
        <tr r="G2" s="8"/>
      </tp>
      <tp>
        <v>9.6275999999999993</v>
        <stp/>
        <stp>191</stp>
        <stp>19055453</stp>
        <tr r="J6" s="8"/>
      </tp>
      <tp t="s">
        <v>#N/A The record could not be found</v>
        <stp/>
        <stp>246</stp>
        <stp>19055453</stp>
        <tr r="I5" s="8"/>
      </tp>
      <tp t="s">
        <v>#N/A The record could not be found</v>
        <stp/>
        <stp>247</stp>
        <stp>19055453</stp>
        <tr r="J5" s="8"/>
      </tp>
      <tp t="s">
        <v>#N/A The record could not be found</v>
        <stp/>
        <stp>244</stp>
        <stp>19055453</stp>
        <tr r="H5" s="8"/>
      </tp>
      <tp t="s">
        <v>#N/A The record could not be found</v>
        <stp/>
        <stp>245</stp>
        <stp>19055453</stp>
        <tr r="J10" s="8"/>
      </tp>
      <tp t="s">
        <v>#N/A The record could not be found</v>
        <stp/>
        <stp>242</stp>
        <stp>19055453</stp>
        <tr r="I10" s="8"/>
      </tp>
      <tp t="s">
        <v>#N/A The record could not be found</v>
        <stp/>
        <stp>240</stp>
        <stp>19055453</stp>
        <tr r="H10" s="8"/>
      </tp>
      <tp t="s">
        <v>#N/A The record could not be found</v>
        <stp/>
        <stp>248</stp>
        <stp>19055453</stp>
        <tr r="K5" s="8"/>
      </tp>
      <tp>
        <v>1600.5</v>
        <stp/>
        <stp>249</stp>
        <stp>19055453</stp>
        <tr r="G14" s="8"/>
      </tp>
      <tp t="s">
        <v>#N/A The record could not be found</v>
        <stp/>
        <stp>227</stp>
        <stp>19055453</stp>
        <tr r="F18" s="8"/>
      </tp>
      <tp t="s">
        <v>#N/A The record could not be found</v>
        <stp/>
        <stp>228</stp>
        <stp>19055453</stp>
        <tr r="G18" s="8"/>
      </tp>
      <tp>
        <v>1598.25</v>
        <stp/>
        <stp>229</stp>
        <stp>19055453</stp>
        <tr r="F14" s="8"/>
      </tp>
      <tp t="s">
        <v>#N/A The record could not be found</v>
        <stp/>
        <stp>236</stp>
        <stp>19055453</stp>
        <tr r="J18" s="8"/>
      </tp>
      <tp>
        <v>0</v>
        <stp/>
        <stp>237</stp>
        <stp>19055453</stp>
        <tr r="H14" s="8"/>
      </tp>
      <tp t="s">
        <v>#N/A The record could not be found</v>
        <stp/>
        <stp>234</stp>
        <stp>19055453</stp>
        <tr r="I18" s="8"/>
      </tp>
      <tp t="s">
        <v>#N/A The record could not be found</v>
        <stp/>
        <stp>235</stp>
        <stp>19055453</stp>
        <tr r="G10" s="8"/>
      </tp>
      <tp t="s">
        <v>#N/A The record could not be found</v>
        <stp/>
        <stp>233</stp>
        <stp>19055453</stp>
        <tr r="F10" s="8"/>
      </tp>
      <tp t="s">
        <v>#N/A The record could not be found</v>
        <stp/>
        <stp>230</stp>
        <stp>19055453</stp>
        <tr r="H18" s="8"/>
      </tp>
      <tp>
        <v>100</v>
        <stp/>
        <stp>231</stp>
        <stp>19055453</stp>
        <tr r="I14" s="8"/>
      </tp>
      <tp>
        <v>1596.75</v>
        <stp/>
        <stp>238</stp>
        <stp>19055453</stp>
        <tr r="J14" s="8"/>
      </tp>
    </main>
    <main first="refinitivshim.rtdserver.rtget">
      <tp>
        <v>1.89</v>
        <stp/>
        <stp>207</stp>
        <stp>19055453</stp>
        <tr r="H6" s="8"/>
      </tp>
      <tp>
        <v>2.36</v>
        <stp/>
        <stp>202</stp>
        <stp>19055453</stp>
        <tr r="I6" s="8"/>
      </tp>
      <tp>
        <v>2.2759999999999998</v>
        <stp/>
        <stp>208</stp>
        <stp>19055453</stp>
        <tr r="F2" s="2"/>
      </tp>
    </main>
    <main first="refinitivshim.rtdserver.rdp.historicalpricing">
      <tp t="s">
        <v>Paused at 10:02:36</v>
        <stp/>
        <stp>169</stp>
        <stp>19055453</stp>
        <tr r="B34" s="11"/>
      </tp>
    </main>
    <main first="refinitivshim.rtdserver.rdp.historicalpricing">
      <tp t="s">
        <v>Paused at 10:02:36</v>
        <stp/>
        <stp>145</stp>
        <stp>19055453</stp>
        <tr r="C53" s="11"/>
      </tp>
      <tp t="s">
        <v>Paused at 10:02:36</v>
        <stp/>
        <stp>192</stp>
        <stp>19055453</stp>
        <tr r="AD4" s="11"/>
      </tp>
    </main>
    <main first="refinitivshim.rtdserver.rhistory">
      <tp t="s">
        <v>Paused at 10:02:36</v>
        <stp/>
        <stp>252</stp>
        <stp>19055453</stp>
        <tr r="A4" s="4"/>
      </tp>
      <tp t="s">
        <v>Paused at 10:02:36</v>
        <stp/>
        <stp>250</stp>
        <stp>19055453</stp>
        <tr r="A2" s="4"/>
      </tp>
      <tp t="s">
        <v>Paused at 10:02:36</v>
        <stp/>
        <stp>251</stp>
        <stp>19055453</stp>
        <tr r="A3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9525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48" name="Button 24" descr="Update portfoli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statistics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 equity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190500</xdr:colOff>
      <xdr:row>0</xdr:row>
      <xdr:rowOff>114300</xdr:rowOff>
    </xdr:from>
    <xdr:to>
      <xdr:col>17</xdr:col>
      <xdr:colOff>277090</xdr:colOff>
      <xdr:row>46</xdr:row>
      <xdr:rowOff>83295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A1698A4-CBF1-27D6-B135-452C27030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2075" y="114300"/>
          <a:ext cx="6182588" cy="7944959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William Eriksson" id="{8EEC37B8-9B95-4287-A130-59AA273C7E3F}" userId="S::wiler441@student.liu.se::9610d813-efd8-4e86-aaed-f8c4050e3f2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" dT="2025-04-18T07:53:38.97" personId="{8EEC37B8-9B95-4287-A130-59AA273C7E3F}" id="{5449283C-2A74-4331-9E4F-4C911DB8C790}">
    <text>Hårdkodad, bara för att se ifall matlab koden funkar</text>
  </threadedComment>
  <threadedComment ref="U3" dT="2025-04-18T07:52:10.56" personId="{8EEC37B8-9B95-4287-A130-59AA273C7E3F}" id="{D6F6F2A1-F7B9-4F8D-B4BC-854C41654245}">
    <text>Hur ska vi få värden för varje dag?</text>
  </threadedComment>
  <threadedComment ref="Z3" dT="2025-04-18T09:03:25.86" personId="{8EEC37B8-9B95-4287-A130-59AA273C7E3F}" id="{EB63B54C-84C1-4DAF-BD5A-78775AE49ADA}">
    <text>Hämta från refinitiv</text>
  </threadedComment>
</ThreadedComment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3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B2B06-4B73-4643-B772-1180FB2BF64C}">
  <sheetPr codeName="Sheet6"/>
  <dimension ref="A1:O27"/>
  <sheetViews>
    <sheetView topLeftCell="A16" workbookViewId="0">
      <selection activeCell="F3" sqref="F3"/>
    </sheetView>
  </sheetViews>
  <sheetFormatPr defaultColWidth="8.85546875" defaultRowHeight="12.75" x14ac:dyDescent="0.2"/>
  <cols>
    <col min="1" max="1" width="15.140625" bestFit="1" customWidth="1"/>
    <col min="2" max="3" width="8.85546875" customWidth="1"/>
    <col min="4" max="4" width="11.28515625" bestFit="1" customWidth="1"/>
    <col min="5" max="7" width="11.28515625" customWidth="1"/>
    <col min="8" max="8" width="13.42578125" bestFit="1" customWidth="1"/>
    <col min="9" max="9" width="18.42578125" bestFit="1" customWidth="1"/>
    <col min="10" max="11" width="17" customWidth="1"/>
    <col min="12" max="12" width="18" bestFit="1" customWidth="1"/>
  </cols>
  <sheetData>
    <row r="1" spans="1:15" x14ac:dyDescent="0.2">
      <c r="A1" s="5" t="s">
        <v>59</v>
      </c>
      <c r="B1" s="5" t="s">
        <v>33</v>
      </c>
      <c r="C1" s="5"/>
      <c r="D1" s="5" t="s">
        <v>35</v>
      </c>
      <c r="E1" s="5" t="s">
        <v>26</v>
      </c>
      <c r="F1" s="5" t="s">
        <v>32</v>
      </c>
      <c r="G1" s="5"/>
      <c r="H1" s="5" t="s">
        <v>55</v>
      </c>
      <c r="I1" t="s">
        <v>51</v>
      </c>
      <c r="J1" s="5" t="s">
        <v>71</v>
      </c>
      <c r="K1" s="5" t="s">
        <v>77</v>
      </c>
      <c r="L1" s="5" t="s">
        <v>53</v>
      </c>
      <c r="M1" s="5" t="s">
        <v>57</v>
      </c>
      <c r="N1" s="5"/>
    </row>
    <row r="2" spans="1:15" x14ac:dyDescent="0.2">
      <c r="A2" s="5" t="s">
        <v>34</v>
      </c>
      <c r="B2">
        <f>COUNTA(transactions!A:A)-1</f>
        <v>22</v>
      </c>
      <c r="C2" s="10"/>
      <c r="D2" s="5" t="s">
        <v>128</v>
      </c>
      <c r="E2" t="s">
        <v>25</v>
      </c>
      <c r="F2" s="5" t="s">
        <v>129</v>
      </c>
      <c r="G2" s="5" t="s">
        <v>50</v>
      </c>
      <c r="H2" s="5" t="s">
        <v>49</v>
      </c>
      <c r="I2" s="5" t="s">
        <v>49</v>
      </c>
      <c r="J2" s="5" t="s">
        <v>49</v>
      </c>
      <c r="K2" s="5" t="s">
        <v>49</v>
      </c>
      <c r="L2" s="5" t="s">
        <v>49</v>
      </c>
      <c r="M2" s="3" t="s">
        <v>49</v>
      </c>
      <c r="N2" s="3"/>
      <c r="O2" s="5" t="s">
        <v>49</v>
      </c>
    </row>
    <row r="3" spans="1:15" x14ac:dyDescent="0.2">
      <c r="A3" s="5" t="str">
        <f>"# " &amp;D1</f>
        <v># Watch list</v>
      </c>
      <c r="B3" s="9">
        <f>COUNTA(D:D)-1</f>
        <v>1</v>
      </c>
      <c r="F3" s="5"/>
      <c r="G3" s="5" t="s">
        <v>52</v>
      </c>
      <c r="H3" s="5" t="s">
        <v>49</v>
      </c>
      <c r="I3" s="5" t="s">
        <v>49</v>
      </c>
      <c r="J3" s="5" t="s">
        <v>49</v>
      </c>
      <c r="K3" s="5" t="s">
        <v>49</v>
      </c>
      <c r="L3" s="5" t="s">
        <v>49</v>
      </c>
      <c r="M3" t="s">
        <v>49</v>
      </c>
      <c r="O3" s="5" t="s">
        <v>49</v>
      </c>
    </row>
    <row r="4" spans="1:15" x14ac:dyDescent="0.2">
      <c r="A4" s="5" t="str">
        <f>"# " &amp;H1</f>
        <v># Currency fields</v>
      </c>
      <c r="B4" s="10">
        <f>COUNTA(H:H)-3</f>
        <v>5</v>
      </c>
      <c r="H4" s="5" t="s">
        <v>3</v>
      </c>
      <c r="I4" s="1" t="s">
        <v>3</v>
      </c>
      <c r="J4" t="s">
        <v>3</v>
      </c>
      <c r="K4" t="s">
        <v>3</v>
      </c>
      <c r="L4" t="s">
        <v>3</v>
      </c>
      <c r="M4" t="s">
        <v>3</v>
      </c>
      <c r="O4" s="1" t="s">
        <v>3</v>
      </c>
    </row>
    <row r="5" spans="1:15" x14ac:dyDescent="0.2">
      <c r="A5" s="5" t="str">
        <f>"# " &amp;I1</f>
        <v># Equity fields</v>
      </c>
      <c r="B5" s="5">
        <f>COUNTA(I:I)-3</f>
        <v>11</v>
      </c>
      <c r="H5" s="5" t="s">
        <v>56</v>
      </c>
      <c r="I5" t="s">
        <v>15</v>
      </c>
      <c r="J5" t="s">
        <v>15</v>
      </c>
      <c r="K5" t="s">
        <v>15</v>
      </c>
      <c r="L5" t="s">
        <v>15</v>
      </c>
      <c r="M5" t="s">
        <v>15</v>
      </c>
      <c r="O5" t="s">
        <v>12</v>
      </c>
    </row>
    <row r="6" spans="1:15" x14ac:dyDescent="0.2">
      <c r="A6" s="5" t="str">
        <f>"# " &amp;J1</f>
        <v># Forward fields</v>
      </c>
      <c r="B6" s="5">
        <f>COUNTA(J:J)-3</f>
        <v>6</v>
      </c>
      <c r="H6" s="5" t="s">
        <v>40</v>
      </c>
      <c r="I6" t="s">
        <v>40</v>
      </c>
      <c r="J6" t="s">
        <v>40</v>
      </c>
      <c r="K6" t="s">
        <v>40</v>
      </c>
      <c r="L6" t="s">
        <v>40</v>
      </c>
      <c r="M6" t="s">
        <v>40</v>
      </c>
      <c r="O6" t="s">
        <v>40</v>
      </c>
    </row>
    <row r="7" spans="1:15" x14ac:dyDescent="0.2">
      <c r="A7" s="5" t="str">
        <f>"# " &amp;K1</f>
        <v># Future fields</v>
      </c>
      <c r="B7" s="5">
        <f>COUNTA(K:K)-3</f>
        <v>6</v>
      </c>
      <c r="H7" s="5" t="s">
        <v>14</v>
      </c>
      <c r="I7" s="1" t="s">
        <v>14</v>
      </c>
      <c r="J7" t="s">
        <v>14</v>
      </c>
      <c r="K7" t="s">
        <v>14</v>
      </c>
      <c r="L7" t="s">
        <v>14</v>
      </c>
      <c r="M7" t="s">
        <v>14</v>
      </c>
      <c r="O7" s="1" t="s">
        <v>14</v>
      </c>
    </row>
    <row r="8" spans="1:15" x14ac:dyDescent="0.2">
      <c r="A8" s="5" t="str">
        <f>"# " &amp;L1</f>
        <v># Equity options fields</v>
      </c>
      <c r="B8" s="5">
        <f>COUNTA(L:L)-3</f>
        <v>8</v>
      </c>
      <c r="H8" s="5" t="s">
        <v>27</v>
      </c>
      <c r="I8" s="4" t="s">
        <v>27</v>
      </c>
      <c r="J8" t="s">
        <v>27</v>
      </c>
      <c r="K8" t="s">
        <v>27</v>
      </c>
      <c r="L8" t="s">
        <v>27</v>
      </c>
      <c r="M8" t="s">
        <v>27</v>
      </c>
      <c r="O8" s="4" t="s">
        <v>27</v>
      </c>
    </row>
    <row r="9" spans="1:15" x14ac:dyDescent="0.2">
      <c r="A9" s="5" t="str">
        <f>"# " &amp;M1</f>
        <v># Fixed income fields</v>
      </c>
      <c r="B9" s="5">
        <f>COUNTA(M:M)-3</f>
        <v>12</v>
      </c>
      <c r="I9" t="s">
        <v>28</v>
      </c>
      <c r="J9" t="s">
        <v>68</v>
      </c>
      <c r="K9" t="s">
        <v>68</v>
      </c>
      <c r="L9" t="s">
        <v>68</v>
      </c>
      <c r="M9" t="s">
        <v>42</v>
      </c>
      <c r="O9" t="s">
        <v>28</v>
      </c>
    </row>
    <row r="10" spans="1:15" x14ac:dyDescent="0.2">
      <c r="I10" t="s">
        <v>22</v>
      </c>
      <c r="J10" s="5"/>
      <c r="K10" s="5"/>
      <c r="L10" s="5" t="s">
        <v>69</v>
      </c>
      <c r="M10" t="s">
        <v>43</v>
      </c>
      <c r="O10" t="s">
        <v>22</v>
      </c>
    </row>
    <row r="11" spans="1:15" x14ac:dyDescent="0.2">
      <c r="I11" t="s">
        <v>23</v>
      </c>
      <c r="L11" t="s">
        <v>70</v>
      </c>
      <c r="M11" t="s">
        <v>44</v>
      </c>
      <c r="O11" t="s">
        <v>23</v>
      </c>
    </row>
    <row r="12" spans="1:15" x14ac:dyDescent="0.2">
      <c r="I12" t="s">
        <v>24</v>
      </c>
      <c r="M12" t="s">
        <v>45</v>
      </c>
      <c r="O12" t="s">
        <v>24</v>
      </c>
    </row>
    <row r="13" spans="1:15" x14ac:dyDescent="0.2">
      <c r="I13" t="s">
        <v>100</v>
      </c>
      <c r="M13" t="s">
        <v>46</v>
      </c>
      <c r="O13" t="s">
        <v>30</v>
      </c>
    </row>
    <row r="14" spans="1:15" x14ac:dyDescent="0.2">
      <c r="I14" t="s">
        <v>99</v>
      </c>
      <c r="M14" t="s">
        <v>47</v>
      </c>
      <c r="O14" t="s">
        <v>31</v>
      </c>
    </row>
    <row r="15" spans="1:15" x14ac:dyDescent="0.2">
      <c r="M15" t="s">
        <v>48</v>
      </c>
    </row>
    <row r="18" spans="1:11" x14ac:dyDescent="0.2">
      <c r="J18" s="5"/>
      <c r="K18" s="5"/>
    </row>
    <row r="19" spans="1:11" x14ac:dyDescent="0.2">
      <c r="J19" s="5"/>
      <c r="K19" s="5"/>
    </row>
    <row r="20" spans="1:11" x14ac:dyDescent="0.2">
      <c r="A20" t="s">
        <v>83</v>
      </c>
      <c r="B20" t="s">
        <v>84</v>
      </c>
      <c r="C20" t="s">
        <v>85</v>
      </c>
      <c r="J20" s="5"/>
      <c r="K20" s="5"/>
    </row>
    <row r="21" spans="1:11" x14ac:dyDescent="0.2">
      <c r="A21" t="s">
        <v>32</v>
      </c>
      <c r="B21">
        <f>IF(ISERROR(MATCH(A21,assetHistory!$1:$1,0)),B22,MATCH(A21,assetHistory!$1:$1,0))</f>
        <v>2</v>
      </c>
      <c r="C21">
        <f ca="1">IF(B22&lt;&gt;B21,COUNTA(OFFSET(assetHistory!$A:$A,0,B21-1))-2,0)</f>
        <v>500</v>
      </c>
    </row>
    <row r="22" spans="1:11" x14ac:dyDescent="0.2">
      <c r="A22" t="s">
        <v>25</v>
      </c>
      <c r="B22">
        <f>IF(ISERROR(MATCH(A22,assetHistory!$1:$1,0)),B23,MATCH(A22,assetHistory!$1:$1,0))</f>
        <v>5</v>
      </c>
      <c r="C22">
        <f ca="1">IF(B23&lt;&gt;B22,COUNTA(OFFSET(assetHistory!$A:$A,0,B22-1))-2,0)</f>
        <v>-1</v>
      </c>
    </row>
    <row r="23" spans="1:11" x14ac:dyDescent="0.2">
      <c r="A23" s="5" t="s">
        <v>72</v>
      </c>
      <c r="B23">
        <f>IF(ISERROR(MATCH(A23,assetHistory!$1:$1,0)),B24,MATCH(A23,assetHistory!$1:$1,0))</f>
        <v>7</v>
      </c>
      <c r="C23">
        <f ca="1">IF(B24&lt;&gt;B23,COUNTA(OFFSET(assetHistory!$A:$A,0,B23-1))-2,0)</f>
        <v>0</v>
      </c>
    </row>
    <row r="24" spans="1:11" x14ac:dyDescent="0.2">
      <c r="A24" s="5" t="s">
        <v>78</v>
      </c>
      <c r="B24">
        <f>IF(ISERROR(MATCH(A24,assetHistory!$1:$1,0)),B25,MATCH(A24,assetHistory!$1:$1,0))</f>
        <v>7</v>
      </c>
      <c r="C24">
        <f ca="1">IF(B25&lt;&gt;B24,COUNTA(OFFSET(assetHistory!$A:$A,0,B24-1))-2,0)</f>
        <v>0</v>
      </c>
    </row>
    <row r="25" spans="1:11" x14ac:dyDescent="0.2">
      <c r="A25" t="s">
        <v>88</v>
      </c>
      <c r="B25">
        <f>IF(ISERROR(MATCH(A25,assetHistory!$1:$1,0)),B26,MATCH(A25,assetHistory!$1:$1,0))</f>
        <v>7</v>
      </c>
      <c r="C25">
        <f ca="1">IF(B26&lt;&gt;B25,COUNTA(OFFSET(assetHistory!$A:$A,0,B25-1))-2,0)</f>
        <v>0</v>
      </c>
    </row>
    <row r="26" spans="1:11" x14ac:dyDescent="0.2">
      <c r="A26" t="s">
        <v>89</v>
      </c>
      <c r="B26">
        <f>IF(ISERROR(MATCH(A26,assetHistory!$1:$1,0)),B27,MATCH(A26,assetHistory!$1:$1,0))</f>
        <v>7</v>
      </c>
      <c r="C26">
        <f ca="1">IF(B27&lt;&gt;B26,COUNTA(OFFSET(assetHistory!$A:$A,0,B26-1))-2,0)</f>
        <v>0</v>
      </c>
    </row>
    <row r="27" spans="1:11" x14ac:dyDescent="0.2">
      <c r="A27" t="s">
        <v>86</v>
      </c>
      <c r="B27">
        <f>COUNTA(assetHistory!B2:IV2)+2</f>
        <v>7</v>
      </c>
    </row>
  </sheetData>
  <phoneticPr fontId="1" type="noConversion"/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9237E-D46B-4FB3-BAE9-ECE6EFC48739}">
  <sheetPr codeName="Sheet1"/>
  <dimension ref="A1:AA59"/>
  <sheetViews>
    <sheetView zoomScale="75" zoomScaleNormal="75" workbookViewId="0">
      <selection activeCell="C21" sqref="C21"/>
    </sheetView>
  </sheetViews>
  <sheetFormatPr defaultColWidth="8.85546875" defaultRowHeight="12.75" x14ac:dyDescent="0.2"/>
  <cols>
    <col min="1" max="1" width="12" customWidth="1"/>
    <col min="2" max="2" width="20.42578125" bestFit="1" customWidth="1"/>
    <col min="3" max="3" width="22.42578125" customWidth="1"/>
    <col min="4" max="4" width="11.85546875" bestFit="1" customWidth="1"/>
    <col min="5" max="5" width="10.28515625" customWidth="1"/>
    <col min="6" max="6" width="10.7109375" style="1" bestFit="1" customWidth="1"/>
    <col min="7" max="7" width="7.42578125" bestFit="1" customWidth="1"/>
    <col min="8" max="8" width="11.28515625" bestFit="1" customWidth="1"/>
    <col min="9" max="9" width="11.28515625" customWidth="1"/>
    <col min="10" max="10" width="13.28515625" style="1" customWidth="1"/>
    <col min="11" max="11" width="14.85546875" bestFit="1" customWidth="1"/>
    <col min="12" max="16" width="8.85546875" customWidth="1"/>
    <col min="17" max="17" width="12" customWidth="1"/>
    <col min="18" max="18" width="8.85546875" customWidth="1"/>
    <col min="19" max="19" width="14.7109375" bestFit="1" customWidth="1"/>
    <col min="20" max="20" width="11.7109375" bestFit="1" customWidth="1"/>
    <col min="21" max="23" width="8.85546875" customWidth="1"/>
    <col min="24" max="24" width="11.28515625" bestFit="1" customWidth="1"/>
    <col min="25" max="25" width="11.28515625" customWidth="1"/>
    <col min="26" max="26" width="10.7109375" bestFit="1" customWidth="1"/>
  </cols>
  <sheetData>
    <row r="1" spans="1:27" x14ac:dyDescent="0.2">
      <c r="A1" s="5" t="s">
        <v>13</v>
      </c>
      <c r="B1" t="s">
        <v>5</v>
      </c>
      <c r="C1" t="s">
        <v>2</v>
      </c>
      <c r="D1" t="s">
        <v>26</v>
      </c>
      <c r="E1" s="5" t="s">
        <v>32</v>
      </c>
      <c r="F1" s="1" t="s">
        <v>21</v>
      </c>
      <c r="G1" t="s">
        <v>15</v>
      </c>
      <c r="H1" t="s">
        <v>90</v>
      </c>
      <c r="I1" t="s">
        <v>91</v>
      </c>
      <c r="J1" s="1" t="s">
        <v>4</v>
      </c>
      <c r="K1" s="5" t="s">
        <v>73</v>
      </c>
      <c r="P1" s="5" t="s">
        <v>80</v>
      </c>
      <c r="Q1" s="5" t="s">
        <v>13</v>
      </c>
      <c r="R1" t="s">
        <v>5</v>
      </c>
      <c r="S1" t="s">
        <v>2</v>
      </c>
      <c r="T1" t="s">
        <v>26</v>
      </c>
      <c r="U1" s="5" t="s">
        <v>32</v>
      </c>
      <c r="V1" s="1" t="s">
        <v>21</v>
      </c>
      <c r="W1" t="s">
        <v>15</v>
      </c>
      <c r="X1" t="s">
        <v>90</v>
      </c>
      <c r="Y1" t="s">
        <v>91</v>
      </c>
      <c r="Z1" s="1" t="s">
        <v>4</v>
      </c>
      <c r="AA1" s="5" t="s">
        <v>73</v>
      </c>
    </row>
    <row r="2" spans="1:27" x14ac:dyDescent="0.2">
      <c r="A2" s="20">
        <v>45751</v>
      </c>
      <c r="B2" t="s">
        <v>0</v>
      </c>
      <c r="C2" s="5" t="s">
        <v>146</v>
      </c>
      <c r="D2" t="s">
        <v>4</v>
      </c>
      <c r="E2" s="5" t="s">
        <v>146</v>
      </c>
      <c r="G2" t="s">
        <v>63</v>
      </c>
      <c r="J2" s="1">
        <v>500000</v>
      </c>
      <c r="O2" s="3"/>
      <c r="P2" s="5" t="s">
        <v>81</v>
      </c>
      <c r="Q2" s="3">
        <v>41505</v>
      </c>
      <c r="R2" t="s">
        <v>0</v>
      </c>
      <c r="S2" t="s">
        <v>33</v>
      </c>
      <c r="T2" t="s">
        <v>4</v>
      </c>
      <c r="U2" s="5" t="s">
        <v>33</v>
      </c>
      <c r="V2" s="1"/>
      <c r="W2" t="s">
        <v>63</v>
      </c>
      <c r="Z2" s="1">
        <v>2000000</v>
      </c>
    </row>
    <row r="3" spans="1:27" x14ac:dyDescent="0.2">
      <c r="A3" s="20">
        <v>45751</v>
      </c>
      <c r="B3" t="s">
        <v>1</v>
      </c>
      <c r="C3" s="5" t="s">
        <v>147</v>
      </c>
      <c r="D3" s="5" t="s">
        <v>62</v>
      </c>
      <c r="E3" s="5" t="s">
        <v>146</v>
      </c>
      <c r="F3" s="1">
        <f>Answer!F8</f>
        <v>9115</v>
      </c>
      <c r="G3">
        <f>Refinitiv!D45</f>
        <v>17.98</v>
      </c>
      <c r="H3">
        <f t="shared" ref="H3:H4" si="0">ROUND(MAX(F3*G3*0.0005,100),0)</f>
        <v>100</v>
      </c>
      <c r="J3" s="1">
        <f t="shared" ref="J3:J4" si="1">IF(B3="Buy",-F3*G3,F3*G3)-H3-I3</f>
        <v>-163987.70000000001</v>
      </c>
      <c r="O3" s="3"/>
      <c r="Q3" s="3">
        <v>41505</v>
      </c>
      <c r="R3" t="s">
        <v>1</v>
      </c>
      <c r="S3" t="s">
        <v>7</v>
      </c>
      <c r="T3" t="s">
        <v>25</v>
      </c>
      <c r="U3" s="5" t="s">
        <v>33</v>
      </c>
      <c r="V3" s="1">
        <v>4000</v>
      </c>
      <c r="W3">
        <v>145.9</v>
      </c>
      <c r="X3">
        <f t="shared" ref="X3:X10" si="2">ROUND(MAX(V3*W3*0.0005,100),0)</f>
        <v>292</v>
      </c>
      <c r="Z3" s="1">
        <f t="shared" ref="Z3:Z10" si="3">IF(R3="Buy",-V3*W3,V3*W3)-X3-Y3</f>
        <v>-583892</v>
      </c>
    </row>
    <row r="4" spans="1:27" x14ac:dyDescent="0.2">
      <c r="A4" s="20">
        <v>45751</v>
      </c>
      <c r="B4" s="5" t="s">
        <v>1</v>
      </c>
      <c r="C4" s="5" t="s">
        <v>147</v>
      </c>
      <c r="D4" s="5" t="s">
        <v>62</v>
      </c>
      <c r="E4" s="5" t="s">
        <v>146</v>
      </c>
      <c r="F4" s="1">
        <f>Answer!G8</f>
        <v>3191</v>
      </c>
      <c r="G4">
        <f>Refinitiv!E45</f>
        <v>97.09</v>
      </c>
      <c r="H4">
        <f t="shared" si="0"/>
        <v>155</v>
      </c>
      <c r="J4" s="1">
        <f t="shared" si="1"/>
        <v>-309969.19</v>
      </c>
      <c r="O4" s="3"/>
      <c r="Q4" s="3">
        <v>41505</v>
      </c>
      <c r="R4" t="s">
        <v>1</v>
      </c>
      <c r="S4" t="s">
        <v>8</v>
      </c>
      <c r="T4" t="s">
        <v>25</v>
      </c>
      <c r="U4" s="5" t="s">
        <v>33</v>
      </c>
      <c r="V4" s="1">
        <v>500</v>
      </c>
      <c r="W4">
        <v>324.3</v>
      </c>
      <c r="X4">
        <f t="shared" si="2"/>
        <v>100</v>
      </c>
      <c r="Z4" s="1">
        <f t="shared" si="3"/>
        <v>-162250</v>
      </c>
    </row>
    <row r="5" spans="1:27" x14ac:dyDescent="0.2">
      <c r="A5" s="3">
        <v>45754</v>
      </c>
      <c r="B5" s="5" t="s">
        <v>1</v>
      </c>
      <c r="C5" s="5" t="s">
        <v>150</v>
      </c>
      <c r="D5" s="5" t="s">
        <v>78</v>
      </c>
      <c r="E5" s="5" t="s">
        <v>146</v>
      </c>
      <c r="F5" s="1">
        <f>Refinitiv!W15</f>
        <v>11</v>
      </c>
      <c r="G5">
        <v>0</v>
      </c>
      <c r="J5" s="1">
        <v>0</v>
      </c>
      <c r="O5" s="3"/>
      <c r="Q5" s="3">
        <v>41505</v>
      </c>
      <c r="R5" t="s">
        <v>1</v>
      </c>
      <c r="S5" t="s">
        <v>6</v>
      </c>
      <c r="T5" t="s">
        <v>25</v>
      </c>
      <c r="U5" s="5" t="s">
        <v>33</v>
      </c>
      <c r="V5" s="1">
        <v>5000</v>
      </c>
      <c r="W5">
        <v>79.45</v>
      </c>
      <c r="X5">
        <f t="shared" si="2"/>
        <v>199</v>
      </c>
      <c r="Z5" s="1">
        <f t="shared" si="3"/>
        <v>-397449</v>
      </c>
    </row>
    <row r="6" spans="1:27" x14ac:dyDescent="0.2">
      <c r="A6" s="3">
        <v>45754</v>
      </c>
      <c r="B6" s="5" t="s">
        <v>0</v>
      </c>
      <c r="C6" s="5" t="s">
        <v>146</v>
      </c>
      <c r="D6" s="5" t="s">
        <v>4</v>
      </c>
      <c r="E6" s="5" t="s">
        <v>146</v>
      </c>
      <c r="J6" s="41">
        <f>Answer!J9</f>
        <v>1.5186328637047437</v>
      </c>
      <c r="O6" s="3"/>
      <c r="Q6" s="3"/>
      <c r="U6" s="5"/>
      <c r="V6" s="1"/>
      <c r="Z6" s="1"/>
    </row>
    <row r="7" spans="1:27" x14ac:dyDescent="0.2">
      <c r="A7" s="3">
        <v>45754</v>
      </c>
      <c r="B7" s="5" t="s">
        <v>0</v>
      </c>
      <c r="C7" s="5" t="s">
        <v>146</v>
      </c>
      <c r="D7" s="5" t="s">
        <v>4</v>
      </c>
      <c r="E7" s="5" t="s">
        <v>146</v>
      </c>
      <c r="J7" s="41">
        <f>-J2*Refinitiv!E37</f>
        <v>-29.444439001244071</v>
      </c>
      <c r="O7" s="3"/>
      <c r="Q7" s="3"/>
      <c r="U7" s="5"/>
      <c r="V7" s="1"/>
      <c r="Z7" s="1"/>
    </row>
    <row r="8" spans="1:27" x14ac:dyDescent="0.2">
      <c r="A8" s="3">
        <v>45755</v>
      </c>
      <c r="B8" s="5" t="s">
        <v>79</v>
      </c>
      <c r="C8" s="5" t="s">
        <v>129</v>
      </c>
      <c r="D8" s="5" t="s">
        <v>4</v>
      </c>
      <c r="E8" s="5" t="s">
        <v>146</v>
      </c>
      <c r="J8" s="1">
        <f>Answer!H10</f>
        <v>330</v>
      </c>
      <c r="O8" s="3"/>
      <c r="Q8" s="3">
        <v>41505</v>
      </c>
      <c r="R8" t="s">
        <v>1</v>
      </c>
      <c r="S8" t="s">
        <v>9</v>
      </c>
      <c r="T8" t="s">
        <v>25</v>
      </c>
      <c r="U8" s="5" t="s">
        <v>33</v>
      </c>
      <c r="V8" s="1">
        <v>1000</v>
      </c>
      <c r="W8">
        <v>302</v>
      </c>
      <c r="X8">
        <f t="shared" si="2"/>
        <v>151</v>
      </c>
      <c r="Z8" s="1">
        <f t="shared" si="3"/>
        <v>-302151</v>
      </c>
    </row>
    <row r="9" spans="1:27" x14ac:dyDescent="0.2">
      <c r="A9" s="3">
        <v>45755</v>
      </c>
      <c r="B9" s="5" t="s">
        <v>20</v>
      </c>
      <c r="C9" s="5" t="s">
        <v>150</v>
      </c>
      <c r="D9" s="5" t="s">
        <v>78</v>
      </c>
      <c r="E9" s="5" t="s">
        <v>146</v>
      </c>
      <c r="F9" s="1">
        <f>ABS(Refinitiv!W16)</f>
        <v>19</v>
      </c>
      <c r="G9">
        <v>0</v>
      </c>
      <c r="J9" s="1">
        <v>0</v>
      </c>
      <c r="O9" s="3"/>
      <c r="Q9" s="3">
        <v>41505</v>
      </c>
      <c r="R9" t="s">
        <v>1</v>
      </c>
      <c r="S9" t="s">
        <v>10</v>
      </c>
      <c r="T9" t="s">
        <v>25</v>
      </c>
      <c r="U9" s="5" t="s">
        <v>33</v>
      </c>
      <c r="V9" s="1">
        <v>2000</v>
      </c>
      <c r="W9">
        <v>124.6</v>
      </c>
      <c r="X9">
        <f t="shared" si="2"/>
        <v>125</v>
      </c>
      <c r="Z9" s="1">
        <f t="shared" si="3"/>
        <v>-249325</v>
      </c>
    </row>
    <row r="10" spans="1:27" x14ac:dyDescent="0.2">
      <c r="A10" s="3">
        <v>45755</v>
      </c>
      <c r="B10" s="5" t="s">
        <v>0</v>
      </c>
      <c r="C10" s="5" t="s">
        <v>146</v>
      </c>
      <c r="D10" s="5" t="s">
        <v>4</v>
      </c>
      <c r="E10" s="5" t="s">
        <v>146</v>
      </c>
      <c r="J10" s="41">
        <f>Answer!J10</f>
        <v>1.5080163070753632</v>
      </c>
      <c r="O10" s="3"/>
      <c r="Q10" s="3">
        <v>41505</v>
      </c>
      <c r="R10" t="s">
        <v>1</v>
      </c>
      <c r="S10" s="5" t="s">
        <v>11</v>
      </c>
      <c r="T10" t="s">
        <v>25</v>
      </c>
      <c r="U10" s="5" t="s">
        <v>33</v>
      </c>
      <c r="V10" s="1">
        <v>1000</v>
      </c>
      <c r="W10">
        <v>98.55</v>
      </c>
      <c r="X10">
        <f t="shared" si="2"/>
        <v>100</v>
      </c>
      <c r="Z10" s="1">
        <f t="shared" si="3"/>
        <v>-98650</v>
      </c>
    </row>
    <row r="11" spans="1:27" x14ac:dyDescent="0.2">
      <c r="A11" s="3">
        <v>45755</v>
      </c>
      <c r="B11" s="5" t="s">
        <v>0</v>
      </c>
      <c r="C11" s="5" t="s">
        <v>146</v>
      </c>
      <c r="D11" s="5" t="s">
        <v>4</v>
      </c>
      <c r="E11" s="5" t="s">
        <v>146</v>
      </c>
      <c r="J11" s="41">
        <f>-$J$2*Refinitiv!E38</f>
        <v>-29.270293560918308</v>
      </c>
      <c r="O11" s="3"/>
      <c r="Q11" s="3">
        <v>41506</v>
      </c>
      <c r="R11" t="s">
        <v>0</v>
      </c>
      <c r="S11" t="s">
        <v>33</v>
      </c>
      <c r="T11" t="s">
        <v>4</v>
      </c>
      <c r="U11" s="5" t="s">
        <v>33</v>
      </c>
      <c r="V11" s="1"/>
      <c r="W11" t="s">
        <v>63</v>
      </c>
      <c r="Z11" s="1">
        <v>-100000</v>
      </c>
    </row>
    <row r="12" spans="1:27" x14ac:dyDescent="0.2">
      <c r="A12" s="3">
        <v>45756</v>
      </c>
      <c r="B12" s="5" t="s">
        <v>79</v>
      </c>
      <c r="C12" s="5" t="s">
        <v>129</v>
      </c>
      <c r="D12" s="5" t="s">
        <v>4</v>
      </c>
      <c r="E12" s="5" t="s">
        <v>146</v>
      </c>
      <c r="J12" s="1">
        <f>Answer!H11</f>
        <v>1176</v>
      </c>
      <c r="O12" s="3"/>
      <c r="Q12" s="3">
        <v>41506</v>
      </c>
      <c r="R12" t="s">
        <v>20</v>
      </c>
      <c r="S12" t="s">
        <v>11</v>
      </c>
      <c r="T12" s="5" t="s">
        <v>25</v>
      </c>
      <c r="U12" s="5" t="s">
        <v>33</v>
      </c>
      <c r="V12" s="1">
        <v>600</v>
      </c>
      <c r="W12">
        <v>97.55</v>
      </c>
      <c r="X12">
        <f>ROUND(MAX(V12*W12*0.0005,100),0)</f>
        <v>100</v>
      </c>
      <c r="Z12" s="1">
        <f>IF(R12="Buy",-V12*W12,V12*W12)-X12-Y12</f>
        <v>58430</v>
      </c>
    </row>
    <row r="13" spans="1:27" x14ac:dyDescent="0.2">
      <c r="A13" s="3">
        <v>45756</v>
      </c>
      <c r="B13" s="5" t="s">
        <v>1</v>
      </c>
      <c r="C13" s="5" t="s">
        <v>150</v>
      </c>
      <c r="D13" s="5" t="s">
        <v>78</v>
      </c>
      <c r="E13" s="5" t="s">
        <v>146</v>
      </c>
      <c r="F13" s="1">
        <f>Refinitiv!W17</f>
        <v>22</v>
      </c>
      <c r="G13">
        <v>0</v>
      </c>
      <c r="J13" s="1">
        <v>0</v>
      </c>
      <c r="O13" s="3"/>
      <c r="Q13" s="3">
        <v>41507</v>
      </c>
      <c r="R13" t="s">
        <v>0</v>
      </c>
      <c r="S13" t="s">
        <v>33</v>
      </c>
      <c r="T13" s="5" t="s">
        <v>4</v>
      </c>
      <c r="U13" s="5" t="s">
        <v>33</v>
      </c>
      <c r="V13" s="1"/>
      <c r="W13" t="s">
        <v>63</v>
      </c>
      <c r="Z13" s="1">
        <v>500000</v>
      </c>
    </row>
    <row r="14" spans="1:27" x14ac:dyDescent="0.2">
      <c r="A14" s="3">
        <v>45756</v>
      </c>
      <c r="B14" s="5" t="s">
        <v>0</v>
      </c>
      <c r="C14" s="5" t="s">
        <v>146</v>
      </c>
      <c r="D14" s="5" t="s">
        <v>4</v>
      </c>
      <c r="E14" s="5" t="s">
        <v>146</v>
      </c>
      <c r="J14" s="41">
        <f>Answer!J11</f>
        <v>1.504610145815527</v>
      </c>
      <c r="O14" s="3"/>
      <c r="Q14" s="3">
        <v>41507</v>
      </c>
      <c r="R14" t="s">
        <v>1</v>
      </c>
      <c r="S14" t="s">
        <v>6</v>
      </c>
      <c r="T14" s="5" t="s">
        <v>25</v>
      </c>
      <c r="U14" s="5" t="s">
        <v>33</v>
      </c>
      <c r="V14" s="1">
        <v>8000</v>
      </c>
      <c r="W14">
        <v>78.05</v>
      </c>
      <c r="X14">
        <f>ROUND(MAX(V14*W14*0.0005,100),0)</f>
        <v>312</v>
      </c>
      <c r="Z14" s="1">
        <f>IF(R14="Buy",-V14*W14,V14*W14)-X14-Y14</f>
        <v>-624712</v>
      </c>
    </row>
    <row r="15" spans="1:27" x14ac:dyDescent="0.2">
      <c r="A15" s="3">
        <v>45756</v>
      </c>
      <c r="B15" s="5" t="s">
        <v>0</v>
      </c>
      <c r="C15" s="5" t="s">
        <v>146</v>
      </c>
      <c r="D15" s="5" t="s">
        <v>4</v>
      </c>
      <c r="E15" s="5" t="s">
        <v>146</v>
      </c>
      <c r="J15" s="41">
        <f>J2*Refinitiv!E38</f>
        <v>29.270293560918308</v>
      </c>
      <c r="O15" s="3"/>
      <c r="Q15" s="3">
        <v>41663</v>
      </c>
      <c r="R15" t="s">
        <v>0</v>
      </c>
      <c r="S15" t="s">
        <v>64</v>
      </c>
      <c r="T15" s="5" t="s">
        <v>4</v>
      </c>
      <c r="U15" s="5" t="s">
        <v>64</v>
      </c>
      <c r="V15" s="1"/>
      <c r="X15">
        <f>ROUND(MAX(V15*W15*0.0005,100),0)</f>
        <v>100</v>
      </c>
      <c r="Z15" s="1">
        <v>100000</v>
      </c>
    </row>
    <row r="16" spans="1:27" x14ac:dyDescent="0.2">
      <c r="A16" s="3">
        <v>45757</v>
      </c>
      <c r="B16" s="5" t="s">
        <v>79</v>
      </c>
      <c r="C16" s="5" t="s">
        <v>129</v>
      </c>
      <c r="D16" s="5" t="s">
        <v>4</v>
      </c>
      <c r="E16" s="5" t="s">
        <v>146</v>
      </c>
      <c r="J16" s="1">
        <f>Answer!H12</f>
        <v>131</v>
      </c>
      <c r="O16" s="3"/>
      <c r="Q16" s="3">
        <v>41663</v>
      </c>
      <c r="R16" t="s">
        <v>1</v>
      </c>
      <c r="S16" s="2" t="s">
        <v>65</v>
      </c>
      <c r="T16" t="s">
        <v>25</v>
      </c>
      <c r="U16" s="5" t="s">
        <v>66</v>
      </c>
      <c r="V16" s="1">
        <v>100</v>
      </c>
      <c r="W16">
        <v>82</v>
      </c>
      <c r="Z16" s="1">
        <f>IF(R16="Buy",-V16*W16,V16*W16)-X16-Y16</f>
        <v>-8200</v>
      </c>
    </row>
    <row r="17" spans="1:27" x14ac:dyDescent="0.2">
      <c r="A17" s="3">
        <v>45757</v>
      </c>
      <c r="B17" s="5" t="s">
        <v>20</v>
      </c>
      <c r="C17" s="5" t="s">
        <v>150</v>
      </c>
      <c r="D17" s="5" t="s">
        <v>78</v>
      </c>
      <c r="E17" s="5" t="s">
        <v>146</v>
      </c>
      <c r="F17" s="1">
        <f>ABS(Refinitiv!W18)</f>
        <v>16</v>
      </c>
      <c r="G17">
        <v>0</v>
      </c>
      <c r="J17" s="1">
        <v>0</v>
      </c>
      <c r="O17" s="3"/>
      <c r="Q17" s="3">
        <v>44083</v>
      </c>
      <c r="R17" t="s">
        <v>1</v>
      </c>
      <c r="S17" s="2" t="s">
        <v>95</v>
      </c>
      <c r="T17" t="s">
        <v>67</v>
      </c>
      <c r="U17" s="5" t="s">
        <v>33</v>
      </c>
      <c r="V17" s="1">
        <v>100</v>
      </c>
      <c r="W17">
        <v>156</v>
      </c>
      <c r="X17">
        <f>ROUND(MAX(V17*W17*0.0005,100),0)</f>
        <v>100</v>
      </c>
      <c r="Z17" s="1">
        <f>IF(R17="Buy",-V17*W17,V17*W17)-X17-Y17</f>
        <v>-15700</v>
      </c>
    </row>
    <row r="18" spans="1:27" x14ac:dyDescent="0.2">
      <c r="A18" s="3">
        <v>45757</v>
      </c>
      <c r="B18" s="5" t="s">
        <v>0</v>
      </c>
      <c r="C18" s="5" t="s">
        <v>146</v>
      </c>
      <c r="D18" s="5" t="s">
        <v>4</v>
      </c>
      <c r="E18" s="5" t="s">
        <v>146</v>
      </c>
      <c r="J18" s="41">
        <f>Answer!J12</f>
        <v>1.5760897188621021</v>
      </c>
      <c r="O18" s="3"/>
      <c r="Q18" s="3">
        <v>44083</v>
      </c>
      <c r="R18" t="s">
        <v>1</v>
      </c>
      <c r="S18" t="s">
        <v>66</v>
      </c>
      <c r="T18" t="s">
        <v>4</v>
      </c>
      <c r="U18" s="5" t="s">
        <v>33</v>
      </c>
      <c r="V18" s="1">
        <v>10000</v>
      </c>
      <c r="W18">
        <v>8.1999999999999993</v>
      </c>
      <c r="X18">
        <f>ROUND(MAX(V18*W18*0.0005,100),0)</f>
        <v>100</v>
      </c>
      <c r="Z18" s="1">
        <f>IF(R18="Buy",-V18*W18,V18*W18)-X18-Y18</f>
        <v>-82100</v>
      </c>
    </row>
    <row r="19" spans="1:27" x14ac:dyDescent="0.2">
      <c r="A19" s="3">
        <v>45757</v>
      </c>
      <c r="B19" s="5" t="s">
        <v>0</v>
      </c>
      <c r="C19" s="5" t="s">
        <v>146</v>
      </c>
      <c r="D19" s="5" t="s">
        <v>4</v>
      </c>
      <c r="E19" s="5" t="s">
        <v>146</v>
      </c>
      <c r="J19" s="41">
        <f>J2*Refinitiv!E40</f>
        <v>28.898719116067397</v>
      </c>
      <c r="O19" s="3"/>
      <c r="Q19" s="3">
        <v>44083</v>
      </c>
      <c r="R19" s="5" t="s">
        <v>1</v>
      </c>
      <c r="S19" t="s">
        <v>96</v>
      </c>
      <c r="T19" s="5" t="s">
        <v>62</v>
      </c>
      <c r="U19" s="5" t="s">
        <v>33</v>
      </c>
      <c r="V19" s="1">
        <v>10</v>
      </c>
      <c r="W19">
        <v>116</v>
      </c>
      <c r="X19">
        <f>ROUND(MAX(V19*W19*100*0.008,100),0)</f>
        <v>928</v>
      </c>
      <c r="Y19">
        <f>V19*3.5</f>
        <v>35</v>
      </c>
      <c r="Z19" s="1">
        <f>IF(R19="Buy",-V19*W19,V19*W19)*100-X19-Y19</f>
        <v>-116963</v>
      </c>
    </row>
    <row r="20" spans="1:27" x14ac:dyDescent="0.2">
      <c r="A20" s="3">
        <v>45758</v>
      </c>
      <c r="B20" s="5" t="s">
        <v>79</v>
      </c>
      <c r="C20" s="5" t="s">
        <v>129</v>
      </c>
      <c r="D20" s="5" t="s">
        <v>4</v>
      </c>
      <c r="E20" s="5" t="s">
        <v>146</v>
      </c>
      <c r="J20" s="1">
        <f>Answer!H13</f>
        <v>63</v>
      </c>
      <c r="K20" s="5"/>
      <c r="Q20" s="3">
        <v>44083</v>
      </c>
      <c r="R20" s="5" t="s">
        <v>1</v>
      </c>
      <c r="S20" s="5" t="s">
        <v>97</v>
      </c>
      <c r="T20" s="5" t="s">
        <v>72</v>
      </c>
      <c r="U20" s="5" t="s">
        <v>33</v>
      </c>
      <c r="V20" s="1">
        <v>10</v>
      </c>
      <c r="W20">
        <v>0</v>
      </c>
      <c r="Y20">
        <f>V20*3.5</f>
        <v>35</v>
      </c>
      <c r="Z20" s="1">
        <f>IF(R20="Buy",-V20*W20,V20*W20)-X20-Y20</f>
        <v>-35</v>
      </c>
      <c r="AA20" s="5">
        <v>1791</v>
      </c>
    </row>
    <row r="21" spans="1:27" x14ac:dyDescent="0.2">
      <c r="A21" s="3">
        <v>45758</v>
      </c>
      <c r="B21" s="5" t="s">
        <v>20</v>
      </c>
      <c r="C21" s="5" t="s">
        <v>150</v>
      </c>
      <c r="D21" s="5" t="s">
        <v>78</v>
      </c>
      <c r="E21" s="5" t="s">
        <v>146</v>
      </c>
      <c r="F21" s="1">
        <f>ABS(Refinitiv!W19)</f>
        <v>4</v>
      </c>
      <c r="G21">
        <v>0</v>
      </c>
      <c r="J21" s="1">
        <v>0</v>
      </c>
      <c r="Q21" s="3"/>
      <c r="R21" s="5"/>
      <c r="S21" s="5"/>
      <c r="T21" s="5"/>
      <c r="U21" s="5"/>
      <c r="V21" s="1"/>
      <c r="Z21" s="1"/>
    </row>
    <row r="22" spans="1:27" x14ac:dyDescent="0.2">
      <c r="A22" s="3">
        <v>45758</v>
      </c>
      <c r="B22" s="5" t="s">
        <v>0</v>
      </c>
      <c r="C22" s="5" t="s">
        <v>146</v>
      </c>
      <c r="D22" s="5" t="s">
        <v>4</v>
      </c>
      <c r="E22" s="5" t="s">
        <v>146</v>
      </c>
      <c r="J22" s="41">
        <f>Answer!J13</f>
        <v>1.5762438926928426</v>
      </c>
    </row>
    <row r="23" spans="1:27" x14ac:dyDescent="0.2">
      <c r="A23" s="3">
        <v>45758</v>
      </c>
      <c r="B23" s="5" t="s">
        <v>0</v>
      </c>
      <c r="C23" s="5" t="s">
        <v>146</v>
      </c>
      <c r="D23" s="5" t="s">
        <v>4</v>
      </c>
      <c r="E23" s="5" t="s">
        <v>146</v>
      </c>
      <c r="J23" s="41">
        <f>J2*Refinitiv!E41</f>
        <v>28.731412668324641</v>
      </c>
    </row>
    <row r="24" spans="1:27" x14ac:dyDescent="0.2">
      <c r="P24" t="s">
        <v>87</v>
      </c>
      <c r="Q24" s="3">
        <v>41890</v>
      </c>
      <c r="R24" t="s">
        <v>0</v>
      </c>
      <c r="S24" t="s">
        <v>33</v>
      </c>
      <c r="T24" t="s">
        <v>4</v>
      </c>
      <c r="U24" s="5" t="s">
        <v>33</v>
      </c>
      <c r="V24" s="1"/>
      <c r="W24" t="s">
        <v>63</v>
      </c>
      <c r="Z24" s="1">
        <v>10000000</v>
      </c>
    </row>
    <row r="25" spans="1:27" x14ac:dyDescent="0.2">
      <c r="Q25" s="3">
        <v>41890</v>
      </c>
      <c r="R25" s="5" t="s">
        <v>1</v>
      </c>
      <c r="S25" t="s">
        <v>75</v>
      </c>
      <c r="T25" s="5" t="s">
        <v>62</v>
      </c>
      <c r="U25" s="5" t="s">
        <v>33</v>
      </c>
      <c r="V25" s="1">
        <v>100</v>
      </c>
      <c r="W25">
        <v>20.5</v>
      </c>
      <c r="X25">
        <f>ROUND(MAX(V25*W25*100*0.008,100),0)</f>
        <v>1640</v>
      </c>
      <c r="Y25">
        <f>V25*3.5</f>
        <v>350</v>
      </c>
      <c r="Z25" s="1">
        <f>-W25*V25</f>
        <v>-2050</v>
      </c>
    </row>
    <row r="26" spans="1:27" x14ac:dyDescent="0.2">
      <c r="Q26" s="3">
        <v>41890</v>
      </c>
      <c r="R26" s="5" t="s">
        <v>20</v>
      </c>
      <c r="S26" s="5" t="s">
        <v>76</v>
      </c>
      <c r="T26" s="5" t="s">
        <v>72</v>
      </c>
      <c r="U26" s="5" t="s">
        <v>33</v>
      </c>
      <c r="V26" s="1">
        <v>50</v>
      </c>
      <c r="W26">
        <v>0</v>
      </c>
      <c r="Y26">
        <f>V26*3.5</f>
        <v>175</v>
      </c>
      <c r="Z26" s="1">
        <v>0</v>
      </c>
      <c r="AA26" s="5">
        <v>1389</v>
      </c>
    </row>
    <row r="27" spans="1:27" x14ac:dyDescent="0.2">
      <c r="Q27" s="3">
        <v>41890</v>
      </c>
      <c r="R27" s="5" t="s">
        <v>1</v>
      </c>
      <c r="S27" s="5" t="s">
        <v>82</v>
      </c>
      <c r="T27" s="5" t="s">
        <v>78</v>
      </c>
      <c r="U27" s="5" t="s">
        <v>66</v>
      </c>
      <c r="V27" s="1">
        <v>50</v>
      </c>
      <c r="W27">
        <v>0</v>
      </c>
      <c r="Z27" s="1">
        <v>0</v>
      </c>
      <c r="AA27">
        <v>6831</v>
      </c>
    </row>
    <row r="28" spans="1:27" x14ac:dyDescent="0.2">
      <c r="Q28" s="3">
        <v>41891</v>
      </c>
      <c r="R28" s="5" t="s">
        <v>79</v>
      </c>
      <c r="S28" s="5" t="s">
        <v>82</v>
      </c>
      <c r="T28" s="5" t="s">
        <v>78</v>
      </c>
      <c r="U28" s="5" t="s">
        <v>66</v>
      </c>
      <c r="V28" s="1"/>
      <c r="Z28" s="1">
        <v>-1750</v>
      </c>
    </row>
    <row r="29" spans="1:27" x14ac:dyDescent="0.2">
      <c r="Q29" s="3">
        <v>41892</v>
      </c>
      <c r="R29" s="5" t="s">
        <v>79</v>
      </c>
      <c r="S29" s="5" t="s">
        <v>82</v>
      </c>
      <c r="T29" s="5" t="s">
        <v>78</v>
      </c>
      <c r="U29" s="5" t="s">
        <v>66</v>
      </c>
      <c r="V29" s="1"/>
      <c r="Z29" s="1">
        <v>4750</v>
      </c>
    </row>
    <row r="30" spans="1:27" x14ac:dyDescent="0.2">
      <c r="Q30" s="3">
        <v>41893</v>
      </c>
      <c r="R30" s="5" t="s">
        <v>79</v>
      </c>
      <c r="S30" s="5" t="s">
        <v>82</v>
      </c>
      <c r="T30" s="5" t="s">
        <v>78</v>
      </c>
      <c r="U30" s="5" t="s">
        <v>66</v>
      </c>
      <c r="V30" s="1"/>
      <c r="Z30" s="1">
        <v>-20250</v>
      </c>
    </row>
    <row r="31" spans="1:27" x14ac:dyDescent="0.2">
      <c r="Q31" s="3">
        <v>41894</v>
      </c>
      <c r="R31" s="5" t="s">
        <v>79</v>
      </c>
      <c r="S31" s="5" t="s">
        <v>82</v>
      </c>
      <c r="T31" s="5" t="s">
        <v>78</v>
      </c>
      <c r="U31" s="5" t="s">
        <v>66</v>
      </c>
      <c r="V31" s="1"/>
      <c r="Z31" s="1">
        <v>4500</v>
      </c>
    </row>
    <row r="33" spans="1:26" x14ac:dyDescent="0.2">
      <c r="A33" s="3"/>
    </row>
    <row r="34" spans="1:26" x14ac:dyDescent="0.2">
      <c r="A34" s="3"/>
    </row>
    <row r="35" spans="1:26" x14ac:dyDescent="0.2">
      <c r="A35" s="3"/>
    </row>
    <row r="36" spans="1:26" x14ac:dyDescent="0.2">
      <c r="A36" s="3"/>
      <c r="Q36" s="3">
        <v>43536</v>
      </c>
      <c r="R36" t="s">
        <v>0</v>
      </c>
      <c r="S36" t="s">
        <v>33</v>
      </c>
      <c r="T36" t="s">
        <v>4</v>
      </c>
      <c r="U36" t="s">
        <v>33</v>
      </c>
      <c r="Z36" s="1">
        <v>2500000</v>
      </c>
    </row>
    <row r="37" spans="1:26" x14ac:dyDescent="0.2">
      <c r="A37" s="3"/>
      <c r="Q37" s="3">
        <v>43536</v>
      </c>
      <c r="R37" t="s">
        <v>1</v>
      </c>
      <c r="S37" t="s">
        <v>7</v>
      </c>
      <c r="T37" t="s">
        <v>25</v>
      </c>
      <c r="U37" t="s">
        <v>33</v>
      </c>
      <c r="V37" s="1">
        <v>3000</v>
      </c>
      <c r="W37">
        <v>177.35</v>
      </c>
      <c r="X37">
        <f t="shared" ref="X37:X42" si="4">ROUND(MAX(V37*W37*0.0005,100),0)</f>
        <v>266</v>
      </c>
      <c r="Z37" s="1">
        <f t="shared" ref="Z37:Z42" si="5">IF(R37="Buy",-V37*W37,V37*W37)-X37-Y37</f>
        <v>-532316</v>
      </c>
    </row>
    <row r="38" spans="1:26" x14ac:dyDescent="0.2">
      <c r="A38" s="3"/>
      <c r="Q38" s="3">
        <v>43536</v>
      </c>
      <c r="R38" t="s">
        <v>1</v>
      </c>
      <c r="S38" t="s">
        <v>8</v>
      </c>
      <c r="T38" t="s">
        <v>25</v>
      </c>
      <c r="U38" t="s">
        <v>33</v>
      </c>
      <c r="V38" s="1">
        <v>500</v>
      </c>
      <c r="W38">
        <v>781.2</v>
      </c>
      <c r="X38">
        <f t="shared" si="4"/>
        <v>195</v>
      </c>
      <c r="Z38" s="1">
        <f t="shared" si="5"/>
        <v>-390795</v>
      </c>
    </row>
    <row r="39" spans="1:26" x14ac:dyDescent="0.2">
      <c r="A39" s="3"/>
      <c r="Q39" s="3">
        <v>43536</v>
      </c>
      <c r="R39" t="s">
        <v>1</v>
      </c>
      <c r="S39" t="s">
        <v>6</v>
      </c>
      <c r="T39" t="s">
        <v>25</v>
      </c>
      <c r="U39" t="s">
        <v>33</v>
      </c>
      <c r="V39" s="1">
        <v>5000</v>
      </c>
      <c r="W39">
        <v>87.4</v>
      </c>
      <c r="X39">
        <f t="shared" si="4"/>
        <v>219</v>
      </c>
      <c r="Z39" s="1">
        <f t="shared" si="5"/>
        <v>-437219</v>
      </c>
    </row>
    <row r="40" spans="1:26" x14ac:dyDescent="0.2">
      <c r="A40" s="3"/>
      <c r="Q40" s="3">
        <v>43536</v>
      </c>
      <c r="R40" t="s">
        <v>1</v>
      </c>
      <c r="S40" t="s">
        <v>9</v>
      </c>
      <c r="T40" t="s">
        <v>25</v>
      </c>
      <c r="U40" t="s">
        <v>33</v>
      </c>
      <c r="V40" s="1">
        <v>1000</v>
      </c>
      <c r="W40">
        <v>102.7</v>
      </c>
      <c r="X40">
        <f t="shared" si="4"/>
        <v>100</v>
      </c>
      <c r="Z40" s="1">
        <f t="shared" si="5"/>
        <v>-102800</v>
      </c>
    </row>
    <row r="41" spans="1:26" x14ac:dyDescent="0.2">
      <c r="A41" s="3"/>
      <c r="Q41" s="3">
        <v>43536</v>
      </c>
      <c r="R41" t="s">
        <v>1</v>
      </c>
      <c r="S41" t="s">
        <v>10</v>
      </c>
      <c r="T41" t="s">
        <v>25</v>
      </c>
      <c r="U41" t="s">
        <v>33</v>
      </c>
      <c r="V41" s="1">
        <v>2000</v>
      </c>
      <c r="W41">
        <v>167.3</v>
      </c>
      <c r="X41">
        <f t="shared" si="4"/>
        <v>167</v>
      </c>
      <c r="Z41" s="1">
        <f t="shared" si="5"/>
        <v>-334767</v>
      </c>
    </row>
    <row r="42" spans="1:26" x14ac:dyDescent="0.2">
      <c r="A42" s="3"/>
      <c r="Q42" s="3">
        <v>43536</v>
      </c>
      <c r="R42" t="s">
        <v>1</v>
      </c>
      <c r="S42" t="s">
        <v>11</v>
      </c>
      <c r="T42" t="s">
        <v>25</v>
      </c>
      <c r="U42" t="s">
        <v>33</v>
      </c>
      <c r="V42" s="1">
        <v>1000</v>
      </c>
      <c r="W42">
        <v>134.55000000000001</v>
      </c>
      <c r="X42">
        <f t="shared" si="4"/>
        <v>100</v>
      </c>
      <c r="Z42" s="1">
        <f t="shared" si="5"/>
        <v>-134650</v>
      </c>
    </row>
    <row r="43" spans="1:26" x14ac:dyDescent="0.2">
      <c r="A43" s="3"/>
      <c r="Q43" s="3">
        <v>43537</v>
      </c>
      <c r="R43" t="s">
        <v>0</v>
      </c>
      <c r="S43" t="s">
        <v>33</v>
      </c>
      <c r="T43" t="s">
        <v>4</v>
      </c>
      <c r="U43" t="s">
        <v>33</v>
      </c>
      <c r="V43" s="1"/>
      <c r="W43" t="s">
        <v>63</v>
      </c>
      <c r="Z43" s="1">
        <v>-100000</v>
      </c>
    </row>
    <row r="44" spans="1:26" x14ac:dyDescent="0.2">
      <c r="A44" s="3"/>
      <c r="Q44" s="3">
        <v>43537</v>
      </c>
      <c r="R44" t="s">
        <v>20</v>
      </c>
      <c r="S44" t="s">
        <v>11</v>
      </c>
      <c r="T44" s="5" t="s">
        <v>25</v>
      </c>
      <c r="U44" t="s">
        <v>33</v>
      </c>
      <c r="V44" s="1">
        <v>600</v>
      </c>
      <c r="W44">
        <v>136</v>
      </c>
      <c r="X44">
        <f>ROUND(MAX(V44*W44*0.0005,100),0)</f>
        <v>100</v>
      </c>
      <c r="Z44" s="1">
        <f>IF(R44="Buy",-V44*W44,V44*W44)-X44-Y44</f>
        <v>81500</v>
      </c>
    </row>
    <row r="45" spans="1:26" x14ac:dyDescent="0.2">
      <c r="A45" s="3"/>
      <c r="Q45" s="3">
        <v>43538</v>
      </c>
      <c r="R45" t="s">
        <v>0</v>
      </c>
      <c r="S45" t="s">
        <v>33</v>
      </c>
      <c r="T45" t="s">
        <v>4</v>
      </c>
      <c r="U45" t="s">
        <v>33</v>
      </c>
      <c r="V45" s="1"/>
      <c r="W45" t="s">
        <v>63</v>
      </c>
      <c r="Z45" s="1">
        <v>500000</v>
      </c>
    </row>
    <row r="46" spans="1:26" x14ac:dyDescent="0.2">
      <c r="A46" s="3"/>
      <c r="Q46" s="3">
        <v>43538</v>
      </c>
      <c r="R46" t="s">
        <v>1</v>
      </c>
      <c r="S46" t="s">
        <v>6</v>
      </c>
      <c r="T46" s="5" t="s">
        <v>25</v>
      </c>
      <c r="U46" t="s">
        <v>33</v>
      </c>
      <c r="V46" s="1">
        <v>6000</v>
      </c>
      <c r="W46">
        <v>88.36</v>
      </c>
      <c r="X46">
        <f>ROUND(MAX(V46*W46*0.0005,100),0)</f>
        <v>265</v>
      </c>
      <c r="Z46" s="1">
        <f>IF(R46="Buy",-V46*W46,V46*W46)-X46-Y46</f>
        <v>-530425</v>
      </c>
    </row>
    <row r="47" spans="1:26" x14ac:dyDescent="0.2">
      <c r="A47" s="3"/>
      <c r="Q47" s="3"/>
      <c r="T47" s="5"/>
      <c r="V47" s="1"/>
      <c r="Z47" s="1"/>
    </row>
    <row r="48" spans="1:26" x14ac:dyDescent="0.2">
      <c r="A48" s="3"/>
    </row>
    <row r="49" spans="1:1" x14ac:dyDescent="0.2">
      <c r="A49" s="3"/>
    </row>
    <row r="50" spans="1:1" x14ac:dyDescent="0.2">
      <c r="A50" s="3"/>
    </row>
    <row r="51" spans="1:1" x14ac:dyDescent="0.2">
      <c r="A51" s="3"/>
    </row>
    <row r="52" spans="1:1" x14ac:dyDescent="0.2">
      <c r="A52" s="3"/>
    </row>
    <row r="53" spans="1:1" x14ac:dyDescent="0.2">
      <c r="A53" s="3"/>
    </row>
    <row r="54" spans="1:1" x14ac:dyDescent="0.2">
      <c r="A54" s="3"/>
    </row>
    <row r="55" spans="1:1" x14ac:dyDescent="0.2">
      <c r="A55" s="3"/>
    </row>
    <row r="56" spans="1:1" x14ac:dyDescent="0.2">
      <c r="A56" s="3"/>
    </row>
    <row r="57" spans="1:1" x14ac:dyDescent="0.2">
      <c r="A57" s="3"/>
    </row>
    <row r="58" spans="1:1" x14ac:dyDescent="0.2">
      <c r="A58" s="3"/>
    </row>
    <row r="59" spans="1:1" x14ac:dyDescent="0.2">
      <c r="A59" s="3"/>
    </row>
  </sheetData>
  <phoneticPr fontId="1" type="noConversion"/>
  <pageMargins left="0.75" right="0.75" top="1" bottom="1" header="0.5" footer="0.5"/>
  <pageSetup paperSize="9" orientation="portrait" horizontalDpi="1200"/>
  <headerFooter alignWithMargins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D7A45-5BCF-4BD3-A6A2-2739C7392718}">
  <sheetPr codeName="Sheet2"/>
  <dimension ref="A1:L15"/>
  <sheetViews>
    <sheetView zoomScale="59" zoomScaleNormal="100" workbookViewId="0">
      <selection activeCell="I23" sqref="I23"/>
    </sheetView>
  </sheetViews>
  <sheetFormatPr defaultColWidth="8.85546875" defaultRowHeight="12.75" x14ac:dyDescent="0.2"/>
  <cols>
    <col min="1" max="1" width="19.28515625" customWidth="1"/>
    <col min="2" max="2" width="10.140625" bestFit="1" customWidth="1"/>
    <col min="3" max="4" width="8.85546875" customWidth="1"/>
    <col min="5" max="5" width="16.85546875" customWidth="1"/>
    <col min="6" max="6" width="11.28515625" bestFit="1" customWidth="1"/>
    <col min="7" max="7" width="13.42578125" bestFit="1" customWidth="1"/>
  </cols>
  <sheetData>
    <row r="1" spans="1:12" x14ac:dyDescent="0.2">
      <c r="E1" t="s">
        <v>39</v>
      </c>
      <c r="F1" t="s">
        <v>36</v>
      </c>
    </row>
    <row r="2" spans="1:12" x14ac:dyDescent="0.2">
      <c r="E2" s="6" t="e">
        <f>data!$F$2</f>
        <v>#VALUE!</v>
      </c>
      <c r="F2">
        <f>_xll.RtGet("IDN","STISEK3MDFI=","TRDPRC_1")/100</f>
        <v>2.2759999999999999E-2</v>
      </c>
    </row>
    <row r="4" spans="1:12" x14ac:dyDescent="0.2">
      <c r="A4" t="s">
        <v>4</v>
      </c>
      <c r="B4" t="s">
        <v>3</v>
      </c>
      <c r="C4" t="s">
        <v>56</v>
      </c>
      <c r="D4" t="s">
        <v>40</v>
      </c>
      <c r="E4" t="s">
        <v>14</v>
      </c>
      <c r="F4" t="s">
        <v>27</v>
      </c>
    </row>
    <row r="5" spans="1:12" x14ac:dyDescent="0.2">
      <c r="A5" t="str">
        <f>data!$A$5</f>
        <v>DDK=</v>
      </c>
      <c r="B5">
        <f>data!$B$5</f>
        <v>27778.979285711284</v>
      </c>
      <c r="C5" s="7" t="e">
        <f>data!$C$5</f>
        <v>#VALUE!</v>
      </c>
      <c r="D5" t="e">
        <f>data!$D$5</f>
        <v>#VALUE!</v>
      </c>
      <c r="E5" t="e">
        <f>data!$E$5</f>
        <v>#VALUE!</v>
      </c>
      <c r="F5" s="4" t="e">
        <f>data!$E$5/data!$F$2</f>
        <v>#VALUE!</v>
      </c>
    </row>
    <row r="6" spans="1:12" x14ac:dyDescent="0.2">
      <c r="A6" t="str">
        <f>data!$A$6</f>
        <v>SEK=</v>
      </c>
      <c r="B6">
        <f>data!$B$6</f>
        <v>0</v>
      </c>
      <c r="C6" s="7">
        <f>data!$C$6</f>
        <v>1.89E-2</v>
      </c>
      <c r="D6">
        <f>data!$D$6</f>
        <v>1</v>
      </c>
      <c r="E6">
        <f>data!$E$6</f>
        <v>0</v>
      </c>
      <c r="F6" s="4" t="e">
        <f>data!$E$6/data!$F$2</f>
        <v>#VALUE!</v>
      </c>
    </row>
    <row r="8" spans="1:12" x14ac:dyDescent="0.2">
      <c r="A8" t="s">
        <v>25</v>
      </c>
      <c r="B8" t="s">
        <v>3</v>
      </c>
      <c r="C8" t="s">
        <v>15</v>
      </c>
      <c r="D8" t="s">
        <v>40</v>
      </c>
      <c r="E8" t="s">
        <v>14</v>
      </c>
      <c r="F8" t="s">
        <v>27</v>
      </c>
      <c r="G8" t="s">
        <v>28</v>
      </c>
      <c r="H8" t="s">
        <v>22</v>
      </c>
      <c r="I8" t="s">
        <v>23</v>
      </c>
      <c r="J8" t="s">
        <v>24</v>
      </c>
      <c r="K8" t="str">
        <f>data!$K$9</f>
        <v>Unable to resolve all requested identifiers.</v>
      </c>
      <c r="L8">
        <f>data!$L$9</f>
        <v>0</v>
      </c>
    </row>
    <row r="9" spans="1:12" x14ac:dyDescent="0.2">
      <c r="A9" t="str">
        <f>data!$A$10</f>
        <v>.OMXC25</v>
      </c>
      <c r="B9">
        <f>data!$B$10</f>
        <v>0</v>
      </c>
      <c r="C9" t="e">
        <f>data!$C$10</f>
        <v>#VALUE!</v>
      </c>
      <c r="D9" t="str">
        <f>data!$D$10</f>
        <v>FX</v>
      </c>
      <c r="E9" t="e">
        <f>data!$E$10</f>
        <v>#VALUE!</v>
      </c>
      <c r="F9" s="4" t="e">
        <f>data!$E$10/data!$F$2</f>
        <v>#VALUE!</v>
      </c>
      <c r="H9" t="str">
        <f>data!$F$10</f>
        <v>#N/A The record could not be found</v>
      </c>
      <c r="I9" t="str">
        <f>data!$G$10</f>
        <v>#N/A The record could not be found</v>
      </c>
      <c r="J9" t="str">
        <f>data!$J$10</f>
        <v>#N/A The record could not be found</v>
      </c>
      <c r="K9">
        <f>data!$K$10</f>
        <v>0</v>
      </c>
      <c r="L9">
        <f>data!$L$10</f>
        <v>0</v>
      </c>
    </row>
    <row r="11" spans="1:12" x14ac:dyDescent="0.2">
      <c r="A11" t="s">
        <v>78</v>
      </c>
      <c r="B11" t="s">
        <v>3</v>
      </c>
      <c r="C11" t="s">
        <v>15</v>
      </c>
      <c r="D11" t="s">
        <v>40</v>
      </c>
      <c r="E11" t="s">
        <v>14</v>
      </c>
      <c r="F11" t="s">
        <v>27</v>
      </c>
      <c r="G11" t="s">
        <v>68</v>
      </c>
    </row>
    <row r="12" spans="1:12" x14ac:dyDescent="0.2">
      <c r="A12" t="str">
        <f>data!$A$14</f>
        <v>C25CAPc1</v>
      </c>
      <c r="B12">
        <f>data!$B$14</f>
        <v>-6</v>
      </c>
      <c r="C12">
        <f>data!$C$14</f>
        <v>1599.375</v>
      </c>
      <c r="D12" t="e">
        <f>data!$D$14</f>
        <v>#VALUE!</v>
      </c>
      <c r="E12" t="e">
        <f>data!$E$14</f>
        <v>#VALUE!</v>
      </c>
      <c r="F12" s="4" t="e">
        <f>data!$E$14/data!$F$2</f>
        <v>#VALUE!</v>
      </c>
      <c r="G12" s="8">
        <f>data!$K$14</f>
        <v>0</v>
      </c>
    </row>
    <row r="14" spans="1:12" x14ac:dyDescent="0.2">
      <c r="A14" t="s">
        <v>62</v>
      </c>
      <c r="B14" t="s">
        <v>3</v>
      </c>
      <c r="C14" t="s">
        <v>15</v>
      </c>
      <c r="D14" t="s">
        <v>40</v>
      </c>
      <c r="E14" t="s">
        <v>14</v>
      </c>
      <c r="F14" t="s">
        <v>27</v>
      </c>
      <c r="G14" t="s">
        <v>68</v>
      </c>
      <c r="H14" t="s">
        <v>69</v>
      </c>
      <c r="I14" t="s">
        <v>70</v>
      </c>
    </row>
    <row r="15" spans="1:12" x14ac:dyDescent="0.2">
      <c r="A15" t="str">
        <f>data!$A$18</f>
        <v>OMXC25CAP</v>
      </c>
      <c r="B15">
        <f>data!$B$18</f>
        <v>12306</v>
      </c>
      <c r="C15" t="str">
        <f>data!$C$18</f>
        <v>#N/A The record could not be found</v>
      </c>
      <c r="D15" t="e">
        <f>data!$D$18</f>
        <v>#VALUE!</v>
      </c>
      <c r="E15" t="e">
        <f>data!$E$18</f>
        <v>#VALUE!</v>
      </c>
      <c r="F15" s="4" t="e">
        <f>data!$E$18/data!$F$2</f>
        <v>#VALUE!</v>
      </c>
      <c r="G15" s="8" t="str">
        <f>data!$J$18</f>
        <v>#N/A The record could not be found</v>
      </c>
      <c r="H15">
        <f>data!$K$18</f>
        <v>0</v>
      </c>
      <c r="I15">
        <f>data!$L$18</f>
        <v>0</v>
      </c>
    </row>
  </sheetData>
  <phoneticPr fontId="1" type="noConversion"/>
  <pageMargins left="0.75" right="0.75" top="1" bottom="1" header="0.5" footer="0.5"/>
  <pageSetup paperSize="9" orientation="portrait" horizont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" r:id="rId4" name="Button 24">
              <controlPr defaultSize="0" print="0" autoFill="0" autoPict="0" macro="[0]!buildPortfolio" altText="Update portfolio">
                <anchor moveWithCells="1" sizeWithCells="1">
                  <from>
                    <xdr:col>8</xdr:col>
                    <xdr:colOff>0</xdr:colOff>
                    <xdr:row>0</xdr:row>
                    <xdr:rowOff>9525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5" name="Button 25">
              <controlPr defaultSize="0" print="0" autoFill="0" autoPict="0" macro="[0]!calcStat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6" name="Button 26">
              <controlPr defaultSize="0" print="0" autoFill="0" autoPict="0" macro="[0]!optimize">
                <anchor moveWithCells="1" siz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C9759-56C7-4B63-844F-6F4AE7EAC22C}">
  <sheetPr codeName="Sheet8"/>
  <dimension ref="A1:M21"/>
  <sheetViews>
    <sheetView topLeftCell="A9" workbookViewId="0">
      <selection activeCell="G22" sqref="G22"/>
    </sheetView>
  </sheetViews>
  <sheetFormatPr defaultColWidth="8.85546875" defaultRowHeight="12.75" x14ac:dyDescent="0.2"/>
  <cols>
    <col min="1" max="1" width="14.7109375" bestFit="1" customWidth="1"/>
    <col min="2" max="2" width="11.7109375" bestFit="1" customWidth="1"/>
    <col min="3" max="3" width="8.85546875" customWidth="1"/>
    <col min="4" max="4" width="8.42578125" customWidth="1"/>
    <col min="5" max="5" width="12.28515625" customWidth="1"/>
    <col min="6" max="6" width="10.140625" bestFit="1" customWidth="1"/>
    <col min="7" max="7" width="8.85546875" customWidth="1"/>
    <col min="8" max="8" width="13.7109375" customWidth="1"/>
  </cols>
  <sheetData>
    <row r="1" spans="1:13" x14ac:dyDescent="0.2">
      <c r="A1" t="s">
        <v>29</v>
      </c>
      <c r="F1" t="s">
        <v>39</v>
      </c>
      <c r="G1" t="s">
        <v>36</v>
      </c>
    </row>
    <row r="2" spans="1:13" x14ac:dyDescent="0.2">
      <c r="F2" t="e">
        <f>SUM(E:E)</f>
        <v>#VALUE!</v>
      </c>
      <c r="G2">
        <f>_xll.RtGet("IDN","STISEK3MDFI=","TRDPRC_1")/100</f>
        <v>2.2759999999999999E-2</v>
      </c>
    </row>
    <row r="4" spans="1:13" x14ac:dyDescent="0.2">
      <c r="A4" t="s">
        <v>32</v>
      </c>
      <c r="B4" t="s">
        <v>4</v>
      </c>
      <c r="C4" t="s">
        <v>54</v>
      </c>
      <c r="D4" t="s">
        <v>40</v>
      </c>
      <c r="E4" t="s">
        <v>14</v>
      </c>
      <c r="F4" t="s">
        <v>41</v>
      </c>
      <c r="G4" t="s">
        <v>54</v>
      </c>
      <c r="H4" t="s">
        <v>60</v>
      </c>
      <c r="I4" t="s">
        <v>61</v>
      </c>
      <c r="J4" t="s">
        <v>46</v>
      </c>
      <c r="K4" t="s">
        <v>47</v>
      </c>
    </row>
    <row r="5" spans="1:13" x14ac:dyDescent="0.2">
      <c r="A5" t="s">
        <v>157</v>
      </c>
      <c r="B5">
        <v>27778.979285711284</v>
      </c>
      <c r="C5" t="e">
        <f>$H5/100</f>
        <v>#VALUE!</v>
      </c>
      <c r="D5" t="e">
        <f>1/F5*F6</f>
        <v>#VALUE!</v>
      </c>
      <c r="E5" t="e">
        <f>B5*D5</f>
        <v>#VALUE!</v>
      </c>
      <c r="F5" t="str">
        <f>K5</f>
        <v>#N/A The record could not be found</v>
      </c>
      <c r="G5" t="str">
        <f>LEFT($A5,3)&amp; "OND="</f>
        <v>DDKOND=</v>
      </c>
      <c r="H5" t="str">
        <f>_xll.RtGet($A$1,G5,"BID")</f>
        <v>#N/A The record could not be found</v>
      </c>
      <c r="I5" t="str">
        <f>_xll.RtGet($A$1,G5,"ASK")</f>
        <v>#N/A The record could not be found</v>
      </c>
      <c r="J5" t="str">
        <f>_xll.RtGet($A$1,$A5,J$4)</f>
        <v>#N/A The record could not be found</v>
      </c>
      <c r="K5" t="str">
        <f>_xll.RtGet($A$1,$A5,K$4)</f>
        <v>#N/A The record could not be found</v>
      </c>
    </row>
    <row r="6" spans="1:13" x14ac:dyDescent="0.2">
      <c r="A6" t="s">
        <v>38</v>
      </c>
      <c r="B6">
        <v>0</v>
      </c>
      <c r="C6">
        <f>$H6/100</f>
        <v>1.89E-2</v>
      </c>
      <c r="D6">
        <v>1</v>
      </c>
      <c r="E6">
        <f>B6*D6</f>
        <v>0</v>
      </c>
      <c r="F6">
        <f>J6</f>
        <v>9.6275999999999993</v>
      </c>
      <c r="G6" t="str">
        <f>LEFT($A6,3)&amp; "OND="</f>
        <v>SEKOND=</v>
      </c>
      <c r="H6">
        <f>_xll.RtGet($A$1,G6,"BID")</f>
        <v>1.89</v>
      </c>
      <c r="I6">
        <f>_xll.RtGet($A$1,G6,"ASK")</f>
        <v>2.36</v>
      </c>
      <c r="J6">
        <f>_xll.RtGet($A$1,$A6,J$4)</f>
        <v>9.6275999999999993</v>
      </c>
      <c r="K6">
        <f>_xll.RtGet($A$1,$A6,K$4)</f>
        <v>9.6325000000000003</v>
      </c>
    </row>
    <row r="8" spans="1:13" x14ac:dyDescent="0.2">
      <c r="K8" t="s">
        <v>100</v>
      </c>
      <c r="L8" t="s">
        <v>99</v>
      </c>
      <c r="M8" t="str">
        <f>_xll.RDP.Data($A$10:$A$10,K8:L8,"CH:Fd",K9)</f>
        <v>Paused at 10:02:36</v>
      </c>
    </row>
    <row r="9" spans="1:13" x14ac:dyDescent="0.2">
      <c r="A9" t="s">
        <v>25</v>
      </c>
      <c r="B9" t="s">
        <v>3</v>
      </c>
      <c r="C9" t="s">
        <v>15</v>
      </c>
      <c r="D9" t="s">
        <v>40</v>
      </c>
      <c r="E9" t="s">
        <v>14</v>
      </c>
      <c r="F9" t="s">
        <v>22</v>
      </c>
      <c r="G9" t="s">
        <v>23</v>
      </c>
      <c r="H9" t="s">
        <v>98</v>
      </c>
      <c r="I9" t="s">
        <v>92</v>
      </c>
      <c r="J9" t="s">
        <v>24</v>
      </c>
      <c r="K9" s="9" t="s">
        <v>160</v>
      </c>
    </row>
    <row r="10" spans="1:13" x14ac:dyDescent="0.2">
      <c r="A10" t="s">
        <v>128</v>
      </c>
      <c r="B10">
        <v>0</v>
      </c>
      <c r="C10" t="e">
        <f>IF(AND($F$10&lt;&gt;0,$G$10&lt;&gt;0),($F$10+$G$10)/2,IF($H$10&lt;&gt; 0,$H$10,$I$10))</f>
        <v>#VALUE!</v>
      </c>
      <c r="D10" t="str">
        <f>$D$4</f>
        <v>FX</v>
      </c>
      <c r="E10" t="e">
        <f>B10*C10*D10</f>
        <v>#VALUE!</v>
      </c>
      <c r="F10" t="str">
        <f>_xll.RtGet($A$1,$A10,F$9)</f>
        <v>#N/A The record could not be found</v>
      </c>
      <c r="G10" t="str">
        <f>_xll.RtGet($A$1,$A10,G$9)</f>
        <v>#N/A The record could not be found</v>
      </c>
      <c r="H10" t="str">
        <f>_xll.RtGet($A$1,$A10,H$9)</f>
        <v>#N/A The record could not be found</v>
      </c>
      <c r="I10" t="str">
        <f>_xll.RtGet($A$1,$A10,I$9)</f>
        <v>#N/A The record could not be found</v>
      </c>
      <c r="J10" t="str">
        <f>_xll.RtGet($A$1,$A10,J$9)</f>
        <v>#N/A The record could not be found</v>
      </c>
    </row>
    <row r="13" spans="1:13" x14ac:dyDescent="0.2">
      <c r="A13" t="s">
        <v>78</v>
      </c>
      <c r="B13" t="s">
        <v>3</v>
      </c>
      <c r="C13" t="s">
        <v>15</v>
      </c>
      <c r="D13" t="s">
        <v>40</v>
      </c>
      <c r="E13" t="s">
        <v>14</v>
      </c>
      <c r="F13" t="s">
        <v>22</v>
      </c>
      <c r="G13" t="s">
        <v>23</v>
      </c>
      <c r="H13" t="s">
        <v>98</v>
      </c>
      <c r="I13" t="s">
        <v>93</v>
      </c>
      <c r="J13" t="s">
        <v>158</v>
      </c>
    </row>
    <row r="14" spans="1:13" x14ac:dyDescent="0.2">
      <c r="A14" t="s">
        <v>150</v>
      </c>
      <c r="B14">
        <v>-6</v>
      </c>
      <c r="C14">
        <f>IF($H$14&lt;&gt; 0,$H$14,($F$14+$G$14)/2)</f>
        <v>1599.375</v>
      </c>
      <c r="D14" t="e">
        <f>$D$5</f>
        <v>#VALUE!</v>
      </c>
      <c r="E14" t="e">
        <f>B14*(C14-$J$14)*D14*$I$14</f>
        <v>#VALUE!</v>
      </c>
      <c r="F14">
        <f>_xll.RtGet($A$1,$A14,F$13)</f>
        <v>1598.25</v>
      </c>
      <c r="G14">
        <f>_xll.RtGet($A$1,$A14,G$13)</f>
        <v>1600.5</v>
      </c>
      <c r="H14">
        <f>_xll.RtGet($A$1,$A14,H$13)</f>
        <v>0</v>
      </c>
      <c r="I14">
        <f>_xll.RtGet($A$1,$A14,I$13)</f>
        <v>100</v>
      </c>
      <c r="J14">
        <f>_xll.RtGet($A$1,$A14,J$13)</f>
        <v>1596.75</v>
      </c>
    </row>
    <row r="17" spans="1:12" x14ac:dyDescent="0.2">
      <c r="A17" t="s">
        <v>94</v>
      </c>
      <c r="B17" t="s">
        <v>3</v>
      </c>
      <c r="C17" t="s">
        <v>15</v>
      </c>
      <c r="D17" t="s">
        <v>40</v>
      </c>
      <c r="E17" t="s">
        <v>14</v>
      </c>
      <c r="F17" t="s">
        <v>22</v>
      </c>
      <c r="G17" t="s">
        <v>23</v>
      </c>
      <c r="H17" t="s">
        <v>98</v>
      </c>
      <c r="I17" t="s">
        <v>93</v>
      </c>
      <c r="J17" t="s">
        <v>68</v>
      </c>
    </row>
    <row r="18" spans="1:12" x14ac:dyDescent="0.2">
      <c r="A18" t="s">
        <v>147</v>
      </c>
      <c r="B18">
        <v>12306</v>
      </c>
      <c r="C18" t="str">
        <f>IF($H$18&lt;&gt; 0,$H$18,($F$18+$G$18)/2)</f>
        <v>#N/A The record could not be found</v>
      </c>
      <c r="D18" t="e">
        <f>$D$5</f>
        <v>#VALUE!</v>
      </c>
      <c r="E18" t="e">
        <f>B18*C18*D18*$I$18</f>
        <v>#VALUE!</v>
      </c>
      <c r="F18" t="str">
        <f>_xll.RtGet($A$1,$A18,F$17)</f>
        <v>#N/A The record could not be found</v>
      </c>
      <c r="G18" t="str">
        <f>_xll.RtGet($A$1,$A18,G$17)</f>
        <v>#N/A The record could not be found</v>
      </c>
      <c r="H18" t="str">
        <f>_xll.RtGet($A$1,$A18,H$17)</f>
        <v>#N/A The record could not be found</v>
      </c>
      <c r="I18" t="str">
        <f>_xll.RtGet($A$1,$A18,I$17)</f>
        <v>#N/A The record could not be found</v>
      </c>
      <c r="J18" t="str">
        <f>_xll.RtGet($A$1,$A18,J$17)</f>
        <v>#N/A The record could not be found</v>
      </c>
    </row>
    <row r="21" spans="1:12" x14ac:dyDescent="0.2">
      <c r="A21" t="s">
        <v>58</v>
      </c>
      <c r="B21" t="s">
        <v>3</v>
      </c>
      <c r="C21" t="s">
        <v>15</v>
      </c>
      <c r="D21" t="s">
        <v>40</v>
      </c>
      <c r="E21" t="s">
        <v>14</v>
      </c>
      <c r="F21" t="s">
        <v>42</v>
      </c>
      <c r="G21" t="s">
        <v>43</v>
      </c>
      <c r="H21" t="s">
        <v>46</v>
      </c>
      <c r="I21" t="s">
        <v>47</v>
      </c>
      <c r="J21" t="s">
        <v>48</v>
      </c>
      <c r="K21" t="s">
        <v>44</v>
      </c>
      <c r="L21" t="s">
        <v>45</v>
      </c>
    </row>
  </sheetData>
  <pageMargins left="0.7" right="0.7" top="0.75" bottom="0.75" header="0.3" footer="0.3"/>
  <pageSetup paperSize="9" orientation="portrait"/>
  <customProperties>
    <customPr name="REFI_OFFICE_FUNCTION_DATA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B7201-FFDD-4C9E-B448-6B8D68D461D4}">
  <sheetPr codeName="Sheet4"/>
  <dimension ref="A1:H502"/>
  <sheetViews>
    <sheetView tabSelected="1" workbookViewId="0">
      <selection activeCell="N14" sqref="N14"/>
    </sheetView>
  </sheetViews>
  <sheetFormatPr defaultColWidth="8.85546875" defaultRowHeight="12.75" x14ac:dyDescent="0.2"/>
  <cols>
    <col min="1" max="1" width="20" customWidth="1"/>
    <col min="2" max="2" width="10.140625" bestFit="1" customWidth="1"/>
    <col min="3" max="4" width="8.85546875" customWidth="1"/>
    <col min="5" max="7" width="10.140625" bestFit="1" customWidth="1"/>
    <col min="8" max="8" width="8.85546875" customWidth="1"/>
    <col min="9" max="9" width="10.140625" bestFit="1" customWidth="1"/>
    <col min="17" max="17" width="12.140625" bestFit="1" customWidth="1"/>
    <col min="19" max="19" width="16.5703125" bestFit="1" customWidth="1"/>
  </cols>
  <sheetData>
    <row r="1" spans="1:8" x14ac:dyDescent="0.2">
      <c r="B1" t="s">
        <v>32</v>
      </c>
      <c r="C1" t="s">
        <v>157</v>
      </c>
      <c r="D1" t="s">
        <v>38</v>
      </c>
      <c r="E1" t="s">
        <v>25</v>
      </c>
      <c r="F1" t="s">
        <v>128</v>
      </c>
      <c r="G1" t="s">
        <v>78</v>
      </c>
      <c r="H1" t="s">
        <v>150</v>
      </c>
    </row>
    <row r="2" spans="1:8" x14ac:dyDescent="0.2">
      <c r="A2" t="str">
        <f>_xll.RHistory($C$1:$D$1,"MID_PRICE.TIMESTAMP;MID_PRICE.CLOSE","NBROWS:500 INTERVAL:1D",,"CH:Fd TSREPEAT:NO",$B$2)</f>
        <v>Paused at 10:02:36</v>
      </c>
      <c r="B2" s="9" t="s">
        <v>140</v>
      </c>
      <c r="C2" s="9" t="s">
        <v>161</v>
      </c>
      <c r="D2" s="9" t="s">
        <v>148</v>
      </c>
      <c r="G2" s="9" t="s">
        <v>140</v>
      </c>
      <c r="H2" s="9" t="s">
        <v>149</v>
      </c>
    </row>
    <row r="3" spans="1:8" x14ac:dyDescent="0.2">
      <c r="A3" t="str">
        <f>_xll.RHistory($F$1:$F$1,"TRDPRC_1.TIMESTAMP;TRDPRC_1.CLOSE","NBROWS:500 INTERVAL:1D",,"CH:Fd TSREPEAT:NO",$E$2)</f>
        <v>Paused at 10:02:36</v>
      </c>
      <c r="B3" s="3">
        <v>45772</v>
      </c>
      <c r="C3" s="9" t="s">
        <v>141</v>
      </c>
      <c r="D3">
        <v>9.6300500000000007</v>
      </c>
      <c r="G3" s="3">
        <v>45771</v>
      </c>
      <c r="H3">
        <v>1596.75</v>
      </c>
    </row>
    <row r="4" spans="1:8" x14ac:dyDescent="0.2">
      <c r="A4" t="str">
        <f>_xll.RHistory($H$1:$H$1,"TRDPRC_1.TIMESTAMP;TRDPRC_1.CLOSE","NBROWS:500 INTERVAL:1D",,"CH:Fd TSREPEAT:NO",$G$2)</f>
        <v>Paused at 10:02:36</v>
      </c>
      <c r="B4" s="3">
        <v>45771</v>
      </c>
      <c r="D4">
        <v>9.5937999999999999</v>
      </c>
      <c r="G4" s="3">
        <v>45770</v>
      </c>
      <c r="H4">
        <v>1601.66</v>
      </c>
    </row>
    <row r="5" spans="1:8" x14ac:dyDescent="0.2">
      <c r="B5" s="3">
        <v>45770</v>
      </c>
      <c r="D5">
        <v>9.6998499999999996</v>
      </c>
      <c r="G5" s="3">
        <v>45769</v>
      </c>
      <c r="H5">
        <v>1551.11</v>
      </c>
    </row>
    <row r="6" spans="1:8" x14ac:dyDescent="0.2">
      <c r="B6" s="3">
        <v>45769</v>
      </c>
      <c r="D6">
        <v>9.5711499999999994</v>
      </c>
      <c r="G6" s="3">
        <v>45763</v>
      </c>
      <c r="H6">
        <v>1575.41</v>
      </c>
    </row>
    <row r="7" spans="1:8" x14ac:dyDescent="0.2">
      <c r="B7" s="3">
        <v>45768</v>
      </c>
      <c r="D7">
        <v>9.5243000000000002</v>
      </c>
      <c r="G7" s="3">
        <v>45762</v>
      </c>
      <c r="H7">
        <v>1588.89</v>
      </c>
    </row>
    <row r="8" spans="1:8" x14ac:dyDescent="0.2">
      <c r="B8" s="3">
        <v>45765</v>
      </c>
      <c r="D8">
        <v>9.6341999999999999</v>
      </c>
      <c r="G8" s="3">
        <v>45761</v>
      </c>
      <c r="H8">
        <v>1554.01</v>
      </c>
    </row>
    <row r="9" spans="1:8" x14ac:dyDescent="0.2">
      <c r="B9" s="3">
        <v>45764</v>
      </c>
      <c r="D9">
        <v>9.6256000000000004</v>
      </c>
      <c r="G9" s="3">
        <v>45758</v>
      </c>
      <c r="H9">
        <v>1515.58</v>
      </c>
    </row>
    <row r="10" spans="1:8" x14ac:dyDescent="0.2">
      <c r="B10" s="3">
        <v>45763</v>
      </c>
      <c r="D10">
        <v>9.7523</v>
      </c>
      <c r="G10" s="3">
        <v>45757</v>
      </c>
      <c r="H10">
        <v>1504.39</v>
      </c>
    </row>
    <row r="11" spans="1:8" x14ac:dyDescent="0.2">
      <c r="B11" s="3">
        <v>45762</v>
      </c>
      <c r="D11">
        <v>9.8710000000000004</v>
      </c>
      <c r="G11" s="3">
        <v>45756</v>
      </c>
      <c r="H11">
        <v>1438.99</v>
      </c>
    </row>
    <row r="12" spans="1:8" x14ac:dyDescent="0.2">
      <c r="B12" s="3">
        <v>45761</v>
      </c>
      <c r="D12">
        <v>9.7523999999999997</v>
      </c>
      <c r="G12" s="3">
        <v>45755</v>
      </c>
      <c r="H12">
        <v>1527.75</v>
      </c>
    </row>
    <row r="13" spans="1:8" x14ac:dyDescent="0.2">
      <c r="B13" s="3">
        <v>45758</v>
      </c>
      <c r="D13">
        <v>9.7736999999999998</v>
      </c>
      <c r="G13" s="3">
        <v>45754</v>
      </c>
      <c r="H13">
        <v>1486.5</v>
      </c>
    </row>
    <row r="14" spans="1:8" x14ac:dyDescent="0.2">
      <c r="B14" s="3">
        <v>45757</v>
      </c>
      <c r="D14">
        <v>9.8603000000000005</v>
      </c>
      <c r="G14" s="3">
        <v>45751</v>
      </c>
      <c r="H14">
        <v>1520.22</v>
      </c>
    </row>
    <row r="15" spans="1:8" x14ac:dyDescent="0.2">
      <c r="B15" s="3">
        <v>45756</v>
      </c>
      <c r="D15">
        <v>9.9806500000000007</v>
      </c>
      <c r="G15" s="3">
        <v>45750</v>
      </c>
      <c r="H15">
        <v>1620</v>
      </c>
    </row>
    <row r="16" spans="1:8" x14ac:dyDescent="0.2">
      <c r="B16" s="3">
        <v>45755</v>
      </c>
      <c r="D16">
        <v>10.022650000000001</v>
      </c>
      <c r="G16" s="3">
        <v>45749</v>
      </c>
      <c r="H16">
        <v>1659.46</v>
      </c>
    </row>
    <row r="17" spans="2:8" x14ac:dyDescent="0.2">
      <c r="B17" s="3">
        <v>45754</v>
      </c>
      <c r="D17">
        <v>10.067399999999999</v>
      </c>
      <c r="G17" s="3">
        <v>45748</v>
      </c>
      <c r="H17">
        <v>1673.25</v>
      </c>
    </row>
    <row r="18" spans="2:8" x14ac:dyDescent="0.2">
      <c r="B18" s="3">
        <v>45751</v>
      </c>
      <c r="D18">
        <v>9.9922500000000003</v>
      </c>
      <c r="G18" s="3">
        <v>45747</v>
      </c>
      <c r="H18">
        <v>1664.25</v>
      </c>
    </row>
    <row r="19" spans="2:8" x14ac:dyDescent="0.2">
      <c r="B19" s="3">
        <v>45750</v>
      </c>
      <c r="D19">
        <v>9.7751000000000001</v>
      </c>
      <c r="G19" s="3">
        <v>45744</v>
      </c>
      <c r="H19">
        <v>1704.45</v>
      </c>
    </row>
    <row r="20" spans="2:8" x14ac:dyDescent="0.2">
      <c r="B20" s="3">
        <v>45749</v>
      </c>
      <c r="D20">
        <v>9.9102999999999994</v>
      </c>
      <c r="G20" s="3">
        <v>45743</v>
      </c>
      <c r="H20">
        <v>1708</v>
      </c>
    </row>
    <row r="21" spans="2:8" x14ac:dyDescent="0.2">
      <c r="B21" s="3">
        <v>45748</v>
      </c>
      <c r="D21">
        <v>10.01885</v>
      </c>
      <c r="G21" s="3">
        <v>45742</v>
      </c>
      <c r="H21">
        <v>1723</v>
      </c>
    </row>
    <row r="22" spans="2:8" x14ac:dyDescent="0.2">
      <c r="B22" s="3">
        <v>45747</v>
      </c>
      <c r="D22">
        <v>10.041550000000001</v>
      </c>
      <c r="G22" s="3">
        <v>45741</v>
      </c>
      <c r="H22">
        <v>1737.75</v>
      </c>
    </row>
    <row r="23" spans="2:8" x14ac:dyDescent="0.2">
      <c r="B23" s="3">
        <v>45744</v>
      </c>
      <c r="D23">
        <v>10.006500000000001</v>
      </c>
      <c r="G23" s="3">
        <v>45740</v>
      </c>
      <c r="H23">
        <v>1731</v>
      </c>
    </row>
    <row r="24" spans="2:8" x14ac:dyDescent="0.2">
      <c r="B24" s="3">
        <v>45743</v>
      </c>
      <c r="D24">
        <v>10.0014</v>
      </c>
      <c r="G24" s="3">
        <v>45737</v>
      </c>
      <c r="H24">
        <v>1753.47</v>
      </c>
    </row>
    <row r="25" spans="2:8" x14ac:dyDescent="0.2">
      <c r="B25" s="3">
        <v>45742</v>
      </c>
      <c r="D25">
        <v>10.0487</v>
      </c>
      <c r="G25" s="3">
        <v>45736</v>
      </c>
      <c r="H25">
        <v>1776.42</v>
      </c>
    </row>
    <row r="26" spans="2:8" x14ac:dyDescent="0.2">
      <c r="B26" s="3">
        <v>45741</v>
      </c>
      <c r="D26">
        <v>10.0343</v>
      </c>
      <c r="G26" s="3">
        <v>45735</v>
      </c>
      <c r="H26">
        <v>1784.43</v>
      </c>
    </row>
    <row r="27" spans="2:8" x14ac:dyDescent="0.2">
      <c r="B27" s="3">
        <v>45740</v>
      </c>
      <c r="D27">
        <v>10.100149999999999</v>
      </c>
      <c r="G27" s="3">
        <v>45734</v>
      </c>
      <c r="H27">
        <v>1772.16</v>
      </c>
    </row>
    <row r="28" spans="2:8" x14ac:dyDescent="0.2">
      <c r="B28" s="3">
        <v>45737</v>
      </c>
      <c r="D28">
        <v>10.146599999999999</v>
      </c>
      <c r="G28" s="3">
        <v>45733</v>
      </c>
      <c r="H28">
        <v>1760.26</v>
      </c>
    </row>
    <row r="29" spans="2:8" x14ac:dyDescent="0.2">
      <c r="B29" s="3">
        <v>45736</v>
      </c>
      <c r="D29">
        <v>10.128</v>
      </c>
      <c r="G29" s="3">
        <v>45730</v>
      </c>
      <c r="H29">
        <v>1747.84</v>
      </c>
    </row>
    <row r="30" spans="2:8" x14ac:dyDescent="0.2">
      <c r="B30" s="3">
        <v>45735</v>
      </c>
      <c r="D30">
        <v>10.1045</v>
      </c>
      <c r="G30" s="3">
        <v>45729</v>
      </c>
      <c r="H30">
        <v>1727.25</v>
      </c>
    </row>
    <row r="31" spans="2:8" x14ac:dyDescent="0.2">
      <c r="B31" s="3">
        <v>45734</v>
      </c>
      <c r="D31">
        <v>10.0419</v>
      </c>
      <c r="G31" s="3">
        <v>45728</v>
      </c>
      <c r="H31">
        <v>1731.25</v>
      </c>
    </row>
    <row r="32" spans="2:8" x14ac:dyDescent="0.2">
      <c r="B32" s="3">
        <v>45733</v>
      </c>
      <c r="D32">
        <v>10.0883</v>
      </c>
      <c r="G32" s="3">
        <v>45727</v>
      </c>
      <c r="H32">
        <v>1720.85</v>
      </c>
    </row>
    <row r="33" spans="2:8" x14ac:dyDescent="0.2">
      <c r="B33" s="3">
        <v>45730</v>
      </c>
      <c r="D33">
        <v>10.1363</v>
      </c>
      <c r="G33" s="3">
        <v>45726</v>
      </c>
      <c r="H33">
        <v>1759.5</v>
      </c>
    </row>
    <row r="34" spans="2:8" x14ac:dyDescent="0.2">
      <c r="B34" s="3">
        <v>45729</v>
      </c>
      <c r="D34">
        <v>10.195499999999999</v>
      </c>
      <c r="G34" s="3">
        <v>45723</v>
      </c>
      <c r="H34">
        <v>1789.82</v>
      </c>
    </row>
    <row r="35" spans="2:8" x14ac:dyDescent="0.2">
      <c r="B35" s="3">
        <v>45728</v>
      </c>
      <c r="D35">
        <v>10.09135</v>
      </c>
      <c r="G35" s="3">
        <v>45722</v>
      </c>
      <c r="H35">
        <v>1800.75</v>
      </c>
    </row>
    <row r="36" spans="2:8" x14ac:dyDescent="0.2">
      <c r="B36" s="3">
        <v>45727</v>
      </c>
      <c r="D36">
        <v>10.014099999999999</v>
      </c>
      <c r="G36" s="3">
        <v>45721</v>
      </c>
      <c r="H36">
        <v>1811.49</v>
      </c>
    </row>
    <row r="37" spans="2:8" x14ac:dyDescent="0.2">
      <c r="B37" s="3">
        <v>45726</v>
      </c>
      <c r="D37">
        <v>10.12445</v>
      </c>
      <c r="G37" s="3">
        <v>45720</v>
      </c>
      <c r="H37">
        <v>1788</v>
      </c>
    </row>
    <row r="38" spans="2:8" x14ac:dyDescent="0.2">
      <c r="B38" s="3">
        <v>45723</v>
      </c>
      <c r="D38">
        <v>10.0863</v>
      </c>
      <c r="G38" s="3">
        <v>45719</v>
      </c>
      <c r="H38">
        <v>1827.38</v>
      </c>
    </row>
    <row r="39" spans="2:8" x14ac:dyDescent="0.2">
      <c r="B39" s="3">
        <v>45722</v>
      </c>
      <c r="D39">
        <v>10.17985</v>
      </c>
      <c r="G39" s="3">
        <v>45716</v>
      </c>
      <c r="H39">
        <v>1829.89</v>
      </c>
    </row>
    <row r="40" spans="2:8" x14ac:dyDescent="0.2">
      <c r="B40" s="3">
        <v>45721</v>
      </c>
      <c r="D40">
        <v>10.20345</v>
      </c>
      <c r="G40" s="3">
        <v>45715</v>
      </c>
      <c r="H40">
        <v>1829.93</v>
      </c>
    </row>
    <row r="41" spans="2:8" x14ac:dyDescent="0.2">
      <c r="B41" s="3">
        <v>45720</v>
      </c>
      <c r="D41">
        <v>10.4198</v>
      </c>
      <c r="G41" s="3">
        <v>45714</v>
      </c>
      <c r="H41">
        <v>1849.5</v>
      </c>
    </row>
    <row r="42" spans="2:8" x14ac:dyDescent="0.2">
      <c r="B42" s="3">
        <v>45719</v>
      </c>
      <c r="D42">
        <v>10.50515</v>
      </c>
      <c r="G42" s="3">
        <v>45713</v>
      </c>
      <c r="H42">
        <v>1840.45</v>
      </c>
    </row>
    <row r="43" spans="2:8" x14ac:dyDescent="0.2">
      <c r="B43" s="3">
        <v>45716</v>
      </c>
      <c r="D43">
        <v>10.77065</v>
      </c>
      <c r="G43" s="3">
        <v>45712</v>
      </c>
      <c r="H43">
        <v>1817.25</v>
      </c>
    </row>
    <row r="44" spans="2:8" x14ac:dyDescent="0.2">
      <c r="B44" s="3">
        <v>45715</v>
      </c>
      <c r="D44">
        <v>10.755000000000001</v>
      </c>
      <c r="G44" s="3">
        <v>45709</v>
      </c>
      <c r="H44">
        <v>1828.08</v>
      </c>
    </row>
    <row r="45" spans="2:8" x14ac:dyDescent="0.2">
      <c r="B45" s="3">
        <v>45714</v>
      </c>
      <c r="D45">
        <v>10.64335</v>
      </c>
      <c r="G45" s="3">
        <v>45708</v>
      </c>
      <c r="H45">
        <v>1814.06</v>
      </c>
    </row>
    <row r="46" spans="2:8" x14ac:dyDescent="0.2">
      <c r="B46" s="3">
        <v>45713</v>
      </c>
      <c r="D46">
        <v>10.602</v>
      </c>
      <c r="G46" s="3">
        <v>45707</v>
      </c>
      <c r="H46">
        <v>1814.43</v>
      </c>
    </row>
    <row r="47" spans="2:8" x14ac:dyDescent="0.2">
      <c r="B47" s="3">
        <v>45712</v>
      </c>
      <c r="D47">
        <v>10.66465</v>
      </c>
      <c r="G47" s="3">
        <v>45706</v>
      </c>
      <c r="H47">
        <v>1815.75</v>
      </c>
    </row>
    <row r="48" spans="2:8" x14ac:dyDescent="0.2">
      <c r="B48" s="3">
        <v>45709</v>
      </c>
      <c r="D48">
        <v>10.652200000000001</v>
      </c>
      <c r="G48" s="3">
        <v>45705</v>
      </c>
      <c r="H48">
        <v>1794.75</v>
      </c>
    </row>
    <row r="49" spans="2:8" x14ac:dyDescent="0.2">
      <c r="B49" s="3">
        <v>45708</v>
      </c>
      <c r="D49">
        <v>10.63015</v>
      </c>
      <c r="G49" s="3">
        <v>45702</v>
      </c>
      <c r="H49">
        <v>1789.23</v>
      </c>
    </row>
    <row r="50" spans="2:8" x14ac:dyDescent="0.2">
      <c r="B50" s="3">
        <v>45707</v>
      </c>
      <c r="D50">
        <v>10.72555</v>
      </c>
      <c r="G50" s="3">
        <v>45701</v>
      </c>
      <c r="H50">
        <v>1787.75</v>
      </c>
    </row>
    <row r="51" spans="2:8" x14ac:dyDescent="0.2">
      <c r="B51" s="3">
        <v>45706</v>
      </c>
      <c r="D51">
        <v>10.721500000000001</v>
      </c>
      <c r="G51" s="3">
        <v>45700</v>
      </c>
      <c r="H51">
        <v>1784.22</v>
      </c>
    </row>
    <row r="52" spans="2:8" x14ac:dyDescent="0.2">
      <c r="B52" s="3">
        <v>45705</v>
      </c>
      <c r="D52">
        <v>10.69595</v>
      </c>
      <c r="G52" s="3">
        <v>45699</v>
      </c>
      <c r="H52">
        <v>1796.33</v>
      </c>
    </row>
    <row r="53" spans="2:8" x14ac:dyDescent="0.2">
      <c r="B53" s="3">
        <v>45702</v>
      </c>
      <c r="D53">
        <v>10.693099999999999</v>
      </c>
      <c r="G53" s="3">
        <v>45698</v>
      </c>
      <c r="H53">
        <v>1789.5</v>
      </c>
    </row>
    <row r="54" spans="2:8" x14ac:dyDescent="0.2">
      <c r="B54" s="3">
        <v>45701</v>
      </c>
      <c r="D54">
        <v>10.73035</v>
      </c>
      <c r="G54" s="3">
        <v>45695</v>
      </c>
      <c r="H54">
        <v>1794.25</v>
      </c>
    </row>
    <row r="55" spans="2:8" x14ac:dyDescent="0.2">
      <c r="B55" s="3">
        <v>45700</v>
      </c>
      <c r="D55">
        <v>10.888199999999999</v>
      </c>
      <c r="G55" s="3">
        <v>45694</v>
      </c>
      <c r="H55">
        <v>1788.5</v>
      </c>
    </row>
    <row r="56" spans="2:8" x14ac:dyDescent="0.2">
      <c r="B56" s="3">
        <v>45699</v>
      </c>
      <c r="D56">
        <v>10.8598</v>
      </c>
      <c r="G56" s="3">
        <v>45693</v>
      </c>
      <c r="H56">
        <v>1770.75</v>
      </c>
    </row>
    <row r="57" spans="2:8" x14ac:dyDescent="0.2">
      <c r="B57" s="3">
        <v>45698</v>
      </c>
      <c r="D57">
        <v>10.92435</v>
      </c>
      <c r="G57" s="3">
        <v>45692</v>
      </c>
      <c r="H57">
        <v>1747.5</v>
      </c>
    </row>
    <row r="58" spans="2:8" x14ac:dyDescent="0.2">
      <c r="B58" s="3">
        <v>45695</v>
      </c>
      <c r="D58">
        <v>10.9411</v>
      </c>
      <c r="G58" s="3">
        <v>45691</v>
      </c>
      <c r="H58">
        <v>1745.25</v>
      </c>
    </row>
    <row r="59" spans="2:8" x14ac:dyDescent="0.2">
      <c r="B59" s="3">
        <v>45694</v>
      </c>
      <c r="D59">
        <v>10.900650000000001</v>
      </c>
      <c r="G59" s="3">
        <v>45688</v>
      </c>
      <c r="H59">
        <v>1777.5</v>
      </c>
    </row>
    <row r="60" spans="2:8" x14ac:dyDescent="0.2">
      <c r="B60" s="3">
        <v>45693</v>
      </c>
      <c r="D60">
        <v>10.90855</v>
      </c>
      <c r="G60" s="3">
        <v>45687</v>
      </c>
      <c r="H60">
        <v>1787.75</v>
      </c>
    </row>
    <row r="61" spans="2:8" x14ac:dyDescent="0.2">
      <c r="B61" s="3">
        <v>45692</v>
      </c>
      <c r="D61">
        <v>10.970599999999999</v>
      </c>
      <c r="G61" s="3">
        <v>45686</v>
      </c>
      <c r="H61">
        <v>1780.25</v>
      </c>
    </row>
    <row r="62" spans="2:8" x14ac:dyDescent="0.2">
      <c r="B62" s="3">
        <v>45691</v>
      </c>
      <c r="D62">
        <v>11.066050000000001</v>
      </c>
      <c r="G62" s="3">
        <v>45685</v>
      </c>
      <c r="H62">
        <v>1771</v>
      </c>
    </row>
    <row r="63" spans="2:8" x14ac:dyDescent="0.2">
      <c r="B63" s="3">
        <v>45688</v>
      </c>
      <c r="D63">
        <v>11.09675</v>
      </c>
      <c r="G63" s="3">
        <v>45684</v>
      </c>
      <c r="H63">
        <v>1775.25</v>
      </c>
    </row>
    <row r="64" spans="2:8" x14ac:dyDescent="0.2">
      <c r="B64" s="3">
        <v>45687</v>
      </c>
      <c r="D64">
        <v>11.055999999999999</v>
      </c>
      <c r="G64" s="3">
        <v>45681</v>
      </c>
      <c r="H64">
        <v>1770.75</v>
      </c>
    </row>
    <row r="65" spans="2:8" x14ac:dyDescent="0.2">
      <c r="B65" s="3">
        <v>45686</v>
      </c>
      <c r="D65">
        <v>11.0008</v>
      </c>
      <c r="G65" s="3">
        <v>45680</v>
      </c>
      <c r="H65">
        <v>1757.25</v>
      </c>
    </row>
    <row r="66" spans="2:8" x14ac:dyDescent="0.2">
      <c r="B66" s="3">
        <v>45685</v>
      </c>
      <c r="D66">
        <v>10.9985</v>
      </c>
      <c r="G66" s="3">
        <v>45679</v>
      </c>
      <c r="H66">
        <v>1761.75</v>
      </c>
    </row>
    <row r="67" spans="2:8" x14ac:dyDescent="0.2">
      <c r="B67" s="3">
        <v>45684</v>
      </c>
      <c r="D67">
        <v>10.9323</v>
      </c>
      <c r="G67" s="3">
        <v>45678</v>
      </c>
      <c r="H67">
        <v>1758</v>
      </c>
    </row>
    <row r="68" spans="2:8" x14ac:dyDescent="0.2">
      <c r="B68" s="3">
        <v>45681</v>
      </c>
      <c r="D68">
        <v>10.92615</v>
      </c>
      <c r="G68" s="3">
        <v>45677</v>
      </c>
      <c r="H68">
        <v>1744</v>
      </c>
    </row>
    <row r="69" spans="2:8" x14ac:dyDescent="0.2">
      <c r="B69" s="3">
        <v>45680</v>
      </c>
      <c r="D69">
        <v>11.0131</v>
      </c>
      <c r="G69" s="3">
        <v>45674</v>
      </c>
      <c r="H69">
        <v>1741.48</v>
      </c>
    </row>
    <row r="70" spans="2:8" x14ac:dyDescent="0.2">
      <c r="B70" s="3">
        <v>45679</v>
      </c>
      <c r="D70">
        <v>11.006349999999999</v>
      </c>
      <c r="G70" s="3">
        <v>45673</v>
      </c>
      <c r="H70">
        <v>1748.88</v>
      </c>
    </row>
    <row r="71" spans="2:8" x14ac:dyDescent="0.2">
      <c r="B71" s="3">
        <v>45678</v>
      </c>
      <c r="D71">
        <v>10.980449999999999</v>
      </c>
      <c r="G71" s="3">
        <v>45672</v>
      </c>
      <c r="H71">
        <v>1758.37</v>
      </c>
    </row>
    <row r="72" spans="2:8" x14ac:dyDescent="0.2">
      <c r="B72" s="3">
        <v>45677</v>
      </c>
      <c r="D72">
        <v>11.0213</v>
      </c>
      <c r="G72" s="3">
        <v>45671</v>
      </c>
      <c r="H72">
        <v>1741.5</v>
      </c>
    </row>
    <row r="73" spans="2:8" x14ac:dyDescent="0.2">
      <c r="B73" s="3">
        <v>45674</v>
      </c>
      <c r="D73">
        <v>11.19575</v>
      </c>
      <c r="G73" s="3">
        <v>45670</v>
      </c>
      <c r="H73">
        <v>1760.41</v>
      </c>
    </row>
    <row r="74" spans="2:8" x14ac:dyDescent="0.2">
      <c r="B74" s="3">
        <v>45673</v>
      </c>
      <c r="D74">
        <v>11.153600000000001</v>
      </c>
      <c r="G74" s="3">
        <v>45667</v>
      </c>
      <c r="H74">
        <v>1779.79</v>
      </c>
    </row>
    <row r="75" spans="2:8" x14ac:dyDescent="0.2">
      <c r="B75" s="3">
        <v>45672</v>
      </c>
      <c r="D75">
        <v>11.1591</v>
      </c>
      <c r="G75" s="3">
        <v>45666</v>
      </c>
      <c r="H75">
        <v>1783.48</v>
      </c>
    </row>
    <row r="76" spans="2:8" x14ac:dyDescent="0.2">
      <c r="B76" s="3">
        <v>45671</v>
      </c>
      <c r="D76">
        <v>11.1691</v>
      </c>
      <c r="G76" s="3">
        <v>45665</v>
      </c>
      <c r="H76">
        <v>1782.23</v>
      </c>
    </row>
    <row r="77" spans="2:8" x14ac:dyDescent="0.2">
      <c r="B77" s="3">
        <v>45670</v>
      </c>
      <c r="D77">
        <v>11.24775</v>
      </c>
      <c r="G77" s="3">
        <v>45664</v>
      </c>
      <c r="H77">
        <v>1793.17</v>
      </c>
    </row>
    <row r="78" spans="2:8" x14ac:dyDescent="0.2">
      <c r="B78" s="3">
        <v>45667</v>
      </c>
      <c r="D78">
        <v>11.223000000000001</v>
      </c>
      <c r="G78" s="3">
        <v>45663</v>
      </c>
      <c r="H78">
        <v>1797.21</v>
      </c>
    </row>
    <row r="79" spans="2:8" x14ac:dyDescent="0.2">
      <c r="B79" s="3">
        <v>45666</v>
      </c>
      <c r="D79">
        <v>11.1553</v>
      </c>
      <c r="G79" s="3">
        <v>45660</v>
      </c>
      <c r="H79">
        <v>1808.52</v>
      </c>
    </row>
    <row r="80" spans="2:8" x14ac:dyDescent="0.2">
      <c r="B80" s="3">
        <v>45665</v>
      </c>
      <c r="D80">
        <v>11.150550000000001</v>
      </c>
      <c r="G80" s="3">
        <v>45659</v>
      </c>
      <c r="H80">
        <v>1809.79</v>
      </c>
    </row>
    <row r="81" spans="2:8" x14ac:dyDescent="0.2">
      <c r="B81" s="3">
        <v>45664</v>
      </c>
      <c r="D81">
        <v>11.120799999999999</v>
      </c>
      <c r="G81" s="3">
        <v>45656</v>
      </c>
      <c r="H81">
        <v>1779.88</v>
      </c>
    </row>
    <row r="82" spans="2:8" x14ac:dyDescent="0.2">
      <c r="B82" s="3">
        <v>45663</v>
      </c>
      <c r="D82">
        <v>11.04705</v>
      </c>
      <c r="G82" s="3">
        <v>45653</v>
      </c>
      <c r="H82">
        <v>1800.56</v>
      </c>
    </row>
    <row r="83" spans="2:8" x14ac:dyDescent="0.2">
      <c r="B83" s="3">
        <v>45660</v>
      </c>
      <c r="D83">
        <v>11.1114</v>
      </c>
      <c r="G83" s="3">
        <v>45649</v>
      </c>
      <c r="H83">
        <v>1772.7</v>
      </c>
    </row>
    <row r="84" spans="2:8" x14ac:dyDescent="0.2">
      <c r="B84" s="3">
        <v>45659</v>
      </c>
      <c r="D84">
        <v>11.162850000000001</v>
      </c>
      <c r="G84" s="3">
        <v>45646</v>
      </c>
      <c r="H84">
        <v>1736.08</v>
      </c>
    </row>
    <row r="85" spans="2:8" x14ac:dyDescent="0.2">
      <c r="B85" s="3">
        <v>45658</v>
      </c>
      <c r="D85">
        <v>11.0649</v>
      </c>
      <c r="G85" s="3">
        <v>45645</v>
      </c>
      <c r="H85">
        <v>1792.11</v>
      </c>
    </row>
    <row r="86" spans="2:8" x14ac:dyDescent="0.2">
      <c r="B86" s="3">
        <v>45657</v>
      </c>
      <c r="D86">
        <v>11.06915</v>
      </c>
      <c r="G86" s="3">
        <v>45644</v>
      </c>
      <c r="H86">
        <v>1821.3</v>
      </c>
    </row>
    <row r="87" spans="2:8" x14ac:dyDescent="0.2">
      <c r="B87" s="3">
        <v>45656</v>
      </c>
      <c r="D87">
        <v>11.022349999999999</v>
      </c>
      <c r="G87" s="3">
        <v>45643</v>
      </c>
      <c r="H87">
        <v>1814.29</v>
      </c>
    </row>
    <row r="88" spans="2:8" x14ac:dyDescent="0.2">
      <c r="B88" s="3">
        <v>45653</v>
      </c>
      <c r="D88">
        <v>11.004</v>
      </c>
      <c r="G88" s="3">
        <v>45642</v>
      </c>
      <c r="H88">
        <v>1841.15</v>
      </c>
    </row>
    <row r="89" spans="2:8" x14ac:dyDescent="0.2">
      <c r="B89" s="3">
        <v>45652</v>
      </c>
      <c r="D89">
        <v>11.0473</v>
      </c>
      <c r="G89" s="3">
        <v>45639</v>
      </c>
      <c r="H89">
        <v>1836.01</v>
      </c>
    </row>
    <row r="90" spans="2:8" x14ac:dyDescent="0.2">
      <c r="B90" s="3">
        <v>45651</v>
      </c>
      <c r="D90">
        <v>11.082800000000001</v>
      </c>
      <c r="G90" s="3">
        <v>45638</v>
      </c>
      <c r="H90">
        <v>1849.48</v>
      </c>
    </row>
    <row r="91" spans="2:8" x14ac:dyDescent="0.2">
      <c r="B91" s="3">
        <v>45650</v>
      </c>
      <c r="D91">
        <v>11.097300000000001</v>
      </c>
      <c r="G91" s="3">
        <v>45637</v>
      </c>
      <c r="H91">
        <v>1859.93</v>
      </c>
    </row>
    <row r="92" spans="2:8" x14ac:dyDescent="0.2">
      <c r="B92" s="3">
        <v>45649</v>
      </c>
      <c r="D92">
        <v>11.04485</v>
      </c>
      <c r="G92" s="3">
        <v>45636</v>
      </c>
      <c r="H92">
        <v>1861.65</v>
      </c>
    </row>
    <row r="93" spans="2:8" x14ac:dyDescent="0.2">
      <c r="B93" s="3">
        <v>45646</v>
      </c>
      <c r="D93">
        <v>11.034050000000001</v>
      </c>
      <c r="G93" s="3">
        <v>45635</v>
      </c>
      <c r="H93">
        <v>1864</v>
      </c>
    </row>
    <row r="94" spans="2:8" x14ac:dyDescent="0.2">
      <c r="B94" s="3">
        <v>45645</v>
      </c>
      <c r="D94">
        <v>11.03035</v>
      </c>
      <c r="G94" s="3">
        <v>45632</v>
      </c>
      <c r="H94">
        <v>1857</v>
      </c>
    </row>
    <row r="95" spans="2:8" x14ac:dyDescent="0.2">
      <c r="B95" s="3">
        <v>45644</v>
      </c>
      <c r="D95">
        <v>11.12965</v>
      </c>
      <c r="G95" s="3">
        <v>45631</v>
      </c>
      <c r="H95">
        <v>1854.81</v>
      </c>
    </row>
    <row r="96" spans="2:8" x14ac:dyDescent="0.2">
      <c r="B96" s="3">
        <v>45643</v>
      </c>
      <c r="D96">
        <v>10.96175</v>
      </c>
      <c r="G96" s="3">
        <v>45630</v>
      </c>
      <c r="H96">
        <v>1852.81</v>
      </c>
    </row>
    <row r="97" spans="2:8" x14ac:dyDescent="0.2">
      <c r="B97" s="3">
        <v>45642</v>
      </c>
      <c r="D97">
        <v>10.885400000000001</v>
      </c>
      <c r="G97" s="3">
        <v>45629</v>
      </c>
      <c r="H97">
        <v>1871</v>
      </c>
    </row>
    <row r="98" spans="2:8" x14ac:dyDescent="0.2">
      <c r="B98" s="3">
        <v>45639</v>
      </c>
      <c r="D98">
        <v>10.982799999999999</v>
      </c>
      <c r="G98" s="3">
        <v>45628</v>
      </c>
      <c r="H98">
        <v>1874.4</v>
      </c>
    </row>
    <row r="99" spans="2:8" x14ac:dyDescent="0.2">
      <c r="B99" s="3">
        <v>45638</v>
      </c>
      <c r="D99">
        <v>11.0182</v>
      </c>
      <c r="G99" s="3">
        <v>45625</v>
      </c>
      <c r="H99">
        <v>1852.89</v>
      </c>
    </row>
    <row r="100" spans="2:8" x14ac:dyDescent="0.2">
      <c r="B100" s="3">
        <v>45637</v>
      </c>
      <c r="D100">
        <v>10.9756</v>
      </c>
      <c r="G100" s="3">
        <v>45624</v>
      </c>
      <c r="H100">
        <v>1841.37</v>
      </c>
    </row>
    <row r="101" spans="2:8" x14ac:dyDescent="0.2">
      <c r="B101" s="3">
        <v>45636</v>
      </c>
      <c r="D101">
        <v>10.969049999999999</v>
      </c>
      <c r="G101" s="3">
        <v>45623</v>
      </c>
      <c r="H101">
        <v>1829.27</v>
      </c>
    </row>
    <row r="102" spans="2:8" x14ac:dyDescent="0.2">
      <c r="B102" s="3">
        <v>45635</v>
      </c>
      <c r="D102">
        <v>10.91455</v>
      </c>
      <c r="G102" s="3">
        <v>45622</v>
      </c>
      <c r="H102">
        <v>1827.24</v>
      </c>
    </row>
    <row r="103" spans="2:8" x14ac:dyDescent="0.2">
      <c r="B103" s="3">
        <v>45632</v>
      </c>
      <c r="D103">
        <v>10.936500000000001</v>
      </c>
      <c r="G103" s="3">
        <v>45621</v>
      </c>
      <c r="H103">
        <v>1845.06</v>
      </c>
    </row>
    <row r="104" spans="2:8" x14ac:dyDescent="0.2">
      <c r="B104" s="3">
        <v>45631</v>
      </c>
      <c r="D104">
        <v>10.852499999999999</v>
      </c>
      <c r="G104" s="3">
        <v>45618</v>
      </c>
      <c r="H104">
        <v>1844.82</v>
      </c>
    </row>
    <row r="105" spans="2:8" x14ac:dyDescent="0.2">
      <c r="B105" s="3">
        <v>45630</v>
      </c>
      <c r="D105">
        <v>10.927300000000001</v>
      </c>
      <c r="G105" s="3">
        <v>45617</v>
      </c>
      <c r="H105">
        <v>1816.75</v>
      </c>
    </row>
    <row r="106" spans="2:8" x14ac:dyDescent="0.2">
      <c r="B106" s="3">
        <v>45629</v>
      </c>
      <c r="D106">
        <v>11.00915</v>
      </c>
      <c r="G106" s="3">
        <v>45616</v>
      </c>
      <c r="H106">
        <v>1829.15</v>
      </c>
    </row>
    <row r="107" spans="2:8" x14ac:dyDescent="0.2">
      <c r="B107" s="3">
        <v>45628</v>
      </c>
      <c r="D107">
        <v>10.99395</v>
      </c>
      <c r="G107" s="3">
        <v>45615</v>
      </c>
      <c r="H107">
        <v>1809.61</v>
      </c>
    </row>
    <row r="108" spans="2:8" x14ac:dyDescent="0.2">
      <c r="B108" s="3">
        <v>45625</v>
      </c>
      <c r="D108">
        <v>10.9046</v>
      </c>
      <c r="G108" s="3">
        <v>45614</v>
      </c>
      <c r="H108">
        <v>1810.49</v>
      </c>
    </row>
    <row r="109" spans="2:8" x14ac:dyDescent="0.2">
      <c r="B109" s="3">
        <v>45624</v>
      </c>
      <c r="D109">
        <v>10.922700000000001</v>
      </c>
      <c r="G109" s="3">
        <v>45611</v>
      </c>
      <c r="H109">
        <v>1823.37</v>
      </c>
    </row>
    <row r="110" spans="2:8" x14ac:dyDescent="0.2">
      <c r="B110" s="3">
        <v>45623</v>
      </c>
      <c r="D110">
        <v>10.914849999999999</v>
      </c>
      <c r="G110" s="3">
        <v>45610</v>
      </c>
      <c r="H110">
        <v>1840.64</v>
      </c>
    </row>
    <row r="111" spans="2:8" x14ac:dyDescent="0.2">
      <c r="B111" s="3">
        <v>45622</v>
      </c>
      <c r="D111">
        <v>10.99235</v>
      </c>
      <c r="G111" s="3">
        <v>45609</v>
      </c>
      <c r="H111">
        <v>1826.86</v>
      </c>
    </row>
    <row r="112" spans="2:8" x14ac:dyDescent="0.2">
      <c r="B112" s="3">
        <v>45621</v>
      </c>
      <c r="D112">
        <v>10.984999999999999</v>
      </c>
      <c r="G112" s="3">
        <v>45608</v>
      </c>
      <c r="H112">
        <v>1838.63</v>
      </c>
    </row>
    <row r="113" spans="2:8" x14ac:dyDescent="0.2">
      <c r="B113" s="3">
        <v>45618</v>
      </c>
      <c r="D113">
        <v>11.0375</v>
      </c>
      <c r="G113" s="3">
        <v>45607</v>
      </c>
      <c r="H113">
        <v>1881.99</v>
      </c>
    </row>
    <row r="114" spans="2:8" x14ac:dyDescent="0.2">
      <c r="B114" s="3">
        <v>45617</v>
      </c>
      <c r="D114">
        <v>11.060700000000001</v>
      </c>
      <c r="G114" s="3">
        <v>45604</v>
      </c>
      <c r="H114">
        <v>1859.79</v>
      </c>
    </row>
    <row r="115" spans="2:8" x14ac:dyDescent="0.2">
      <c r="B115" s="3">
        <v>45616</v>
      </c>
      <c r="D115">
        <v>11.02675</v>
      </c>
      <c r="G115" s="3">
        <v>45603</v>
      </c>
      <c r="H115">
        <v>1855.22</v>
      </c>
    </row>
    <row r="116" spans="2:8" x14ac:dyDescent="0.2">
      <c r="B116" s="3">
        <v>45615</v>
      </c>
      <c r="D116">
        <v>10.921150000000001</v>
      </c>
      <c r="G116" s="3">
        <v>45602</v>
      </c>
      <c r="H116">
        <v>1845.17</v>
      </c>
    </row>
    <row r="117" spans="2:8" x14ac:dyDescent="0.2">
      <c r="B117" s="3">
        <v>45614</v>
      </c>
      <c r="D117">
        <v>10.907</v>
      </c>
      <c r="G117" s="3">
        <v>45601</v>
      </c>
      <c r="H117">
        <v>1885.55</v>
      </c>
    </row>
    <row r="118" spans="2:8" x14ac:dyDescent="0.2">
      <c r="B118" s="3">
        <v>45611</v>
      </c>
      <c r="D118">
        <v>10.98085</v>
      </c>
      <c r="G118" s="3">
        <v>45600</v>
      </c>
      <c r="H118">
        <v>1914.79</v>
      </c>
    </row>
    <row r="119" spans="2:8" x14ac:dyDescent="0.2">
      <c r="B119" s="3">
        <v>45610</v>
      </c>
      <c r="D119">
        <v>11.000400000000001</v>
      </c>
      <c r="G119" s="3">
        <v>45597</v>
      </c>
      <c r="H119">
        <v>1913.89</v>
      </c>
    </row>
    <row r="120" spans="2:8" x14ac:dyDescent="0.2">
      <c r="B120" s="3">
        <v>45609</v>
      </c>
      <c r="D120">
        <v>10.986549999999999</v>
      </c>
      <c r="G120" s="3">
        <v>45596</v>
      </c>
      <c r="H120">
        <v>1878.59</v>
      </c>
    </row>
    <row r="121" spans="2:8" x14ac:dyDescent="0.2">
      <c r="B121" s="3">
        <v>45608</v>
      </c>
      <c r="D121">
        <v>10.8978</v>
      </c>
      <c r="G121" s="3">
        <v>45595</v>
      </c>
      <c r="H121">
        <v>1885.96</v>
      </c>
    </row>
    <row r="122" spans="2:8" x14ac:dyDescent="0.2">
      <c r="B122" s="3">
        <v>45607</v>
      </c>
      <c r="D122">
        <v>10.844099999999999</v>
      </c>
      <c r="G122" s="3">
        <v>45594</v>
      </c>
      <c r="H122">
        <v>1909.82</v>
      </c>
    </row>
    <row r="123" spans="2:8" x14ac:dyDescent="0.2">
      <c r="B123" s="3">
        <v>45604</v>
      </c>
      <c r="D123">
        <v>10.8185</v>
      </c>
      <c r="G123" s="3">
        <v>45593</v>
      </c>
      <c r="H123">
        <v>1924.85</v>
      </c>
    </row>
    <row r="124" spans="2:8" x14ac:dyDescent="0.2">
      <c r="B124" s="3">
        <v>45603</v>
      </c>
      <c r="D124">
        <v>10.68295</v>
      </c>
      <c r="G124" s="3">
        <v>45590</v>
      </c>
      <c r="H124">
        <v>1922.73</v>
      </c>
    </row>
    <row r="125" spans="2:8" x14ac:dyDescent="0.2">
      <c r="B125" s="3">
        <v>45602</v>
      </c>
      <c r="D125">
        <v>10.860799999999999</v>
      </c>
      <c r="G125" s="3">
        <v>45589</v>
      </c>
      <c r="H125">
        <v>1926.67</v>
      </c>
    </row>
    <row r="126" spans="2:8" x14ac:dyDescent="0.2">
      <c r="B126" s="3">
        <v>45601</v>
      </c>
      <c r="D126">
        <v>10.702249999999999</v>
      </c>
      <c r="G126" s="3">
        <v>45588</v>
      </c>
      <c r="H126">
        <v>1927</v>
      </c>
    </row>
    <row r="127" spans="2:8" x14ac:dyDescent="0.2">
      <c r="B127" s="3">
        <v>45600</v>
      </c>
      <c r="D127">
        <v>10.72315</v>
      </c>
      <c r="G127" s="3">
        <v>45587</v>
      </c>
      <c r="H127">
        <v>1928.82</v>
      </c>
    </row>
    <row r="128" spans="2:8" x14ac:dyDescent="0.2">
      <c r="B128" s="3">
        <v>45597</v>
      </c>
      <c r="D128">
        <v>10.74775</v>
      </c>
      <c r="G128" s="3">
        <v>45586</v>
      </c>
      <c r="H128">
        <v>1937.74</v>
      </c>
    </row>
    <row r="129" spans="2:8" x14ac:dyDescent="0.2">
      <c r="B129" s="3">
        <v>45596</v>
      </c>
      <c r="D129">
        <v>10.6464</v>
      </c>
      <c r="G129" s="3">
        <v>45583</v>
      </c>
      <c r="H129">
        <v>1937.35</v>
      </c>
    </row>
    <row r="130" spans="2:8" x14ac:dyDescent="0.2">
      <c r="B130" s="3">
        <v>45595</v>
      </c>
      <c r="D130">
        <v>10.676349999999999</v>
      </c>
      <c r="G130" s="3">
        <v>45582</v>
      </c>
      <c r="H130">
        <v>1940.41</v>
      </c>
    </row>
    <row r="131" spans="2:8" x14ac:dyDescent="0.2">
      <c r="B131" s="3">
        <v>45594</v>
      </c>
      <c r="D131">
        <v>10.638249999999999</v>
      </c>
      <c r="G131" s="3">
        <v>45581</v>
      </c>
      <c r="H131">
        <v>1925.06</v>
      </c>
    </row>
    <row r="132" spans="2:8" x14ac:dyDescent="0.2">
      <c r="B132" s="3">
        <v>45593</v>
      </c>
      <c r="D132">
        <v>10.649900000000001</v>
      </c>
      <c r="G132" s="3">
        <v>45580</v>
      </c>
      <c r="H132">
        <v>1931.4</v>
      </c>
    </row>
    <row r="133" spans="2:8" x14ac:dyDescent="0.2">
      <c r="B133" s="3">
        <v>45590</v>
      </c>
      <c r="D133">
        <v>10.6228</v>
      </c>
      <c r="G133" s="3">
        <v>45579</v>
      </c>
      <c r="H133">
        <v>1945.47</v>
      </c>
    </row>
    <row r="134" spans="2:8" x14ac:dyDescent="0.2">
      <c r="B134" s="3">
        <v>45589</v>
      </c>
      <c r="D134">
        <v>10.556649999999999</v>
      </c>
      <c r="G134" s="3">
        <v>45576</v>
      </c>
      <c r="H134">
        <v>1943.84</v>
      </c>
    </row>
    <row r="135" spans="2:8" x14ac:dyDescent="0.2">
      <c r="B135" s="3">
        <v>45588</v>
      </c>
      <c r="D135">
        <v>10.594900000000001</v>
      </c>
      <c r="G135" s="3">
        <v>45575</v>
      </c>
      <c r="H135">
        <v>1936.2</v>
      </c>
    </row>
    <row r="136" spans="2:8" x14ac:dyDescent="0.2">
      <c r="B136" s="3">
        <v>45587</v>
      </c>
      <c r="D136">
        <v>10.545349999999999</v>
      </c>
      <c r="G136" s="3">
        <v>45574</v>
      </c>
      <c r="H136">
        <v>1949</v>
      </c>
    </row>
    <row r="137" spans="2:8" x14ac:dyDescent="0.2">
      <c r="B137" s="3">
        <v>45586</v>
      </c>
      <c r="D137">
        <v>10.56265</v>
      </c>
      <c r="G137" s="3">
        <v>45573</v>
      </c>
      <c r="H137">
        <v>1943.65</v>
      </c>
    </row>
    <row r="138" spans="2:8" x14ac:dyDescent="0.2">
      <c r="B138" s="3">
        <v>45583</v>
      </c>
      <c r="D138">
        <v>10.5207</v>
      </c>
      <c r="G138" s="3">
        <v>45572</v>
      </c>
      <c r="H138">
        <v>1940.5</v>
      </c>
    </row>
    <row r="139" spans="2:8" x14ac:dyDescent="0.2">
      <c r="B139" s="3">
        <v>45582</v>
      </c>
      <c r="D139">
        <v>10.5403</v>
      </c>
      <c r="G139" s="3">
        <v>45569</v>
      </c>
      <c r="H139">
        <v>1918.49</v>
      </c>
    </row>
    <row r="140" spans="2:8" x14ac:dyDescent="0.2">
      <c r="B140" s="3">
        <v>45581</v>
      </c>
      <c r="D140">
        <v>10.50455</v>
      </c>
      <c r="G140" s="3">
        <v>45568</v>
      </c>
      <c r="H140">
        <v>1913.61</v>
      </c>
    </row>
    <row r="141" spans="2:8" x14ac:dyDescent="0.2">
      <c r="B141" s="3">
        <v>45580</v>
      </c>
      <c r="D141">
        <v>10.4133</v>
      </c>
      <c r="G141" s="3">
        <v>45567</v>
      </c>
      <c r="H141">
        <v>1928.05</v>
      </c>
    </row>
    <row r="142" spans="2:8" x14ac:dyDescent="0.2">
      <c r="B142" s="3">
        <v>45579</v>
      </c>
      <c r="D142">
        <v>10.4262</v>
      </c>
      <c r="G142" s="3">
        <v>45566</v>
      </c>
      <c r="H142">
        <v>1927.83</v>
      </c>
    </row>
    <row r="143" spans="2:8" x14ac:dyDescent="0.2">
      <c r="B143" s="3">
        <v>45576</v>
      </c>
      <c r="D143">
        <v>10.37105</v>
      </c>
      <c r="G143" s="3">
        <v>45565</v>
      </c>
      <c r="H143">
        <v>1952.3</v>
      </c>
    </row>
    <row r="144" spans="2:8" x14ac:dyDescent="0.2">
      <c r="B144" s="3">
        <v>45575</v>
      </c>
      <c r="D144">
        <v>10.3902</v>
      </c>
      <c r="G144" s="3">
        <v>45562</v>
      </c>
      <c r="H144">
        <v>1963.41</v>
      </c>
    </row>
    <row r="145" spans="2:8" x14ac:dyDescent="0.2">
      <c r="B145" s="3">
        <v>45574</v>
      </c>
      <c r="D145">
        <v>10.4017</v>
      </c>
      <c r="G145" s="3">
        <v>45561</v>
      </c>
      <c r="H145">
        <v>1968.98</v>
      </c>
    </row>
    <row r="146" spans="2:8" x14ac:dyDescent="0.2">
      <c r="B146" s="3">
        <v>45573</v>
      </c>
      <c r="D146">
        <v>10.33405</v>
      </c>
      <c r="G146" s="3">
        <v>45560</v>
      </c>
      <c r="H146">
        <v>1973.96</v>
      </c>
    </row>
    <row r="147" spans="2:8" x14ac:dyDescent="0.2">
      <c r="B147" s="3">
        <v>45572</v>
      </c>
      <c r="D147">
        <v>10.3543</v>
      </c>
      <c r="G147" s="3">
        <v>45559</v>
      </c>
      <c r="H147">
        <v>1970.12</v>
      </c>
    </row>
    <row r="148" spans="2:8" x14ac:dyDescent="0.2">
      <c r="B148" s="3">
        <v>45569</v>
      </c>
      <c r="D148">
        <v>10.3696</v>
      </c>
      <c r="G148" s="3">
        <v>45558</v>
      </c>
      <c r="H148">
        <v>1981.31</v>
      </c>
    </row>
    <row r="149" spans="2:8" x14ac:dyDescent="0.2">
      <c r="B149" s="3">
        <v>45568</v>
      </c>
      <c r="D149">
        <v>10.3065</v>
      </c>
      <c r="G149" s="3">
        <v>45555</v>
      </c>
      <c r="H149">
        <v>1991.43</v>
      </c>
    </row>
    <row r="150" spans="2:8" x14ac:dyDescent="0.2">
      <c r="B150" s="3">
        <v>45567</v>
      </c>
      <c r="D150">
        <v>10.2666</v>
      </c>
      <c r="G150" s="3">
        <v>45554</v>
      </c>
      <c r="H150">
        <v>2019.92</v>
      </c>
    </row>
    <row r="151" spans="2:8" x14ac:dyDescent="0.2">
      <c r="B151" s="3">
        <v>45566</v>
      </c>
      <c r="D151">
        <v>10.26125</v>
      </c>
      <c r="G151" s="3">
        <v>45553</v>
      </c>
      <c r="H151">
        <v>2012.85</v>
      </c>
    </row>
    <row r="152" spans="2:8" x14ac:dyDescent="0.2">
      <c r="B152" s="3">
        <v>45565</v>
      </c>
      <c r="D152">
        <v>10.159750000000001</v>
      </c>
      <c r="G152" s="3">
        <v>45552</v>
      </c>
      <c r="H152">
        <v>2031.47</v>
      </c>
    </row>
    <row r="153" spans="2:8" x14ac:dyDescent="0.2">
      <c r="B153" s="3">
        <v>45562</v>
      </c>
      <c r="D153">
        <v>10.089700000000001</v>
      </c>
      <c r="G153" s="3">
        <v>45551</v>
      </c>
      <c r="H153">
        <v>2029.86</v>
      </c>
    </row>
    <row r="154" spans="2:8" x14ac:dyDescent="0.2">
      <c r="B154" s="3">
        <v>45561</v>
      </c>
      <c r="D154">
        <v>10.116</v>
      </c>
      <c r="G154" s="3">
        <v>45548</v>
      </c>
      <c r="H154">
        <v>2041.53</v>
      </c>
    </row>
    <row r="155" spans="2:8" x14ac:dyDescent="0.2">
      <c r="B155" s="3">
        <v>45560</v>
      </c>
      <c r="D155">
        <v>10.180300000000001</v>
      </c>
      <c r="G155" s="3">
        <v>45547</v>
      </c>
      <c r="H155">
        <v>2011.98</v>
      </c>
    </row>
    <row r="156" spans="2:8" x14ac:dyDescent="0.2">
      <c r="B156" s="3">
        <v>45559</v>
      </c>
      <c r="D156">
        <v>10.09825</v>
      </c>
      <c r="G156" s="3">
        <v>45546</v>
      </c>
      <c r="H156">
        <v>1975.41</v>
      </c>
    </row>
    <row r="157" spans="2:8" x14ac:dyDescent="0.2">
      <c r="B157" s="3">
        <v>45558</v>
      </c>
      <c r="D157">
        <v>10.194800000000001</v>
      </c>
      <c r="G157" s="3">
        <v>45545</v>
      </c>
      <c r="H157">
        <v>1955.5</v>
      </c>
    </row>
    <row r="158" spans="2:8" x14ac:dyDescent="0.2">
      <c r="B158" s="3">
        <v>45555</v>
      </c>
      <c r="D158">
        <v>10.173999999999999</v>
      </c>
      <c r="G158" s="3">
        <v>45544</v>
      </c>
      <c r="H158">
        <v>1962.55</v>
      </c>
    </row>
    <row r="159" spans="2:8" x14ac:dyDescent="0.2">
      <c r="B159" s="3">
        <v>45554</v>
      </c>
      <c r="D159">
        <v>10.161849999999999</v>
      </c>
      <c r="G159" s="3">
        <v>45541</v>
      </c>
      <c r="H159">
        <v>1958.62</v>
      </c>
    </row>
    <row r="160" spans="2:8" x14ac:dyDescent="0.2">
      <c r="B160" s="3">
        <v>45553</v>
      </c>
      <c r="D160">
        <v>10.2104</v>
      </c>
      <c r="G160" s="3">
        <v>45540</v>
      </c>
      <c r="H160">
        <v>1966.08</v>
      </c>
    </row>
    <row r="161" spans="2:8" x14ac:dyDescent="0.2">
      <c r="B161" s="3">
        <v>45552</v>
      </c>
      <c r="D161">
        <v>10.1905</v>
      </c>
      <c r="G161" s="3">
        <v>45539</v>
      </c>
      <c r="H161">
        <v>1982.7</v>
      </c>
    </row>
    <row r="162" spans="2:8" x14ac:dyDescent="0.2">
      <c r="B162" s="3">
        <v>45551</v>
      </c>
      <c r="D162">
        <v>10.17535</v>
      </c>
      <c r="G162" s="3">
        <v>45538</v>
      </c>
      <c r="H162">
        <v>1991.14</v>
      </c>
    </row>
    <row r="163" spans="2:8" x14ac:dyDescent="0.2">
      <c r="B163" s="3">
        <v>45548</v>
      </c>
      <c r="D163">
        <v>10.233000000000001</v>
      </c>
      <c r="G163" s="3">
        <v>45537</v>
      </c>
      <c r="H163">
        <v>1997.18</v>
      </c>
    </row>
    <row r="164" spans="2:8" x14ac:dyDescent="0.2">
      <c r="B164" s="3">
        <v>45547</v>
      </c>
      <c r="D164">
        <v>10.2844</v>
      </c>
      <c r="G164" s="3">
        <v>45534</v>
      </c>
      <c r="H164">
        <v>1993.91</v>
      </c>
    </row>
    <row r="165" spans="2:8" x14ac:dyDescent="0.2">
      <c r="B165" s="3">
        <v>45546</v>
      </c>
      <c r="D165">
        <v>10.389200000000001</v>
      </c>
      <c r="G165" s="3">
        <v>45533</v>
      </c>
      <c r="H165">
        <v>1994</v>
      </c>
    </row>
    <row r="166" spans="2:8" x14ac:dyDescent="0.2">
      <c r="B166" s="3">
        <v>45545</v>
      </c>
      <c r="D166">
        <v>10.3749</v>
      </c>
      <c r="G166" s="3">
        <v>45532</v>
      </c>
      <c r="H166">
        <v>1977.75</v>
      </c>
    </row>
    <row r="167" spans="2:8" x14ac:dyDescent="0.2">
      <c r="B167" s="3">
        <v>45544</v>
      </c>
      <c r="D167">
        <v>10.37965</v>
      </c>
      <c r="G167" s="3">
        <v>45531</v>
      </c>
      <c r="H167">
        <v>1977.53</v>
      </c>
    </row>
    <row r="168" spans="2:8" x14ac:dyDescent="0.2">
      <c r="B168" s="3">
        <v>45541</v>
      </c>
      <c r="D168">
        <v>10.30025</v>
      </c>
      <c r="G168" s="3">
        <v>45530</v>
      </c>
      <c r="H168">
        <v>1968.97</v>
      </c>
    </row>
    <row r="169" spans="2:8" x14ac:dyDescent="0.2">
      <c r="B169" s="3">
        <v>45540</v>
      </c>
      <c r="D169">
        <v>10.25665</v>
      </c>
      <c r="G169" s="3">
        <v>45527</v>
      </c>
      <c r="H169">
        <v>1978.03</v>
      </c>
    </row>
    <row r="170" spans="2:8" x14ac:dyDescent="0.2">
      <c r="B170" s="3">
        <v>45539</v>
      </c>
      <c r="D170">
        <v>10.27905</v>
      </c>
      <c r="G170" s="3">
        <v>45526</v>
      </c>
      <c r="H170">
        <v>1975.31</v>
      </c>
    </row>
    <row r="171" spans="2:8" x14ac:dyDescent="0.2">
      <c r="B171" s="3">
        <v>45538</v>
      </c>
      <c r="D171">
        <v>10.30705</v>
      </c>
      <c r="G171" s="3">
        <v>45525</v>
      </c>
      <c r="H171">
        <v>1961</v>
      </c>
    </row>
    <row r="172" spans="2:8" x14ac:dyDescent="0.2">
      <c r="B172" s="3">
        <v>45537</v>
      </c>
      <c r="D172">
        <v>10.2522</v>
      </c>
      <c r="G172" s="3">
        <v>45524</v>
      </c>
      <c r="H172">
        <v>1974.25</v>
      </c>
    </row>
    <row r="173" spans="2:8" x14ac:dyDescent="0.2">
      <c r="B173" s="3">
        <v>45534</v>
      </c>
      <c r="D173">
        <v>10.2714</v>
      </c>
      <c r="G173" s="3">
        <v>45523</v>
      </c>
      <c r="H173">
        <v>1998.5</v>
      </c>
    </row>
    <row r="174" spans="2:8" x14ac:dyDescent="0.2">
      <c r="B174" s="3">
        <v>45533</v>
      </c>
      <c r="D174">
        <v>10.23175</v>
      </c>
      <c r="G174" s="3">
        <v>45520</v>
      </c>
      <c r="H174">
        <v>1975.17</v>
      </c>
    </row>
    <row r="175" spans="2:8" x14ac:dyDescent="0.2">
      <c r="B175" s="3">
        <v>45532</v>
      </c>
      <c r="D175">
        <v>10.19985</v>
      </c>
      <c r="G175" s="3">
        <v>45519</v>
      </c>
      <c r="H175">
        <v>1979.88</v>
      </c>
    </row>
    <row r="176" spans="2:8" x14ac:dyDescent="0.2">
      <c r="B176" s="3">
        <v>45531</v>
      </c>
      <c r="D176">
        <v>10.150700000000001</v>
      </c>
      <c r="G176" s="3">
        <v>45518</v>
      </c>
      <c r="H176">
        <v>1957.39</v>
      </c>
    </row>
    <row r="177" spans="2:8" x14ac:dyDescent="0.2">
      <c r="B177" s="3">
        <v>45530</v>
      </c>
      <c r="D177">
        <v>10.215350000000001</v>
      </c>
      <c r="G177" s="3">
        <v>45517</v>
      </c>
      <c r="H177">
        <v>1951.9</v>
      </c>
    </row>
    <row r="178" spans="2:8" x14ac:dyDescent="0.2">
      <c r="B178" s="3">
        <v>45527</v>
      </c>
      <c r="D178">
        <v>10.1792</v>
      </c>
      <c r="G178" s="3">
        <v>45516</v>
      </c>
      <c r="H178">
        <v>1927.79</v>
      </c>
    </row>
    <row r="179" spans="2:8" x14ac:dyDescent="0.2">
      <c r="B179" s="3">
        <v>45526</v>
      </c>
      <c r="D179">
        <v>10.2469</v>
      </c>
      <c r="G179" s="3">
        <v>45513</v>
      </c>
      <c r="H179">
        <v>1946.25</v>
      </c>
    </row>
    <row r="180" spans="2:8" x14ac:dyDescent="0.2">
      <c r="B180" s="3">
        <v>45525</v>
      </c>
      <c r="D180">
        <v>10.18465</v>
      </c>
      <c r="G180" s="3">
        <v>45512</v>
      </c>
      <c r="H180">
        <v>1928.25</v>
      </c>
    </row>
    <row r="181" spans="2:8" x14ac:dyDescent="0.2">
      <c r="B181" s="3">
        <v>45524</v>
      </c>
      <c r="D181">
        <v>10.2057</v>
      </c>
      <c r="G181" s="3">
        <v>45511</v>
      </c>
      <c r="H181">
        <v>1925.25</v>
      </c>
    </row>
    <row r="182" spans="2:8" x14ac:dyDescent="0.2">
      <c r="B182" s="3">
        <v>45523</v>
      </c>
      <c r="D182">
        <v>10.312900000000001</v>
      </c>
      <c r="G182" s="3">
        <v>45510</v>
      </c>
      <c r="H182">
        <v>1910.68</v>
      </c>
    </row>
    <row r="183" spans="2:8" x14ac:dyDescent="0.2">
      <c r="B183" s="3">
        <v>45520</v>
      </c>
      <c r="D183">
        <v>10.445650000000001</v>
      </c>
      <c r="G183" s="3">
        <v>45509</v>
      </c>
      <c r="H183">
        <v>1880.49</v>
      </c>
    </row>
    <row r="184" spans="2:8" x14ac:dyDescent="0.2">
      <c r="B184" s="3">
        <v>45519</v>
      </c>
      <c r="D184">
        <v>10.5404</v>
      </c>
      <c r="G184" s="3">
        <v>45506</v>
      </c>
      <c r="H184">
        <v>1950.27</v>
      </c>
    </row>
    <row r="185" spans="2:8" x14ac:dyDescent="0.2">
      <c r="B185" s="3">
        <v>45518</v>
      </c>
      <c r="D185">
        <v>10.4689</v>
      </c>
      <c r="G185" s="3">
        <v>45505</v>
      </c>
      <c r="H185">
        <v>2000.06</v>
      </c>
    </row>
    <row r="186" spans="2:8" x14ac:dyDescent="0.2">
      <c r="B186" s="3">
        <v>45517</v>
      </c>
      <c r="D186">
        <v>10.46805</v>
      </c>
      <c r="G186" s="3">
        <v>45504</v>
      </c>
      <c r="H186">
        <v>2014.46</v>
      </c>
    </row>
    <row r="187" spans="2:8" x14ac:dyDescent="0.2">
      <c r="B187" s="3">
        <v>45516</v>
      </c>
      <c r="D187">
        <v>10.523949999999999</v>
      </c>
      <c r="G187" s="3">
        <v>45503</v>
      </c>
      <c r="H187">
        <v>1999.71</v>
      </c>
    </row>
    <row r="188" spans="2:8" x14ac:dyDescent="0.2">
      <c r="B188" s="3">
        <v>45513</v>
      </c>
      <c r="D188">
        <v>10.51985</v>
      </c>
      <c r="G188" s="3">
        <v>45502</v>
      </c>
      <c r="H188">
        <v>1977.2</v>
      </c>
    </row>
    <row r="189" spans="2:8" x14ac:dyDescent="0.2">
      <c r="B189" s="3">
        <v>45512</v>
      </c>
      <c r="D189">
        <v>10.5161</v>
      </c>
      <c r="G189" s="3">
        <v>45499</v>
      </c>
      <c r="H189">
        <v>1969.41</v>
      </c>
    </row>
    <row r="190" spans="2:8" x14ac:dyDescent="0.2">
      <c r="B190" s="3">
        <v>45511</v>
      </c>
      <c r="D190">
        <v>10.49385</v>
      </c>
      <c r="G190" s="3">
        <v>45498</v>
      </c>
      <c r="H190">
        <v>1968.15</v>
      </c>
    </row>
    <row r="191" spans="2:8" x14ac:dyDescent="0.2">
      <c r="B191" s="3">
        <v>45510</v>
      </c>
      <c r="D191">
        <v>10.528600000000001</v>
      </c>
      <c r="G191" s="3">
        <v>45497</v>
      </c>
      <c r="H191">
        <v>1977.84</v>
      </c>
    </row>
    <row r="192" spans="2:8" x14ac:dyDescent="0.2">
      <c r="B192" s="3">
        <v>45509</v>
      </c>
      <c r="D192">
        <v>10.5488</v>
      </c>
      <c r="G192" s="3">
        <v>45496</v>
      </c>
      <c r="H192">
        <v>1967.81</v>
      </c>
    </row>
    <row r="193" spans="2:8" x14ac:dyDescent="0.2">
      <c r="B193" s="3">
        <v>45506</v>
      </c>
      <c r="D193">
        <v>10.58085</v>
      </c>
      <c r="G193" s="3">
        <v>45495</v>
      </c>
      <c r="H193">
        <v>1960.99</v>
      </c>
    </row>
    <row r="194" spans="2:8" x14ac:dyDescent="0.2">
      <c r="B194" s="3">
        <v>45505</v>
      </c>
      <c r="D194">
        <v>10.732849999999999</v>
      </c>
      <c r="G194" s="3">
        <v>45492</v>
      </c>
      <c r="H194">
        <v>1937.49</v>
      </c>
    </row>
    <row r="195" spans="2:8" x14ac:dyDescent="0.2">
      <c r="B195" s="3">
        <v>45504</v>
      </c>
      <c r="D195">
        <v>10.6982</v>
      </c>
      <c r="G195" s="3">
        <v>45491</v>
      </c>
      <c r="H195">
        <v>1922.06</v>
      </c>
    </row>
    <row r="196" spans="2:8" x14ac:dyDescent="0.2">
      <c r="B196" s="3">
        <v>45503</v>
      </c>
      <c r="D196">
        <v>10.7605</v>
      </c>
      <c r="G196" s="3">
        <v>45490</v>
      </c>
      <c r="H196">
        <v>1917.35</v>
      </c>
    </row>
    <row r="197" spans="2:8" x14ac:dyDescent="0.2">
      <c r="B197" s="3">
        <v>45502</v>
      </c>
      <c r="D197">
        <v>10.828849999999999</v>
      </c>
      <c r="G197" s="3">
        <v>45489</v>
      </c>
      <c r="H197">
        <v>1959.75</v>
      </c>
    </row>
    <row r="198" spans="2:8" x14ac:dyDescent="0.2">
      <c r="B198" s="3">
        <v>45499</v>
      </c>
      <c r="D198">
        <v>10.811400000000001</v>
      </c>
      <c r="G198" s="3">
        <v>45488</v>
      </c>
      <c r="H198">
        <v>1964.13</v>
      </c>
    </row>
    <row r="199" spans="2:8" x14ac:dyDescent="0.2">
      <c r="B199" s="3">
        <v>45498</v>
      </c>
      <c r="D199">
        <v>10.8337</v>
      </c>
      <c r="G199" s="3">
        <v>45485</v>
      </c>
      <c r="H199">
        <v>1999.64</v>
      </c>
    </row>
    <row r="200" spans="2:8" x14ac:dyDescent="0.2">
      <c r="B200" s="3">
        <v>45497</v>
      </c>
      <c r="D200">
        <v>10.778700000000001</v>
      </c>
      <c r="G200" s="3">
        <v>45484</v>
      </c>
      <c r="H200">
        <v>1991.06</v>
      </c>
    </row>
    <row r="201" spans="2:8" x14ac:dyDescent="0.2">
      <c r="B201" s="3">
        <v>45496</v>
      </c>
      <c r="D201">
        <v>10.767849999999999</v>
      </c>
      <c r="G201" s="3">
        <v>45483</v>
      </c>
      <c r="H201">
        <v>1982.17</v>
      </c>
    </row>
    <row r="202" spans="2:8" x14ac:dyDescent="0.2">
      <c r="B202" s="3">
        <v>45495</v>
      </c>
      <c r="D202">
        <v>10.718299999999999</v>
      </c>
      <c r="G202" s="3">
        <v>45482</v>
      </c>
      <c r="H202">
        <v>1961.25</v>
      </c>
    </row>
    <row r="203" spans="2:8" x14ac:dyDescent="0.2">
      <c r="B203" s="3">
        <v>45492</v>
      </c>
      <c r="D203">
        <v>10.680400000000001</v>
      </c>
      <c r="G203" s="3">
        <v>45481</v>
      </c>
      <c r="H203">
        <v>1978.25</v>
      </c>
    </row>
    <row r="204" spans="2:8" x14ac:dyDescent="0.2">
      <c r="B204" s="3">
        <v>45491</v>
      </c>
      <c r="D204">
        <v>10.5783</v>
      </c>
      <c r="G204" s="3">
        <v>45478</v>
      </c>
      <c r="H204">
        <v>1981.42</v>
      </c>
    </row>
    <row r="205" spans="2:8" x14ac:dyDescent="0.2">
      <c r="B205" s="3">
        <v>45490</v>
      </c>
      <c r="D205">
        <v>10.535</v>
      </c>
      <c r="G205" s="3">
        <v>45477</v>
      </c>
      <c r="H205">
        <v>1983.45</v>
      </c>
    </row>
    <row r="206" spans="2:8" x14ac:dyDescent="0.2">
      <c r="B206" s="3">
        <v>45489</v>
      </c>
      <c r="D206">
        <v>10.5932</v>
      </c>
      <c r="G206" s="3">
        <v>45476</v>
      </c>
      <c r="H206">
        <v>1970.98</v>
      </c>
    </row>
    <row r="207" spans="2:8" x14ac:dyDescent="0.2">
      <c r="B207" s="3">
        <v>45488</v>
      </c>
      <c r="D207">
        <v>10.60425</v>
      </c>
      <c r="G207" s="3">
        <v>45475</v>
      </c>
      <c r="H207">
        <v>1960.5</v>
      </c>
    </row>
    <row r="208" spans="2:8" x14ac:dyDescent="0.2">
      <c r="B208" s="3">
        <v>45485</v>
      </c>
      <c r="D208">
        <v>10.493600000000001</v>
      </c>
      <c r="G208" s="3">
        <v>45474</v>
      </c>
      <c r="H208">
        <v>1976.75</v>
      </c>
    </row>
    <row r="209" spans="2:8" x14ac:dyDescent="0.2">
      <c r="B209" s="3">
        <v>45484</v>
      </c>
      <c r="D209">
        <v>10.4979</v>
      </c>
      <c r="G209" s="3">
        <v>45471</v>
      </c>
      <c r="H209">
        <v>1958.5</v>
      </c>
    </row>
    <row r="210" spans="2:8" x14ac:dyDescent="0.2">
      <c r="B210" s="3">
        <v>45483</v>
      </c>
      <c r="D210">
        <v>10.543850000000001</v>
      </c>
      <c r="G210" s="3">
        <v>45470</v>
      </c>
      <c r="H210">
        <v>1978.5</v>
      </c>
    </row>
    <row r="211" spans="2:8" x14ac:dyDescent="0.2">
      <c r="B211" s="3">
        <v>45482</v>
      </c>
      <c r="D211">
        <v>10.556900000000001</v>
      </c>
      <c r="G211" s="3">
        <v>45469</v>
      </c>
      <c r="H211">
        <v>1993.75</v>
      </c>
    </row>
    <row r="212" spans="2:8" x14ac:dyDescent="0.2">
      <c r="B212" s="3">
        <v>45481</v>
      </c>
      <c r="D212">
        <v>10.5838</v>
      </c>
      <c r="G212" s="3">
        <v>45468</v>
      </c>
      <c r="H212">
        <v>2000.06</v>
      </c>
    </row>
    <row r="213" spans="2:8" x14ac:dyDescent="0.2">
      <c r="B213" s="3">
        <v>45478</v>
      </c>
      <c r="D213">
        <v>10.48095</v>
      </c>
      <c r="G213" s="3">
        <v>45467</v>
      </c>
      <c r="H213">
        <v>1990.7</v>
      </c>
    </row>
    <row r="214" spans="2:8" x14ac:dyDescent="0.2">
      <c r="B214" s="3">
        <v>45477</v>
      </c>
      <c r="D214">
        <v>10.5046</v>
      </c>
      <c r="G214" s="3">
        <v>45464</v>
      </c>
      <c r="H214">
        <v>1973.37</v>
      </c>
    </row>
    <row r="215" spans="2:8" x14ac:dyDescent="0.2">
      <c r="B215" s="3">
        <v>45476</v>
      </c>
      <c r="D215">
        <v>10.4923</v>
      </c>
      <c r="G215" s="3">
        <v>45463</v>
      </c>
      <c r="H215">
        <v>1985.1</v>
      </c>
    </row>
    <row r="216" spans="2:8" x14ac:dyDescent="0.2">
      <c r="B216" s="3">
        <v>45475</v>
      </c>
      <c r="D216">
        <v>10.579750000000001</v>
      </c>
      <c r="G216" s="3">
        <v>45462</v>
      </c>
      <c r="H216">
        <v>1965.24</v>
      </c>
    </row>
    <row r="217" spans="2:8" x14ac:dyDescent="0.2">
      <c r="B217" s="3">
        <v>45474</v>
      </c>
      <c r="D217">
        <v>10.613</v>
      </c>
      <c r="G217" s="3">
        <v>45461</v>
      </c>
      <c r="H217">
        <v>1966.71</v>
      </c>
    </row>
    <row r="218" spans="2:8" x14ac:dyDescent="0.2">
      <c r="B218" s="3">
        <v>45471</v>
      </c>
      <c r="D218">
        <v>10.598800000000001</v>
      </c>
      <c r="G218" s="3">
        <v>45460</v>
      </c>
      <c r="H218">
        <v>1957.5</v>
      </c>
    </row>
    <row r="219" spans="2:8" x14ac:dyDescent="0.2">
      <c r="B219" s="3">
        <v>45470</v>
      </c>
      <c r="D219">
        <v>10.6241</v>
      </c>
      <c r="G219" s="3">
        <v>45457</v>
      </c>
      <c r="H219">
        <v>1969.7</v>
      </c>
    </row>
    <row r="220" spans="2:8" x14ac:dyDescent="0.2">
      <c r="B220" s="3">
        <v>45469</v>
      </c>
      <c r="D220">
        <v>10.575100000000001</v>
      </c>
      <c r="G220" s="3">
        <v>45456</v>
      </c>
      <c r="H220">
        <v>1988</v>
      </c>
    </row>
    <row r="221" spans="2:8" x14ac:dyDescent="0.2">
      <c r="B221" s="3">
        <v>45468</v>
      </c>
      <c r="D221">
        <v>10.507999999999999</v>
      </c>
      <c r="G221" s="3">
        <v>45455</v>
      </c>
      <c r="H221">
        <v>2006.46</v>
      </c>
    </row>
    <row r="222" spans="2:8" x14ac:dyDescent="0.2">
      <c r="B222" s="3">
        <v>45467</v>
      </c>
      <c r="D222">
        <v>10.475849999999999</v>
      </c>
      <c r="G222" s="3">
        <v>45454</v>
      </c>
      <c r="H222">
        <v>1998.5</v>
      </c>
    </row>
    <row r="223" spans="2:8" x14ac:dyDescent="0.2">
      <c r="B223" s="3">
        <v>45464</v>
      </c>
      <c r="D223">
        <v>10.507199999999999</v>
      </c>
      <c r="G223" s="3">
        <v>45453</v>
      </c>
      <c r="H223">
        <v>2011.48</v>
      </c>
    </row>
    <row r="224" spans="2:8" x14ac:dyDescent="0.2">
      <c r="B224" s="3">
        <v>45463</v>
      </c>
      <c r="D224">
        <v>10.497199999999999</v>
      </c>
      <c r="G224" s="3">
        <v>45450</v>
      </c>
      <c r="H224">
        <v>2018.7</v>
      </c>
    </row>
    <row r="225" spans="2:8" x14ac:dyDescent="0.2">
      <c r="B225" s="3">
        <v>45462</v>
      </c>
      <c r="D225">
        <v>10.4413</v>
      </c>
      <c r="G225" s="3">
        <v>45449</v>
      </c>
      <c r="H225">
        <v>2013.08</v>
      </c>
    </row>
    <row r="226" spans="2:8" x14ac:dyDescent="0.2">
      <c r="B226" s="3">
        <v>45461</v>
      </c>
      <c r="D226">
        <v>10.437099999999999</v>
      </c>
      <c r="G226" s="3">
        <v>45447</v>
      </c>
      <c r="H226">
        <v>1985</v>
      </c>
    </row>
    <row r="227" spans="2:8" x14ac:dyDescent="0.2">
      <c r="B227" s="3">
        <v>45460</v>
      </c>
      <c r="D227">
        <v>10.477550000000001</v>
      </c>
      <c r="G227" s="3">
        <v>45446</v>
      </c>
      <c r="H227">
        <v>1979.78</v>
      </c>
    </row>
    <row r="228" spans="2:8" x14ac:dyDescent="0.2">
      <c r="B228" s="3">
        <v>45457</v>
      </c>
      <c r="D228">
        <v>10.511100000000001</v>
      </c>
      <c r="G228" s="3">
        <v>45443</v>
      </c>
      <c r="H228">
        <v>1986.5</v>
      </c>
    </row>
    <row r="229" spans="2:8" x14ac:dyDescent="0.2">
      <c r="B229" s="3">
        <v>45456</v>
      </c>
      <c r="D229">
        <v>10.47875</v>
      </c>
      <c r="G229" s="3">
        <v>45442</v>
      </c>
      <c r="H229">
        <v>1976.25</v>
      </c>
    </row>
    <row r="230" spans="2:8" x14ac:dyDescent="0.2">
      <c r="B230" s="3">
        <v>45455</v>
      </c>
      <c r="D230">
        <v>10.363200000000001</v>
      </c>
      <c r="G230" s="3">
        <v>45441</v>
      </c>
      <c r="H230">
        <v>1970.5</v>
      </c>
    </row>
    <row r="231" spans="2:8" x14ac:dyDescent="0.2">
      <c r="B231" s="3">
        <v>45454</v>
      </c>
      <c r="D231">
        <v>10.478400000000001</v>
      </c>
      <c r="G231" s="3">
        <v>45440</v>
      </c>
      <c r="H231">
        <v>1992.61</v>
      </c>
    </row>
    <row r="232" spans="2:8" x14ac:dyDescent="0.2">
      <c r="B232" s="3">
        <v>45453</v>
      </c>
      <c r="D232">
        <v>10.49085</v>
      </c>
      <c r="G232" s="3">
        <v>45439</v>
      </c>
      <c r="H232">
        <v>1996.17</v>
      </c>
    </row>
    <row r="233" spans="2:8" x14ac:dyDescent="0.2">
      <c r="B233" s="3">
        <v>45450</v>
      </c>
      <c r="D233">
        <v>10.5413</v>
      </c>
      <c r="G233" s="3">
        <v>45436</v>
      </c>
      <c r="H233">
        <v>1981</v>
      </c>
    </row>
    <row r="234" spans="2:8" x14ac:dyDescent="0.2">
      <c r="B234" s="3">
        <v>45449</v>
      </c>
      <c r="D234">
        <v>10.3926</v>
      </c>
      <c r="G234" s="3">
        <v>45435</v>
      </c>
      <c r="H234">
        <v>1997.5</v>
      </c>
    </row>
    <row r="235" spans="2:8" x14ac:dyDescent="0.2">
      <c r="B235" s="3">
        <v>45448</v>
      </c>
      <c r="D235">
        <v>10.392799999999999</v>
      </c>
      <c r="G235" s="3">
        <v>45434</v>
      </c>
      <c r="H235">
        <v>1982.75</v>
      </c>
    </row>
    <row r="236" spans="2:8" x14ac:dyDescent="0.2">
      <c r="B236" s="3">
        <v>45447</v>
      </c>
      <c r="D236">
        <v>10.4421</v>
      </c>
      <c r="G236" s="3">
        <v>45433</v>
      </c>
      <c r="H236">
        <v>1991.48</v>
      </c>
    </row>
    <row r="237" spans="2:8" x14ac:dyDescent="0.2">
      <c r="B237" s="3">
        <v>45446</v>
      </c>
      <c r="D237">
        <v>10.4129</v>
      </c>
      <c r="G237" s="3">
        <v>45429</v>
      </c>
      <c r="H237">
        <v>1987.65</v>
      </c>
    </row>
    <row r="238" spans="2:8" x14ac:dyDescent="0.2">
      <c r="B238" s="3">
        <v>45443</v>
      </c>
      <c r="D238">
        <v>10.52755</v>
      </c>
      <c r="G238" s="3">
        <v>45428</v>
      </c>
      <c r="H238">
        <v>1996.16</v>
      </c>
    </row>
    <row r="239" spans="2:8" x14ac:dyDescent="0.2">
      <c r="B239" s="3">
        <v>45442</v>
      </c>
      <c r="D239">
        <v>10.59895</v>
      </c>
      <c r="G239" s="3">
        <v>45427</v>
      </c>
      <c r="H239">
        <v>1985.08</v>
      </c>
    </row>
    <row r="240" spans="2:8" x14ac:dyDescent="0.2">
      <c r="B240" s="3">
        <v>45441</v>
      </c>
      <c r="D240">
        <v>10.670999999999999</v>
      </c>
      <c r="G240" s="3">
        <v>45426</v>
      </c>
      <c r="H240">
        <v>1962.79</v>
      </c>
    </row>
    <row r="241" spans="2:8" x14ac:dyDescent="0.2">
      <c r="B241" s="3">
        <v>45440</v>
      </c>
      <c r="D241">
        <v>10.574299999999999</v>
      </c>
      <c r="G241" s="3">
        <v>45425</v>
      </c>
      <c r="H241">
        <v>1956.25</v>
      </c>
    </row>
    <row r="242" spans="2:8" x14ac:dyDescent="0.2">
      <c r="B242" s="3">
        <v>45439</v>
      </c>
      <c r="D242">
        <v>10.61495</v>
      </c>
      <c r="G242" s="3">
        <v>45420</v>
      </c>
      <c r="H242">
        <v>1933.69</v>
      </c>
    </row>
    <row r="243" spans="2:8" x14ac:dyDescent="0.2">
      <c r="B243" s="3">
        <v>45436</v>
      </c>
      <c r="D243">
        <v>10.6684</v>
      </c>
      <c r="G243" s="3">
        <v>45419</v>
      </c>
      <c r="H243">
        <v>1924.5</v>
      </c>
    </row>
    <row r="244" spans="2:8" x14ac:dyDescent="0.2">
      <c r="B244" s="3">
        <v>45435</v>
      </c>
      <c r="D244">
        <v>10.7399</v>
      </c>
      <c r="G244" s="3">
        <v>45418</v>
      </c>
      <c r="H244">
        <v>1899.2</v>
      </c>
    </row>
    <row r="245" spans="2:8" x14ac:dyDescent="0.2">
      <c r="B245" s="3">
        <v>45434</v>
      </c>
      <c r="D245">
        <v>10.7372</v>
      </c>
      <c r="G245" s="3">
        <v>45415</v>
      </c>
      <c r="H245">
        <v>1890.91</v>
      </c>
    </row>
    <row r="246" spans="2:8" x14ac:dyDescent="0.2">
      <c r="B246" s="3">
        <v>45433</v>
      </c>
      <c r="D246">
        <v>10.6937</v>
      </c>
      <c r="G246" s="3">
        <v>45414</v>
      </c>
      <c r="H246">
        <v>1884.37</v>
      </c>
    </row>
    <row r="247" spans="2:8" x14ac:dyDescent="0.2">
      <c r="B247" s="3">
        <v>45432</v>
      </c>
      <c r="D247">
        <v>10.6899</v>
      </c>
      <c r="G247" s="3">
        <v>45413</v>
      </c>
      <c r="H247">
        <v>1896.68</v>
      </c>
    </row>
    <row r="248" spans="2:8" x14ac:dyDescent="0.2">
      <c r="B248" s="3">
        <v>45429</v>
      </c>
      <c r="D248">
        <v>10.713749999999999</v>
      </c>
      <c r="G248" s="3">
        <v>45412</v>
      </c>
      <c r="H248">
        <v>1907.92</v>
      </c>
    </row>
    <row r="249" spans="2:8" x14ac:dyDescent="0.2">
      <c r="B249" s="3">
        <v>45428</v>
      </c>
      <c r="D249">
        <v>10.715249999999999</v>
      </c>
      <c r="G249" s="3">
        <v>45411</v>
      </c>
      <c r="H249">
        <v>1909.53</v>
      </c>
    </row>
    <row r="250" spans="2:8" x14ac:dyDescent="0.2">
      <c r="B250" s="3">
        <v>45427</v>
      </c>
      <c r="D250">
        <v>10.67</v>
      </c>
      <c r="G250" s="3">
        <v>45408</v>
      </c>
      <c r="H250">
        <v>1910.25</v>
      </c>
    </row>
    <row r="251" spans="2:8" x14ac:dyDescent="0.2">
      <c r="B251" s="3">
        <v>45426</v>
      </c>
      <c r="D251">
        <v>10.8033</v>
      </c>
      <c r="G251" s="3">
        <v>45407</v>
      </c>
      <c r="H251">
        <v>1868.75</v>
      </c>
    </row>
    <row r="252" spans="2:8" x14ac:dyDescent="0.2">
      <c r="B252" s="3">
        <v>45425</v>
      </c>
      <c r="D252">
        <v>10.840999999999999</v>
      </c>
      <c r="G252" s="3">
        <v>45406</v>
      </c>
      <c r="H252">
        <v>1902.28</v>
      </c>
    </row>
    <row r="253" spans="2:8" x14ac:dyDescent="0.2">
      <c r="B253" s="3">
        <v>45422</v>
      </c>
      <c r="D253">
        <v>10.8406</v>
      </c>
      <c r="G253" s="3">
        <v>45405</v>
      </c>
      <c r="H253">
        <v>1926.87</v>
      </c>
    </row>
    <row r="254" spans="2:8" x14ac:dyDescent="0.2">
      <c r="B254" s="3">
        <v>45421</v>
      </c>
      <c r="D254">
        <v>10.847950000000001</v>
      </c>
      <c r="G254" s="3">
        <v>45404</v>
      </c>
      <c r="H254">
        <v>1908.81</v>
      </c>
    </row>
    <row r="255" spans="2:8" x14ac:dyDescent="0.2">
      <c r="B255" s="3">
        <v>45420</v>
      </c>
      <c r="D255">
        <v>10.896800000000001</v>
      </c>
      <c r="G255" s="3">
        <v>45401</v>
      </c>
      <c r="H255">
        <v>1880.47</v>
      </c>
    </row>
    <row r="256" spans="2:8" x14ac:dyDescent="0.2">
      <c r="B256" s="3">
        <v>45419</v>
      </c>
      <c r="D256">
        <v>10.845599999999999</v>
      </c>
      <c r="G256" s="3">
        <v>45400</v>
      </c>
      <c r="H256">
        <v>1873.67</v>
      </c>
    </row>
    <row r="257" spans="2:8" x14ac:dyDescent="0.2">
      <c r="B257" s="3">
        <v>45418</v>
      </c>
      <c r="D257">
        <v>10.816750000000001</v>
      </c>
      <c r="G257" s="3">
        <v>45399</v>
      </c>
      <c r="H257">
        <v>1881.49</v>
      </c>
    </row>
    <row r="258" spans="2:8" x14ac:dyDescent="0.2">
      <c r="B258" s="3">
        <v>45415</v>
      </c>
      <c r="D258">
        <v>10.8225</v>
      </c>
      <c r="G258" s="3">
        <v>45398</v>
      </c>
      <c r="H258">
        <v>1884</v>
      </c>
    </row>
    <row r="259" spans="2:8" x14ac:dyDescent="0.2">
      <c r="B259" s="3">
        <v>45414</v>
      </c>
      <c r="D259">
        <v>10.871600000000001</v>
      </c>
      <c r="G259" s="3">
        <v>45397</v>
      </c>
      <c r="H259">
        <v>1912.63</v>
      </c>
    </row>
    <row r="260" spans="2:8" x14ac:dyDescent="0.2">
      <c r="B260" s="3">
        <v>45413</v>
      </c>
      <c r="D260">
        <v>10.928599999999999</v>
      </c>
      <c r="G260" s="3">
        <v>45394</v>
      </c>
      <c r="H260">
        <v>1907.96</v>
      </c>
    </row>
    <row r="261" spans="2:8" x14ac:dyDescent="0.2">
      <c r="B261" s="3">
        <v>45412</v>
      </c>
      <c r="D261">
        <v>11.02515</v>
      </c>
      <c r="G261" s="3">
        <v>45393</v>
      </c>
      <c r="H261">
        <v>1912.99</v>
      </c>
    </row>
    <row r="262" spans="2:8" x14ac:dyDescent="0.2">
      <c r="B262" s="3">
        <v>45411</v>
      </c>
      <c r="D262">
        <v>10.924149999999999</v>
      </c>
      <c r="G262" s="3">
        <v>45392</v>
      </c>
      <c r="H262">
        <v>1909.44</v>
      </c>
    </row>
    <row r="263" spans="2:8" x14ac:dyDescent="0.2">
      <c r="B263" s="3">
        <v>45408</v>
      </c>
      <c r="D263">
        <v>10.923299999999999</v>
      </c>
      <c r="G263" s="3">
        <v>45391</v>
      </c>
      <c r="H263">
        <v>1915.6</v>
      </c>
    </row>
    <row r="264" spans="2:8" x14ac:dyDescent="0.2">
      <c r="B264" s="3">
        <v>45407</v>
      </c>
      <c r="D264">
        <v>10.89005</v>
      </c>
      <c r="G264" s="3">
        <v>45390</v>
      </c>
      <c r="H264">
        <v>1929.23</v>
      </c>
    </row>
    <row r="265" spans="2:8" x14ac:dyDescent="0.2">
      <c r="B265" s="3">
        <v>45406</v>
      </c>
      <c r="D265">
        <v>10.8787</v>
      </c>
      <c r="G265" s="3">
        <v>45387</v>
      </c>
      <c r="H265">
        <v>1924.75</v>
      </c>
    </row>
    <row r="266" spans="2:8" x14ac:dyDescent="0.2">
      <c r="B266" s="3">
        <v>45405</v>
      </c>
      <c r="D266">
        <v>10.8139</v>
      </c>
      <c r="G266" s="3">
        <v>45386</v>
      </c>
      <c r="H266">
        <v>1934.68</v>
      </c>
    </row>
    <row r="267" spans="2:8" x14ac:dyDescent="0.2">
      <c r="B267" s="3">
        <v>45404</v>
      </c>
      <c r="D267">
        <v>10.88795</v>
      </c>
      <c r="G267" s="3">
        <v>45385</v>
      </c>
      <c r="H267">
        <v>1937.6</v>
      </c>
    </row>
    <row r="268" spans="2:8" x14ac:dyDescent="0.2">
      <c r="B268" s="3">
        <v>45401</v>
      </c>
      <c r="D268">
        <v>10.922750000000001</v>
      </c>
      <c r="G268" s="3">
        <v>45384</v>
      </c>
      <c r="H268">
        <v>1921.5</v>
      </c>
    </row>
    <row r="269" spans="2:8" x14ac:dyDescent="0.2">
      <c r="B269" s="3">
        <v>45400</v>
      </c>
      <c r="D269">
        <v>10.9674</v>
      </c>
      <c r="G269" s="3">
        <v>45378</v>
      </c>
      <c r="H269">
        <v>1947.98</v>
      </c>
    </row>
    <row r="270" spans="2:8" x14ac:dyDescent="0.2">
      <c r="B270" s="3">
        <v>45399</v>
      </c>
      <c r="D270">
        <v>10.939349999999999</v>
      </c>
      <c r="G270" s="3">
        <v>45377</v>
      </c>
      <c r="H270">
        <v>1961.75</v>
      </c>
    </row>
    <row r="271" spans="2:8" x14ac:dyDescent="0.2">
      <c r="B271" s="3">
        <v>45398</v>
      </c>
      <c r="D271">
        <v>10.962949999999999</v>
      </c>
      <c r="G271" s="3">
        <v>45376</v>
      </c>
      <c r="H271">
        <v>1957.46</v>
      </c>
    </row>
    <row r="272" spans="2:8" x14ac:dyDescent="0.2">
      <c r="B272" s="3">
        <v>45397</v>
      </c>
      <c r="D272">
        <v>10.88705</v>
      </c>
      <c r="G272" s="3">
        <v>45373</v>
      </c>
      <c r="H272">
        <v>1957.01</v>
      </c>
    </row>
    <row r="273" spans="2:8" x14ac:dyDescent="0.2">
      <c r="B273" s="3">
        <v>45394</v>
      </c>
      <c r="D273">
        <v>10.875400000000001</v>
      </c>
      <c r="G273" s="3">
        <v>45372</v>
      </c>
      <c r="H273">
        <v>1939.88</v>
      </c>
    </row>
    <row r="274" spans="2:8" x14ac:dyDescent="0.2">
      <c r="B274" s="3">
        <v>45393</v>
      </c>
      <c r="D274">
        <v>10.725899999999999</v>
      </c>
      <c r="G274" s="3">
        <v>45371</v>
      </c>
      <c r="H274">
        <v>1935.25</v>
      </c>
    </row>
    <row r="275" spans="2:8" x14ac:dyDescent="0.2">
      <c r="B275" s="3">
        <v>45392</v>
      </c>
      <c r="D275">
        <v>10.7103</v>
      </c>
      <c r="G275" s="3">
        <v>45370</v>
      </c>
      <c r="H275">
        <v>1929.75</v>
      </c>
    </row>
    <row r="276" spans="2:8" x14ac:dyDescent="0.2">
      <c r="B276" s="3">
        <v>45391</v>
      </c>
      <c r="D276">
        <v>10.553050000000001</v>
      </c>
      <c r="G276" s="3">
        <v>45369</v>
      </c>
      <c r="H276">
        <v>1925.48</v>
      </c>
    </row>
    <row r="277" spans="2:8" x14ac:dyDescent="0.2">
      <c r="B277" s="3">
        <v>45390</v>
      </c>
      <c r="D277">
        <v>10.5624</v>
      </c>
      <c r="G277" s="3">
        <v>45366</v>
      </c>
      <c r="H277">
        <v>1930.32</v>
      </c>
    </row>
    <row r="278" spans="2:8" x14ac:dyDescent="0.2">
      <c r="B278" s="3">
        <v>45387</v>
      </c>
      <c r="D278">
        <v>10.6424</v>
      </c>
      <c r="G278" s="3">
        <v>45365</v>
      </c>
      <c r="H278">
        <v>1949.65</v>
      </c>
    </row>
    <row r="279" spans="2:8" x14ac:dyDescent="0.2">
      <c r="B279" s="3">
        <v>45386</v>
      </c>
      <c r="D279">
        <v>10.6502</v>
      </c>
      <c r="G279" s="3">
        <v>45364</v>
      </c>
      <c r="H279">
        <v>1951.03</v>
      </c>
    </row>
    <row r="280" spans="2:8" x14ac:dyDescent="0.2">
      <c r="B280" s="3">
        <v>45385</v>
      </c>
      <c r="D280">
        <v>10.6462</v>
      </c>
      <c r="G280" s="3">
        <v>45363</v>
      </c>
      <c r="H280">
        <v>1959.18</v>
      </c>
    </row>
    <row r="281" spans="2:8" x14ac:dyDescent="0.2">
      <c r="B281" s="3">
        <v>45384</v>
      </c>
      <c r="D281">
        <v>10.73695</v>
      </c>
      <c r="G281" s="3">
        <v>45362</v>
      </c>
      <c r="H281">
        <v>1941.66</v>
      </c>
    </row>
    <row r="282" spans="2:8" x14ac:dyDescent="0.2">
      <c r="B282" s="3">
        <v>45383</v>
      </c>
      <c r="D282">
        <v>10.80035</v>
      </c>
      <c r="G282" s="3">
        <v>45359</v>
      </c>
      <c r="H282">
        <v>1953.17</v>
      </c>
    </row>
    <row r="283" spans="2:8" x14ac:dyDescent="0.2">
      <c r="B283" s="3">
        <v>45380</v>
      </c>
      <c r="D283">
        <v>10.6523</v>
      </c>
      <c r="G283" s="3">
        <v>45358</v>
      </c>
      <c r="H283">
        <v>1949.75</v>
      </c>
    </row>
    <row r="284" spans="2:8" x14ac:dyDescent="0.2">
      <c r="B284" s="3">
        <v>45379</v>
      </c>
      <c r="D284">
        <v>10.6982</v>
      </c>
      <c r="G284" s="3">
        <v>45357</v>
      </c>
      <c r="H284">
        <v>1906.5</v>
      </c>
    </row>
    <row r="285" spans="2:8" x14ac:dyDescent="0.2">
      <c r="B285" s="3">
        <v>45378</v>
      </c>
      <c r="D285">
        <v>10.6113</v>
      </c>
      <c r="G285" s="3">
        <v>45356</v>
      </c>
      <c r="H285">
        <v>1905</v>
      </c>
    </row>
    <row r="286" spans="2:8" x14ac:dyDescent="0.2">
      <c r="B286" s="3">
        <v>45377</v>
      </c>
      <c r="D286">
        <v>10.5913</v>
      </c>
      <c r="G286" s="3">
        <v>45355</v>
      </c>
      <c r="H286">
        <v>1921</v>
      </c>
    </row>
    <row r="287" spans="2:8" x14ac:dyDescent="0.2">
      <c r="B287" s="3">
        <v>45376</v>
      </c>
      <c r="D287">
        <v>10.575200000000001</v>
      </c>
      <c r="G287" s="3">
        <v>45352</v>
      </c>
      <c r="H287">
        <v>1920</v>
      </c>
    </row>
    <row r="288" spans="2:8" x14ac:dyDescent="0.2">
      <c r="B288" s="3">
        <v>45373</v>
      </c>
      <c r="D288">
        <v>10.56795</v>
      </c>
      <c r="G288" s="3">
        <v>45351</v>
      </c>
      <c r="H288">
        <v>1886.69</v>
      </c>
    </row>
    <row r="289" spans="2:8" x14ac:dyDescent="0.2">
      <c r="B289" s="3">
        <v>45372</v>
      </c>
      <c r="D289">
        <v>10.4674</v>
      </c>
      <c r="G289" s="3">
        <v>45350</v>
      </c>
      <c r="H289">
        <v>1883.5</v>
      </c>
    </row>
    <row r="290" spans="2:8" x14ac:dyDescent="0.2">
      <c r="B290" s="3">
        <v>45371</v>
      </c>
      <c r="D290">
        <v>10.38475</v>
      </c>
      <c r="G290" s="3">
        <v>45349</v>
      </c>
      <c r="H290">
        <v>1886</v>
      </c>
    </row>
    <row r="291" spans="2:8" x14ac:dyDescent="0.2">
      <c r="B291" s="3">
        <v>45370</v>
      </c>
      <c r="D291">
        <v>10.441050000000001</v>
      </c>
      <c r="G291" s="3">
        <v>45348</v>
      </c>
      <c r="H291">
        <v>1890.54</v>
      </c>
    </row>
    <row r="292" spans="2:8" x14ac:dyDescent="0.2">
      <c r="B292" s="3">
        <v>45369</v>
      </c>
      <c r="D292">
        <v>10.4261</v>
      </c>
      <c r="G292" s="3">
        <v>45345</v>
      </c>
      <c r="H292">
        <v>1885.91</v>
      </c>
    </row>
    <row r="293" spans="2:8" x14ac:dyDescent="0.2">
      <c r="B293" s="3">
        <v>45366</v>
      </c>
      <c r="D293">
        <v>10.3536</v>
      </c>
      <c r="G293" s="3">
        <v>45344</v>
      </c>
      <c r="H293">
        <v>1891.94</v>
      </c>
    </row>
    <row r="294" spans="2:8" x14ac:dyDescent="0.2">
      <c r="B294" s="3">
        <v>45365</v>
      </c>
      <c r="D294">
        <v>10.3391</v>
      </c>
      <c r="G294" s="3">
        <v>45343</v>
      </c>
      <c r="H294">
        <v>1884.54</v>
      </c>
    </row>
    <row r="295" spans="2:8" x14ac:dyDescent="0.2">
      <c r="B295" s="3">
        <v>45364</v>
      </c>
      <c r="D295">
        <v>10.228</v>
      </c>
      <c r="G295" s="3">
        <v>45342</v>
      </c>
      <c r="H295">
        <v>1888.79</v>
      </c>
    </row>
    <row r="296" spans="2:8" x14ac:dyDescent="0.2">
      <c r="B296" s="3">
        <v>45363</v>
      </c>
      <c r="D296">
        <v>10.243</v>
      </c>
      <c r="G296" s="3">
        <v>45341</v>
      </c>
      <c r="H296">
        <v>1900.27</v>
      </c>
    </row>
    <row r="297" spans="2:8" x14ac:dyDescent="0.2">
      <c r="B297" s="3">
        <v>45362</v>
      </c>
      <c r="D297">
        <v>10.2409</v>
      </c>
      <c r="G297" s="3">
        <v>45338</v>
      </c>
      <c r="H297">
        <v>1903.6</v>
      </c>
    </row>
    <row r="298" spans="2:8" x14ac:dyDescent="0.2">
      <c r="B298" s="3">
        <v>45359</v>
      </c>
      <c r="D298">
        <v>10.2044</v>
      </c>
      <c r="G298" s="3">
        <v>45337</v>
      </c>
      <c r="H298">
        <v>1902.57</v>
      </c>
    </row>
    <row r="299" spans="2:8" x14ac:dyDescent="0.2">
      <c r="B299" s="3">
        <v>45358</v>
      </c>
      <c r="D299">
        <v>10.224500000000001</v>
      </c>
      <c r="G299" s="3">
        <v>45336</v>
      </c>
      <c r="H299">
        <v>1884.76</v>
      </c>
    </row>
    <row r="300" spans="2:8" x14ac:dyDescent="0.2">
      <c r="B300" s="3">
        <v>45357</v>
      </c>
      <c r="D300">
        <v>10.297750000000001</v>
      </c>
      <c r="G300" s="3">
        <v>45335</v>
      </c>
      <c r="H300">
        <v>1871.6</v>
      </c>
    </row>
    <row r="301" spans="2:8" x14ac:dyDescent="0.2">
      <c r="B301" s="3">
        <v>45356</v>
      </c>
      <c r="D301">
        <v>10.3782</v>
      </c>
      <c r="G301" s="3">
        <v>45334</v>
      </c>
      <c r="H301">
        <v>1888.08</v>
      </c>
    </row>
    <row r="302" spans="2:8" x14ac:dyDescent="0.2">
      <c r="B302" s="3">
        <v>45355</v>
      </c>
      <c r="D302">
        <v>10.37445</v>
      </c>
      <c r="G302" s="3">
        <v>45331</v>
      </c>
      <c r="H302">
        <v>1889.2</v>
      </c>
    </row>
    <row r="303" spans="2:8" x14ac:dyDescent="0.2">
      <c r="B303" s="3">
        <v>45352</v>
      </c>
      <c r="D303">
        <v>10.3186</v>
      </c>
      <c r="G303" s="3">
        <v>45330</v>
      </c>
      <c r="H303">
        <v>1871.66</v>
      </c>
    </row>
    <row r="304" spans="2:8" x14ac:dyDescent="0.2">
      <c r="B304" s="3">
        <v>45351</v>
      </c>
      <c r="D304">
        <v>10.37355</v>
      </c>
      <c r="G304" s="3">
        <v>45329</v>
      </c>
      <c r="H304">
        <v>1889.34</v>
      </c>
    </row>
    <row r="305" spans="2:8" x14ac:dyDescent="0.2">
      <c r="B305" s="3">
        <v>45350</v>
      </c>
      <c r="D305">
        <v>10.3377</v>
      </c>
      <c r="G305" s="3">
        <v>45328</v>
      </c>
      <c r="H305">
        <v>1878.5</v>
      </c>
    </row>
    <row r="306" spans="2:8" x14ac:dyDescent="0.2">
      <c r="B306" s="3">
        <v>45349</v>
      </c>
      <c r="D306">
        <v>10.30875</v>
      </c>
      <c r="G306" s="3">
        <v>45327</v>
      </c>
      <c r="H306">
        <v>1863.9</v>
      </c>
    </row>
    <row r="307" spans="2:8" x14ac:dyDescent="0.2">
      <c r="B307" s="3">
        <v>45348</v>
      </c>
      <c r="D307">
        <v>10.283300000000001</v>
      </c>
      <c r="G307" s="3">
        <v>45324</v>
      </c>
      <c r="H307">
        <v>1861.72</v>
      </c>
    </row>
    <row r="308" spans="2:8" x14ac:dyDescent="0.2">
      <c r="B308" s="3">
        <v>45345</v>
      </c>
      <c r="D308">
        <v>10.325900000000001</v>
      </c>
      <c r="G308" s="3">
        <v>45323</v>
      </c>
      <c r="H308">
        <v>1865.93</v>
      </c>
    </row>
    <row r="309" spans="2:8" x14ac:dyDescent="0.2">
      <c r="B309" s="3">
        <v>45344</v>
      </c>
      <c r="D309">
        <v>10.32865</v>
      </c>
      <c r="G309" s="3">
        <v>45322</v>
      </c>
      <c r="H309">
        <v>1860.29</v>
      </c>
    </row>
    <row r="310" spans="2:8" x14ac:dyDescent="0.2">
      <c r="B310" s="3">
        <v>45343</v>
      </c>
      <c r="D310">
        <v>10.366199999999999</v>
      </c>
      <c r="G310" s="3">
        <v>45321</v>
      </c>
      <c r="H310">
        <v>1846.75</v>
      </c>
    </row>
    <row r="311" spans="2:8" x14ac:dyDescent="0.2">
      <c r="B311" s="3">
        <v>45342</v>
      </c>
      <c r="D311">
        <v>10.3681</v>
      </c>
      <c r="G311" s="3">
        <v>45320</v>
      </c>
      <c r="H311">
        <v>1849.52</v>
      </c>
    </row>
    <row r="312" spans="2:8" x14ac:dyDescent="0.2">
      <c r="B312" s="3">
        <v>45341</v>
      </c>
      <c r="D312">
        <v>10.4278</v>
      </c>
      <c r="G312" s="3">
        <v>45317</v>
      </c>
      <c r="H312">
        <v>1844.5</v>
      </c>
    </row>
    <row r="313" spans="2:8" x14ac:dyDescent="0.2">
      <c r="B313" s="3">
        <v>45338</v>
      </c>
      <c r="D313">
        <v>10.43515</v>
      </c>
      <c r="G313" s="3">
        <v>45316</v>
      </c>
      <c r="H313">
        <v>1841.86</v>
      </c>
    </row>
    <row r="314" spans="2:8" x14ac:dyDescent="0.2">
      <c r="B314" s="3">
        <v>45337</v>
      </c>
      <c r="D314">
        <v>10.452999999999999</v>
      </c>
      <c r="G314" s="3">
        <v>45315</v>
      </c>
      <c r="H314">
        <v>1828.87</v>
      </c>
    </row>
    <row r="315" spans="2:8" x14ac:dyDescent="0.2">
      <c r="B315" s="3">
        <v>45336</v>
      </c>
      <c r="D315">
        <v>10.5303</v>
      </c>
      <c r="G315" s="3">
        <v>45314</v>
      </c>
      <c r="H315">
        <v>1828.41</v>
      </c>
    </row>
    <row r="316" spans="2:8" x14ac:dyDescent="0.2">
      <c r="B316" s="3">
        <v>45335</v>
      </c>
      <c r="D316">
        <v>10.585850000000001</v>
      </c>
      <c r="G316" s="3">
        <v>45313</v>
      </c>
      <c r="H316">
        <v>1836.22</v>
      </c>
    </row>
    <row r="317" spans="2:8" x14ac:dyDescent="0.2">
      <c r="B317" s="3">
        <v>45334</v>
      </c>
      <c r="D317">
        <v>10.4</v>
      </c>
      <c r="G317" s="3">
        <v>45310</v>
      </c>
      <c r="H317">
        <v>1820.29</v>
      </c>
    </row>
    <row r="318" spans="2:8" x14ac:dyDescent="0.2">
      <c r="B318" s="3">
        <v>45331</v>
      </c>
      <c r="D318">
        <v>10.459250000000001</v>
      </c>
      <c r="G318" s="3">
        <v>45309</v>
      </c>
      <c r="H318">
        <v>1829.05</v>
      </c>
    </row>
    <row r="319" spans="2:8" x14ac:dyDescent="0.2">
      <c r="B319" s="3">
        <v>45330</v>
      </c>
      <c r="D319">
        <v>10.4772</v>
      </c>
      <c r="G319" s="3">
        <v>45308</v>
      </c>
      <c r="H319">
        <v>1831.41</v>
      </c>
    </row>
    <row r="320" spans="2:8" x14ac:dyDescent="0.2">
      <c r="B320" s="3">
        <v>45329</v>
      </c>
      <c r="D320">
        <v>10.473100000000001</v>
      </c>
      <c r="G320" s="3">
        <v>45307</v>
      </c>
      <c r="H320">
        <v>1854.2</v>
      </c>
    </row>
    <row r="321" spans="2:8" x14ac:dyDescent="0.2">
      <c r="B321" s="3">
        <v>45328</v>
      </c>
      <c r="D321">
        <v>10.50305</v>
      </c>
      <c r="G321" s="3">
        <v>45306</v>
      </c>
      <c r="H321">
        <v>1863.19</v>
      </c>
    </row>
    <row r="322" spans="2:8" x14ac:dyDescent="0.2">
      <c r="B322" s="3">
        <v>45327</v>
      </c>
      <c r="D322">
        <v>10.602449999999999</v>
      </c>
      <c r="G322" s="3">
        <v>45303</v>
      </c>
      <c r="H322">
        <v>1879.75</v>
      </c>
    </row>
    <row r="323" spans="2:8" x14ac:dyDescent="0.2">
      <c r="B323" s="3">
        <v>45324</v>
      </c>
      <c r="D323">
        <v>10.499000000000001</v>
      </c>
      <c r="G323" s="3">
        <v>45302</v>
      </c>
      <c r="H323">
        <v>1858.31</v>
      </c>
    </row>
    <row r="324" spans="2:8" x14ac:dyDescent="0.2">
      <c r="B324" s="3">
        <v>45323</v>
      </c>
      <c r="D324">
        <v>10.382300000000001</v>
      </c>
      <c r="G324" s="3">
        <v>45301</v>
      </c>
      <c r="H324">
        <v>1861.1</v>
      </c>
    </row>
    <row r="325" spans="2:8" x14ac:dyDescent="0.2">
      <c r="B325" s="3">
        <v>45322</v>
      </c>
      <c r="D325">
        <v>10.389200000000001</v>
      </c>
      <c r="G325" s="3">
        <v>45300</v>
      </c>
      <c r="H325">
        <v>1860.37</v>
      </c>
    </row>
    <row r="326" spans="2:8" x14ac:dyDescent="0.2">
      <c r="B326" s="3">
        <v>45321</v>
      </c>
      <c r="D326">
        <v>10.410600000000001</v>
      </c>
      <c r="G326" s="3">
        <v>45299</v>
      </c>
      <c r="H326">
        <v>1849.19</v>
      </c>
    </row>
    <row r="327" spans="2:8" x14ac:dyDescent="0.2">
      <c r="B327" s="3">
        <v>45320</v>
      </c>
      <c r="D327">
        <v>10.443300000000001</v>
      </c>
      <c r="G327" s="3">
        <v>45296</v>
      </c>
      <c r="H327">
        <v>1850.95</v>
      </c>
    </row>
    <row r="328" spans="2:8" x14ac:dyDescent="0.2">
      <c r="B328" s="3">
        <v>45317</v>
      </c>
      <c r="D328">
        <v>10.444800000000001</v>
      </c>
      <c r="G328" s="3">
        <v>45295</v>
      </c>
      <c r="H328">
        <v>1847.46</v>
      </c>
    </row>
    <row r="329" spans="2:8" x14ac:dyDescent="0.2">
      <c r="B329" s="3">
        <v>45316</v>
      </c>
      <c r="D329">
        <v>10.444699999999999</v>
      </c>
      <c r="G329" s="3">
        <v>45294</v>
      </c>
      <c r="H329">
        <v>1812.41</v>
      </c>
    </row>
    <row r="330" spans="2:8" x14ac:dyDescent="0.2">
      <c r="B330" s="3">
        <v>45315</v>
      </c>
      <c r="D330">
        <v>10.437799999999999</v>
      </c>
      <c r="G330" s="3">
        <v>45293</v>
      </c>
      <c r="H330">
        <v>1827.17</v>
      </c>
    </row>
    <row r="331" spans="2:8" x14ac:dyDescent="0.2">
      <c r="B331" s="3">
        <v>45314</v>
      </c>
      <c r="D331">
        <v>10.484999999999999</v>
      </c>
      <c r="G331" s="3">
        <v>45289</v>
      </c>
      <c r="H331">
        <v>1825.88</v>
      </c>
    </row>
    <row r="332" spans="2:8" x14ac:dyDescent="0.2">
      <c r="B332" s="3">
        <v>45313</v>
      </c>
      <c r="D332">
        <v>10.464399999999999</v>
      </c>
      <c r="G332" s="3">
        <v>45288</v>
      </c>
      <c r="H332">
        <v>1825.73</v>
      </c>
    </row>
    <row r="333" spans="2:8" x14ac:dyDescent="0.2">
      <c r="B333" s="3">
        <v>45310</v>
      </c>
      <c r="D333">
        <v>10.465199999999999</v>
      </c>
      <c r="G333" s="3">
        <v>45287</v>
      </c>
      <c r="H333">
        <v>1819</v>
      </c>
    </row>
    <row r="334" spans="2:8" x14ac:dyDescent="0.2">
      <c r="B334" s="3">
        <v>45309</v>
      </c>
      <c r="D334">
        <v>10.4857</v>
      </c>
      <c r="G334" s="3">
        <v>45282</v>
      </c>
      <c r="H334">
        <v>1809.79</v>
      </c>
    </row>
    <row r="335" spans="2:8" x14ac:dyDescent="0.2">
      <c r="B335" s="3">
        <v>45308</v>
      </c>
      <c r="D335">
        <v>10.44595</v>
      </c>
      <c r="G335" s="3">
        <v>45281</v>
      </c>
      <c r="H335">
        <v>1801.7</v>
      </c>
    </row>
    <row r="336" spans="2:8" x14ac:dyDescent="0.2">
      <c r="B336" s="3">
        <v>45307</v>
      </c>
      <c r="D336">
        <v>10.437900000000001</v>
      </c>
      <c r="G336" s="3">
        <v>45280</v>
      </c>
      <c r="H336">
        <v>1795.52</v>
      </c>
    </row>
    <row r="337" spans="2:8" x14ac:dyDescent="0.2">
      <c r="B337" s="3">
        <v>45306</v>
      </c>
      <c r="D337">
        <v>10.317600000000001</v>
      </c>
      <c r="G337" s="3">
        <v>45279</v>
      </c>
      <c r="H337">
        <v>1784</v>
      </c>
    </row>
    <row r="338" spans="2:8" x14ac:dyDescent="0.2">
      <c r="B338" s="3">
        <v>45303</v>
      </c>
      <c r="D338">
        <v>10.2821</v>
      </c>
      <c r="G338" s="3">
        <v>45278</v>
      </c>
      <c r="H338">
        <v>1770.68</v>
      </c>
    </row>
    <row r="339" spans="2:8" x14ac:dyDescent="0.2">
      <c r="B339" s="3">
        <v>45302</v>
      </c>
      <c r="D339">
        <v>10.2563</v>
      </c>
      <c r="G339" s="3">
        <v>45275</v>
      </c>
      <c r="H339">
        <v>1762.58</v>
      </c>
    </row>
    <row r="340" spans="2:8" x14ac:dyDescent="0.2">
      <c r="B340" s="3">
        <v>45301</v>
      </c>
      <c r="D340">
        <v>10.226699999999999</v>
      </c>
      <c r="G340" s="3">
        <v>45274</v>
      </c>
      <c r="H340">
        <v>1759.81</v>
      </c>
    </row>
    <row r="341" spans="2:8" x14ac:dyDescent="0.2">
      <c r="B341" s="3">
        <v>45300</v>
      </c>
      <c r="D341">
        <v>10.25365</v>
      </c>
      <c r="G341" s="3">
        <v>45273</v>
      </c>
      <c r="H341">
        <v>1724.32</v>
      </c>
    </row>
    <row r="342" spans="2:8" x14ac:dyDescent="0.2">
      <c r="B342" s="3">
        <v>45299</v>
      </c>
      <c r="D342">
        <v>10.2315</v>
      </c>
      <c r="G342" s="3">
        <v>45272</v>
      </c>
      <c r="H342">
        <v>1705.02</v>
      </c>
    </row>
    <row r="343" spans="2:8" x14ac:dyDescent="0.2">
      <c r="B343" s="3">
        <v>45296</v>
      </c>
      <c r="D343">
        <v>10.253399999999999</v>
      </c>
      <c r="G343" s="3">
        <v>45271</v>
      </c>
      <c r="H343">
        <v>1728</v>
      </c>
    </row>
    <row r="344" spans="2:8" x14ac:dyDescent="0.2">
      <c r="B344" s="3">
        <v>45295</v>
      </c>
      <c r="D344">
        <v>10.2187</v>
      </c>
      <c r="G344" s="3">
        <v>45268</v>
      </c>
      <c r="H344">
        <v>1739.35</v>
      </c>
    </row>
    <row r="345" spans="2:8" x14ac:dyDescent="0.2">
      <c r="B345" s="3">
        <v>45294</v>
      </c>
      <c r="D345">
        <v>10.295949999999999</v>
      </c>
      <c r="G345" s="3">
        <v>45267</v>
      </c>
      <c r="H345">
        <v>1729.5</v>
      </c>
    </row>
    <row r="346" spans="2:8" x14ac:dyDescent="0.2">
      <c r="B346" s="3">
        <v>45293</v>
      </c>
      <c r="D346">
        <v>10.2195</v>
      </c>
      <c r="G346" s="3">
        <v>45266</v>
      </c>
      <c r="H346">
        <v>1744.35</v>
      </c>
    </row>
    <row r="347" spans="2:8" x14ac:dyDescent="0.2">
      <c r="B347" s="3">
        <v>45292</v>
      </c>
      <c r="D347">
        <v>10.075049999999999</v>
      </c>
      <c r="G347" s="3">
        <v>45265</v>
      </c>
      <c r="H347">
        <v>1741.56</v>
      </c>
    </row>
    <row r="348" spans="2:8" x14ac:dyDescent="0.2">
      <c r="B348" s="3">
        <v>45289</v>
      </c>
      <c r="D348">
        <v>10.0685</v>
      </c>
      <c r="G348" s="3">
        <v>45264</v>
      </c>
      <c r="H348">
        <v>1737.39</v>
      </c>
    </row>
    <row r="349" spans="2:8" x14ac:dyDescent="0.2">
      <c r="B349" s="3">
        <v>45288</v>
      </c>
      <c r="D349">
        <v>9.9885999999999999</v>
      </c>
      <c r="G349" s="3">
        <v>45261</v>
      </c>
      <c r="H349">
        <v>1734</v>
      </c>
    </row>
    <row r="350" spans="2:8" x14ac:dyDescent="0.2">
      <c r="B350" s="3">
        <v>45287</v>
      </c>
      <c r="D350">
        <v>9.9404500000000002</v>
      </c>
      <c r="G350" s="3">
        <v>45260</v>
      </c>
      <c r="H350">
        <v>1729.42</v>
      </c>
    </row>
    <row r="351" spans="2:8" x14ac:dyDescent="0.2">
      <c r="B351" s="3">
        <v>45286</v>
      </c>
      <c r="D351">
        <v>9.9968000000000004</v>
      </c>
      <c r="G351" s="3">
        <v>45259</v>
      </c>
      <c r="H351">
        <v>1714.75</v>
      </c>
    </row>
    <row r="352" spans="2:8" x14ac:dyDescent="0.2">
      <c r="B352" s="3">
        <v>45285</v>
      </c>
      <c r="D352">
        <v>10.03745</v>
      </c>
      <c r="G352" s="3">
        <v>45258</v>
      </c>
      <c r="H352">
        <v>1690</v>
      </c>
    </row>
    <row r="353" spans="2:8" x14ac:dyDescent="0.2">
      <c r="B353" s="3">
        <v>45282</v>
      </c>
      <c r="D353">
        <v>10.002000000000001</v>
      </c>
      <c r="G353" s="3">
        <v>45257</v>
      </c>
      <c r="H353">
        <v>1715.21</v>
      </c>
    </row>
    <row r="354" spans="2:8" x14ac:dyDescent="0.2">
      <c r="B354" s="3">
        <v>45281</v>
      </c>
      <c r="D354">
        <v>10.087999999999999</v>
      </c>
      <c r="G354" s="3">
        <v>45254</v>
      </c>
      <c r="H354">
        <v>1715.5</v>
      </c>
    </row>
    <row r="355" spans="2:8" x14ac:dyDescent="0.2">
      <c r="B355" s="3">
        <v>45280</v>
      </c>
      <c r="D355">
        <v>10.17685</v>
      </c>
      <c r="G355" s="3">
        <v>45253</v>
      </c>
      <c r="H355">
        <v>1711.2</v>
      </c>
    </row>
    <row r="356" spans="2:8" x14ac:dyDescent="0.2">
      <c r="B356" s="3">
        <v>45279</v>
      </c>
      <c r="D356">
        <v>10.1571</v>
      </c>
      <c r="G356" s="3">
        <v>45252</v>
      </c>
      <c r="H356">
        <v>1707.27</v>
      </c>
    </row>
    <row r="357" spans="2:8" x14ac:dyDescent="0.2">
      <c r="B357" s="3">
        <v>45278</v>
      </c>
      <c r="D357">
        <v>10.2096</v>
      </c>
      <c r="G357" s="3">
        <v>45251</v>
      </c>
      <c r="H357">
        <v>1703.5</v>
      </c>
    </row>
    <row r="358" spans="2:8" x14ac:dyDescent="0.2">
      <c r="B358" s="3">
        <v>45275</v>
      </c>
      <c r="D358">
        <v>10.274699999999999</v>
      </c>
      <c r="G358" s="3">
        <v>45250</v>
      </c>
      <c r="H358">
        <v>1722.25</v>
      </c>
    </row>
    <row r="359" spans="2:8" x14ac:dyDescent="0.2">
      <c r="B359" s="3">
        <v>45274</v>
      </c>
      <c r="D359">
        <v>10.24245</v>
      </c>
      <c r="G359" s="3">
        <v>45247</v>
      </c>
      <c r="H359">
        <v>1707.06</v>
      </c>
    </row>
    <row r="360" spans="2:8" x14ac:dyDescent="0.2">
      <c r="B360" s="3">
        <v>45273</v>
      </c>
      <c r="D360">
        <v>10.33175</v>
      </c>
      <c r="G360" s="3">
        <v>45246</v>
      </c>
      <c r="H360">
        <v>1683.38</v>
      </c>
    </row>
    <row r="361" spans="2:8" x14ac:dyDescent="0.2">
      <c r="B361" s="3">
        <v>45272</v>
      </c>
      <c r="D361">
        <v>10.436400000000001</v>
      </c>
      <c r="G361" s="3">
        <v>45245</v>
      </c>
      <c r="H361">
        <v>1692.84</v>
      </c>
    </row>
    <row r="362" spans="2:8" x14ac:dyDescent="0.2">
      <c r="B362" s="3">
        <v>45271</v>
      </c>
      <c r="D362">
        <v>10.49145</v>
      </c>
      <c r="G362" s="3">
        <v>45244</v>
      </c>
      <c r="H362">
        <v>1688</v>
      </c>
    </row>
    <row r="363" spans="2:8" x14ac:dyDescent="0.2">
      <c r="B363" s="3">
        <v>45268</v>
      </c>
      <c r="D363">
        <v>10.4665</v>
      </c>
      <c r="G363" s="3">
        <v>45243</v>
      </c>
      <c r="H363">
        <v>1661.69</v>
      </c>
    </row>
    <row r="364" spans="2:8" x14ac:dyDescent="0.2">
      <c r="B364" s="3">
        <v>45267</v>
      </c>
      <c r="D364">
        <v>10.389699999999999</v>
      </c>
      <c r="G364" s="3">
        <v>45240</v>
      </c>
      <c r="H364">
        <v>1645.02</v>
      </c>
    </row>
    <row r="365" spans="2:8" x14ac:dyDescent="0.2">
      <c r="B365" s="3">
        <v>45266</v>
      </c>
      <c r="D365">
        <v>10.47655</v>
      </c>
      <c r="G365" s="3">
        <v>45239</v>
      </c>
      <c r="H365">
        <v>1660.31</v>
      </c>
    </row>
    <row r="366" spans="2:8" x14ac:dyDescent="0.2">
      <c r="B366" s="3">
        <v>45265</v>
      </c>
      <c r="D366">
        <v>10.4887</v>
      </c>
      <c r="G366" s="3">
        <v>45238</v>
      </c>
      <c r="H366">
        <v>1663.07</v>
      </c>
    </row>
    <row r="367" spans="2:8" x14ac:dyDescent="0.2">
      <c r="B367" s="3">
        <v>45264</v>
      </c>
      <c r="D367">
        <v>10.436349999999999</v>
      </c>
      <c r="G367" s="3">
        <v>45237</v>
      </c>
      <c r="H367">
        <v>1633</v>
      </c>
    </row>
    <row r="368" spans="2:8" x14ac:dyDescent="0.2">
      <c r="B368" s="3">
        <v>45261</v>
      </c>
      <c r="D368">
        <v>10.3689</v>
      </c>
      <c r="G368" s="3">
        <v>45236</v>
      </c>
      <c r="H368">
        <v>1638.39</v>
      </c>
    </row>
    <row r="369" spans="2:8" x14ac:dyDescent="0.2">
      <c r="B369" s="3">
        <v>45260</v>
      </c>
      <c r="D369">
        <v>10.5009</v>
      </c>
      <c r="G369" s="3">
        <v>45233</v>
      </c>
      <c r="H369">
        <v>1637.25</v>
      </c>
    </row>
    <row r="370" spans="2:8" x14ac:dyDescent="0.2">
      <c r="B370" s="3">
        <v>45259</v>
      </c>
      <c r="D370">
        <v>10.364750000000001</v>
      </c>
      <c r="G370" s="3">
        <v>45232</v>
      </c>
      <c r="H370">
        <v>1654.75</v>
      </c>
    </row>
    <row r="371" spans="2:8" x14ac:dyDescent="0.2">
      <c r="B371" s="3">
        <v>45258</v>
      </c>
      <c r="D371">
        <v>10.31865</v>
      </c>
      <c r="G371" s="3">
        <v>45231</v>
      </c>
      <c r="H371">
        <v>1620.73</v>
      </c>
    </row>
    <row r="372" spans="2:8" x14ac:dyDescent="0.2">
      <c r="B372" s="3">
        <v>45257</v>
      </c>
      <c r="D372">
        <v>10.4267</v>
      </c>
      <c r="G372" s="3">
        <v>45230</v>
      </c>
      <c r="H372">
        <v>1623.52</v>
      </c>
    </row>
    <row r="373" spans="2:8" x14ac:dyDescent="0.2">
      <c r="B373" s="3">
        <v>45254</v>
      </c>
      <c r="D373">
        <v>10.440799999999999</v>
      </c>
      <c r="G373" s="3">
        <v>45229</v>
      </c>
      <c r="H373">
        <v>1607</v>
      </c>
    </row>
    <row r="374" spans="2:8" x14ac:dyDescent="0.2">
      <c r="B374" s="3">
        <v>45253</v>
      </c>
      <c r="D374">
        <v>10.48785</v>
      </c>
      <c r="G374" s="3">
        <v>45226</v>
      </c>
      <c r="H374">
        <v>1599.5</v>
      </c>
    </row>
    <row r="375" spans="2:8" x14ac:dyDescent="0.2">
      <c r="B375" s="3">
        <v>45252</v>
      </c>
      <c r="D375">
        <v>10.4724</v>
      </c>
      <c r="G375" s="3">
        <v>45225</v>
      </c>
      <c r="H375">
        <v>1597.15</v>
      </c>
    </row>
    <row r="376" spans="2:8" x14ac:dyDescent="0.2">
      <c r="B376" s="3">
        <v>45251</v>
      </c>
      <c r="D376">
        <v>10.4666</v>
      </c>
      <c r="G376" s="3">
        <v>45224</v>
      </c>
      <c r="H376">
        <v>1589.75</v>
      </c>
    </row>
    <row r="377" spans="2:8" x14ac:dyDescent="0.2">
      <c r="B377" s="3">
        <v>45250</v>
      </c>
      <c r="D377">
        <v>10.449949999999999</v>
      </c>
      <c r="G377" s="3">
        <v>45223</v>
      </c>
      <c r="H377">
        <v>1615.99</v>
      </c>
    </row>
    <row r="378" spans="2:8" x14ac:dyDescent="0.2">
      <c r="B378" s="3">
        <v>45247</v>
      </c>
      <c r="D378">
        <v>10.5191</v>
      </c>
      <c r="G378" s="3">
        <v>45222</v>
      </c>
      <c r="H378">
        <v>1608.75</v>
      </c>
    </row>
    <row r="379" spans="2:8" x14ac:dyDescent="0.2">
      <c r="B379" s="3">
        <v>45246</v>
      </c>
      <c r="D379">
        <v>10.592000000000001</v>
      </c>
      <c r="G379" s="3">
        <v>45219</v>
      </c>
      <c r="H379">
        <v>1609.72</v>
      </c>
    </row>
    <row r="380" spans="2:8" x14ac:dyDescent="0.2">
      <c r="B380" s="3">
        <v>45245</v>
      </c>
      <c r="D380">
        <v>10.554500000000001</v>
      </c>
      <c r="G380" s="3">
        <v>45218</v>
      </c>
      <c r="H380">
        <v>1613.45</v>
      </c>
    </row>
    <row r="381" spans="2:8" x14ac:dyDescent="0.2">
      <c r="B381" s="3">
        <v>45244</v>
      </c>
      <c r="D381">
        <v>10.591850000000001</v>
      </c>
      <c r="G381" s="3">
        <v>45217</v>
      </c>
      <c r="H381">
        <v>1646.7</v>
      </c>
    </row>
    <row r="382" spans="2:8" x14ac:dyDescent="0.2">
      <c r="B382" s="3">
        <v>45243</v>
      </c>
      <c r="D382">
        <v>10.838900000000001</v>
      </c>
      <c r="G382" s="3">
        <v>45216</v>
      </c>
      <c r="H382">
        <v>1673.25</v>
      </c>
    </row>
    <row r="383" spans="2:8" x14ac:dyDescent="0.2">
      <c r="B383" s="3">
        <v>45240</v>
      </c>
      <c r="D383">
        <v>10.8995</v>
      </c>
      <c r="G383" s="3">
        <v>45215</v>
      </c>
      <c r="H383">
        <v>1683.34</v>
      </c>
    </row>
    <row r="384" spans="2:8" x14ac:dyDescent="0.2">
      <c r="B384" s="3">
        <v>45239</v>
      </c>
      <c r="D384">
        <v>10.927250000000001</v>
      </c>
      <c r="G384" s="3">
        <v>45212</v>
      </c>
      <c r="H384">
        <v>1698.25</v>
      </c>
    </row>
    <row r="385" spans="2:8" x14ac:dyDescent="0.2">
      <c r="B385" s="3">
        <v>45238</v>
      </c>
      <c r="D385">
        <v>10.8972</v>
      </c>
      <c r="G385" s="3">
        <v>45211</v>
      </c>
      <c r="H385">
        <v>1714.25</v>
      </c>
    </row>
    <row r="386" spans="2:8" x14ac:dyDescent="0.2">
      <c r="B386" s="3">
        <v>45237</v>
      </c>
      <c r="D386">
        <v>10.919549999999999</v>
      </c>
      <c r="G386" s="3">
        <v>45210</v>
      </c>
      <c r="H386">
        <v>1711.5</v>
      </c>
    </row>
    <row r="387" spans="2:8" x14ac:dyDescent="0.2">
      <c r="B387" s="3">
        <v>45236</v>
      </c>
      <c r="D387">
        <v>10.914199999999999</v>
      </c>
      <c r="G387" s="3">
        <v>45209</v>
      </c>
      <c r="H387">
        <v>1704</v>
      </c>
    </row>
    <row r="388" spans="2:8" x14ac:dyDescent="0.2">
      <c r="B388" s="3">
        <v>45233</v>
      </c>
      <c r="D388">
        <v>10.882899999999999</v>
      </c>
      <c r="G388" s="3">
        <v>45208</v>
      </c>
      <c r="H388">
        <v>1670</v>
      </c>
    </row>
    <row r="389" spans="2:8" x14ac:dyDescent="0.2">
      <c r="B389" s="3">
        <v>45232</v>
      </c>
      <c r="D389">
        <v>11.124700000000001</v>
      </c>
      <c r="G389" s="3">
        <v>45205</v>
      </c>
      <c r="H389">
        <v>1678.5</v>
      </c>
    </row>
    <row r="390" spans="2:8" x14ac:dyDescent="0.2">
      <c r="B390" s="3">
        <v>45231</v>
      </c>
      <c r="D390">
        <v>11.1812</v>
      </c>
      <c r="G390" s="3">
        <v>45204</v>
      </c>
      <c r="H390">
        <v>1668</v>
      </c>
    </row>
    <row r="391" spans="2:8" x14ac:dyDescent="0.2">
      <c r="B391" s="3">
        <v>45230</v>
      </c>
      <c r="D391">
        <v>11.176299999999999</v>
      </c>
      <c r="G391" s="3">
        <v>45203</v>
      </c>
      <c r="H391">
        <v>1643.5</v>
      </c>
    </row>
    <row r="392" spans="2:8" x14ac:dyDescent="0.2">
      <c r="B392" s="3">
        <v>45229</v>
      </c>
      <c r="D392">
        <v>11.1448</v>
      </c>
      <c r="G392" s="3">
        <v>45202</v>
      </c>
      <c r="H392">
        <v>1648.06</v>
      </c>
    </row>
    <row r="393" spans="2:8" x14ac:dyDescent="0.2">
      <c r="B393" s="3">
        <v>45226</v>
      </c>
      <c r="D393">
        <v>11.1493</v>
      </c>
      <c r="G393" s="3">
        <v>45201</v>
      </c>
      <c r="H393">
        <v>1665.75</v>
      </c>
    </row>
    <row r="394" spans="2:8" x14ac:dyDescent="0.2">
      <c r="B394" s="3">
        <v>45225</v>
      </c>
      <c r="D394">
        <v>11.16605</v>
      </c>
      <c r="G394" s="3">
        <v>45198</v>
      </c>
      <c r="H394">
        <v>1709.25</v>
      </c>
    </row>
    <row r="395" spans="2:8" x14ac:dyDescent="0.2">
      <c r="B395" s="3">
        <v>45224</v>
      </c>
      <c r="D395">
        <v>11.1478</v>
      </c>
      <c r="G395" s="3">
        <v>45197</v>
      </c>
      <c r="H395">
        <v>1698.5</v>
      </c>
    </row>
    <row r="396" spans="2:8" x14ac:dyDescent="0.2">
      <c r="B396" s="3">
        <v>45223</v>
      </c>
      <c r="D396">
        <v>11.1168</v>
      </c>
      <c r="G396" s="3">
        <v>45196</v>
      </c>
      <c r="H396">
        <v>1690.75</v>
      </c>
    </row>
    <row r="397" spans="2:8" x14ac:dyDescent="0.2">
      <c r="B397" s="3">
        <v>45222</v>
      </c>
      <c r="D397">
        <v>10.9763</v>
      </c>
      <c r="G397" s="3">
        <v>45195</v>
      </c>
      <c r="H397">
        <v>1696.81</v>
      </c>
    </row>
    <row r="398" spans="2:8" x14ac:dyDescent="0.2">
      <c r="B398" s="3">
        <v>45219</v>
      </c>
      <c r="D398">
        <v>10.976100000000001</v>
      </c>
      <c r="G398" s="3">
        <v>45194</v>
      </c>
      <c r="H398">
        <v>1700</v>
      </c>
    </row>
    <row r="399" spans="2:8" x14ac:dyDescent="0.2">
      <c r="B399" s="3">
        <v>45218</v>
      </c>
      <c r="D399">
        <v>10.960900000000001</v>
      </c>
      <c r="G399" s="3">
        <v>45191</v>
      </c>
      <c r="H399">
        <v>1718.84</v>
      </c>
    </row>
    <row r="400" spans="2:8" x14ac:dyDescent="0.2">
      <c r="B400" s="3">
        <v>45217</v>
      </c>
      <c r="D400">
        <v>11.027699999999999</v>
      </c>
      <c r="G400" s="3">
        <v>45190</v>
      </c>
      <c r="H400">
        <v>1723.5</v>
      </c>
    </row>
    <row r="401" spans="2:8" x14ac:dyDescent="0.2">
      <c r="B401" s="3">
        <v>45216</v>
      </c>
      <c r="D401">
        <v>10.90935</v>
      </c>
      <c r="G401" s="3">
        <v>45189</v>
      </c>
      <c r="H401">
        <v>1755</v>
      </c>
    </row>
    <row r="402" spans="2:8" x14ac:dyDescent="0.2">
      <c r="B402" s="3">
        <v>45215</v>
      </c>
      <c r="D402">
        <v>10.919600000000001</v>
      </c>
      <c r="G402" s="3">
        <v>45188</v>
      </c>
      <c r="H402">
        <v>1722.5</v>
      </c>
    </row>
    <row r="403" spans="2:8" x14ac:dyDescent="0.2">
      <c r="B403" s="3">
        <v>45212</v>
      </c>
      <c r="D403">
        <v>11.03645</v>
      </c>
      <c r="G403" s="3">
        <v>45187</v>
      </c>
      <c r="H403">
        <v>1730.25</v>
      </c>
    </row>
    <row r="404" spans="2:8" x14ac:dyDescent="0.2">
      <c r="B404" s="3">
        <v>45211</v>
      </c>
      <c r="D404">
        <v>11.000999999999999</v>
      </c>
      <c r="G404" s="3">
        <v>45184</v>
      </c>
      <c r="H404">
        <v>1746.83</v>
      </c>
    </row>
    <row r="405" spans="2:8" x14ac:dyDescent="0.2">
      <c r="B405" s="3">
        <v>45210</v>
      </c>
      <c r="D405">
        <v>10.906650000000001</v>
      </c>
      <c r="G405" s="3">
        <v>45183</v>
      </c>
      <c r="H405">
        <v>1756.27</v>
      </c>
    </row>
    <row r="406" spans="2:8" x14ac:dyDescent="0.2">
      <c r="B406" s="3">
        <v>45209</v>
      </c>
      <c r="D406">
        <v>10.873250000000001</v>
      </c>
      <c r="G406" s="3">
        <v>45182</v>
      </c>
      <c r="H406">
        <v>1716.38</v>
      </c>
    </row>
    <row r="407" spans="2:8" x14ac:dyDescent="0.2">
      <c r="B407" s="3">
        <v>45208</v>
      </c>
      <c r="D407">
        <v>10.96415</v>
      </c>
      <c r="G407" s="3">
        <v>45181</v>
      </c>
      <c r="H407">
        <v>1715.25</v>
      </c>
    </row>
    <row r="408" spans="2:8" x14ac:dyDescent="0.2">
      <c r="B408" s="3">
        <v>45205</v>
      </c>
      <c r="D408">
        <v>10.959949999999999</v>
      </c>
      <c r="G408" s="3">
        <v>45180</v>
      </c>
      <c r="H408">
        <v>1731.5</v>
      </c>
    </row>
    <row r="409" spans="2:8" x14ac:dyDescent="0.2">
      <c r="B409" s="3">
        <v>45204</v>
      </c>
      <c r="D409">
        <v>11.0015</v>
      </c>
      <c r="G409" s="3">
        <v>45177</v>
      </c>
      <c r="H409">
        <v>1727.78</v>
      </c>
    </row>
    <row r="410" spans="2:8" x14ac:dyDescent="0.2">
      <c r="B410" s="3">
        <v>45203</v>
      </c>
      <c r="D410">
        <v>11.068250000000001</v>
      </c>
      <c r="G410" s="3">
        <v>45176</v>
      </c>
      <c r="H410">
        <v>1723</v>
      </c>
    </row>
    <row r="411" spans="2:8" x14ac:dyDescent="0.2">
      <c r="B411" s="3">
        <v>45202</v>
      </c>
      <c r="D411">
        <v>11.087899999999999</v>
      </c>
      <c r="G411" s="3">
        <v>45175</v>
      </c>
      <c r="H411">
        <v>1728.75</v>
      </c>
    </row>
    <row r="412" spans="2:8" x14ac:dyDescent="0.2">
      <c r="B412" s="3">
        <v>45201</v>
      </c>
      <c r="D412">
        <v>11.0535</v>
      </c>
      <c r="G412" s="3">
        <v>45174</v>
      </c>
      <c r="H412">
        <v>1739.25</v>
      </c>
    </row>
    <row r="413" spans="2:8" x14ac:dyDescent="0.2">
      <c r="B413" s="3">
        <v>45198</v>
      </c>
      <c r="D413">
        <v>10.921200000000001</v>
      </c>
      <c r="G413" s="3">
        <v>45173</v>
      </c>
      <c r="H413">
        <v>1756.95</v>
      </c>
    </row>
    <row r="414" spans="2:8" x14ac:dyDescent="0.2">
      <c r="B414" s="3">
        <v>45197</v>
      </c>
      <c r="D414">
        <v>10.921099999999999</v>
      </c>
      <c r="G414" s="3">
        <v>45170</v>
      </c>
      <c r="H414">
        <v>1757.25</v>
      </c>
    </row>
    <row r="415" spans="2:8" x14ac:dyDescent="0.2">
      <c r="B415" s="3">
        <v>45196</v>
      </c>
      <c r="D415">
        <v>11.067600000000001</v>
      </c>
      <c r="G415" s="3">
        <v>45169</v>
      </c>
      <c r="H415">
        <v>1738.5</v>
      </c>
    </row>
    <row r="416" spans="2:8" x14ac:dyDescent="0.2">
      <c r="B416" s="3">
        <v>45195</v>
      </c>
      <c r="D416">
        <v>10.9945</v>
      </c>
      <c r="G416" s="3">
        <v>45168</v>
      </c>
      <c r="H416">
        <v>1755.75</v>
      </c>
    </row>
    <row r="417" spans="2:8" x14ac:dyDescent="0.2">
      <c r="B417" s="3">
        <v>45194</v>
      </c>
      <c r="D417">
        <v>11.0581</v>
      </c>
      <c r="G417" s="3">
        <v>45167</v>
      </c>
      <c r="H417">
        <v>1800</v>
      </c>
    </row>
    <row r="418" spans="2:8" x14ac:dyDescent="0.2">
      <c r="B418" s="3">
        <v>45191</v>
      </c>
      <c r="D418">
        <v>11.1371</v>
      </c>
      <c r="G418" s="3">
        <v>45166</v>
      </c>
      <c r="H418">
        <v>1792</v>
      </c>
    </row>
    <row r="419" spans="2:8" x14ac:dyDescent="0.2">
      <c r="B419" s="3">
        <v>45190</v>
      </c>
      <c r="D419">
        <v>11.170299999999999</v>
      </c>
      <c r="G419" s="3">
        <v>45163</v>
      </c>
      <c r="H419">
        <v>1768.5</v>
      </c>
    </row>
    <row r="420" spans="2:8" x14ac:dyDescent="0.2">
      <c r="B420" s="3">
        <v>45189</v>
      </c>
      <c r="D420">
        <v>11.141</v>
      </c>
      <c r="G420" s="3">
        <v>45162</v>
      </c>
      <c r="H420">
        <v>1772.5</v>
      </c>
    </row>
    <row r="421" spans="2:8" x14ac:dyDescent="0.2">
      <c r="B421" s="3">
        <v>45188</v>
      </c>
      <c r="D421">
        <v>11.1693</v>
      </c>
      <c r="G421" s="3">
        <v>45161</v>
      </c>
      <c r="H421">
        <v>1777.5</v>
      </c>
    </row>
    <row r="422" spans="2:8" x14ac:dyDescent="0.2">
      <c r="B422" s="3">
        <v>45187</v>
      </c>
      <c r="D422">
        <v>11.15</v>
      </c>
      <c r="G422" s="3">
        <v>45160</v>
      </c>
      <c r="H422">
        <v>1764.5</v>
      </c>
    </row>
    <row r="423" spans="2:8" x14ac:dyDescent="0.2">
      <c r="B423" s="3">
        <v>45184</v>
      </c>
      <c r="D423">
        <v>11.188800000000001</v>
      </c>
      <c r="G423" s="3">
        <v>45159</v>
      </c>
      <c r="H423">
        <v>1753.5</v>
      </c>
    </row>
    <row r="424" spans="2:8" x14ac:dyDescent="0.2">
      <c r="B424" s="3">
        <v>45183</v>
      </c>
      <c r="D424">
        <v>11.1858</v>
      </c>
      <c r="G424" s="3">
        <v>45156</v>
      </c>
      <c r="H424">
        <v>1743.08</v>
      </c>
    </row>
    <row r="425" spans="2:8" x14ac:dyDescent="0.2">
      <c r="B425" s="3">
        <v>45182</v>
      </c>
      <c r="D425">
        <v>11.1349</v>
      </c>
      <c r="G425" s="3">
        <v>45155</v>
      </c>
      <c r="H425">
        <v>1755.89</v>
      </c>
    </row>
    <row r="426" spans="2:8" x14ac:dyDescent="0.2">
      <c r="B426" s="3">
        <v>45181</v>
      </c>
      <c r="D426">
        <v>11.08245</v>
      </c>
      <c r="G426" s="3">
        <v>45154</v>
      </c>
      <c r="H426">
        <v>1774.4</v>
      </c>
    </row>
    <row r="427" spans="2:8" x14ac:dyDescent="0.2">
      <c r="B427" s="3">
        <v>45180</v>
      </c>
      <c r="D427">
        <v>11.0784</v>
      </c>
      <c r="G427" s="3">
        <v>45153</v>
      </c>
      <c r="H427">
        <v>1765</v>
      </c>
    </row>
    <row r="428" spans="2:8" x14ac:dyDescent="0.2">
      <c r="B428" s="3">
        <v>45177</v>
      </c>
      <c r="D428">
        <v>11.126899999999999</v>
      </c>
      <c r="G428" s="3">
        <v>45152</v>
      </c>
      <c r="H428">
        <v>1778.25</v>
      </c>
    </row>
    <row r="429" spans="2:8" x14ac:dyDescent="0.2">
      <c r="B429" s="3">
        <v>45176</v>
      </c>
      <c r="D429">
        <v>11.14475</v>
      </c>
      <c r="G429" s="3">
        <v>45149</v>
      </c>
      <c r="H429">
        <v>1785.64</v>
      </c>
    </row>
    <row r="430" spans="2:8" x14ac:dyDescent="0.2">
      <c r="B430" s="3">
        <v>45175</v>
      </c>
      <c r="D430">
        <v>11.110950000000001</v>
      </c>
      <c r="G430" s="3">
        <v>45148</v>
      </c>
      <c r="H430">
        <v>1806.33</v>
      </c>
    </row>
    <row r="431" spans="2:8" x14ac:dyDescent="0.2">
      <c r="B431" s="3">
        <v>45174</v>
      </c>
      <c r="D431">
        <v>11.0998</v>
      </c>
      <c r="G431" s="3">
        <v>45147</v>
      </c>
      <c r="H431">
        <v>1808.5</v>
      </c>
    </row>
    <row r="432" spans="2:8" x14ac:dyDescent="0.2">
      <c r="B432" s="3">
        <v>45173</v>
      </c>
      <c r="D432">
        <v>10.9933</v>
      </c>
      <c r="G432" s="3">
        <v>45146</v>
      </c>
      <c r="H432">
        <v>1815</v>
      </c>
    </row>
    <row r="433" spans="2:8" x14ac:dyDescent="0.2">
      <c r="B433" s="3">
        <v>45170</v>
      </c>
      <c r="D433">
        <v>11.032999999999999</v>
      </c>
      <c r="G433" s="3">
        <v>45145</v>
      </c>
      <c r="H433">
        <v>1767</v>
      </c>
    </row>
    <row r="434" spans="2:8" x14ac:dyDescent="0.2">
      <c r="B434" s="3">
        <v>45169</v>
      </c>
      <c r="D434">
        <v>10.9499</v>
      </c>
      <c r="G434" s="3">
        <v>45142</v>
      </c>
      <c r="H434">
        <v>1757.25</v>
      </c>
    </row>
    <row r="435" spans="2:8" x14ac:dyDescent="0.2">
      <c r="B435" s="3">
        <v>45168</v>
      </c>
      <c r="D435">
        <v>10.8383</v>
      </c>
      <c r="G435" s="3">
        <v>45141</v>
      </c>
      <c r="H435">
        <v>1763.5</v>
      </c>
    </row>
    <row r="436" spans="2:8" x14ac:dyDescent="0.2">
      <c r="B436" s="3">
        <v>45167</v>
      </c>
      <c r="D436">
        <v>10.871600000000001</v>
      </c>
      <c r="G436" s="3">
        <v>45140</v>
      </c>
      <c r="H436">
        <v>1773.25</v>
      </c>
    </row>
    <row r="437" spans="2:8" x14ac:dyDescent="0.2">
      <c r="B437" s="3">
        <v>45166</v>
      </c>
      <c r="D437">
        <v>10.9847</v>
      </c>
      <c r="G437" s="3">
        <v>45139</v>
      </c>
      <c r="H437">
        <v>1799.5</v>
      </c>
    </row>
    <row r="438" spans="2:8" x14ac:dyDescent="0.2">
      <c r="B438" s="3">
        <v>45163</v>
      </c>
      <c r="D438">
        <v>11.0562</v>
      </c>
      <c r="G438" s="3">
        <v>45138</v>
      </c>
      <c r="H438">
        <v>1815.75</v>
      </c>
    </row>
    <row r="439" spans="2:8" x14ac:dyDescent="0.2">
      <c r="B439" s="3">
        <v>45162</v>
      </c>
      <c r="D439">
        <v>10.99465</v>
      </c>
      <c r="G439" s="3">
        <v>45135</v>
      </c>
      <c r="H439">
        <v>1793.25</v>
      </c>
    </row>
    <row r="440" spans="2:8" x14ac:dyDescent="0.2">
      <c r="B440" s="3">
        <v>45161</v>
      </c>
      <c r="D440">
        <v>10.9033</v>
      </c>
      <c r="G440" s="3">
        <v>45134</v>
      </c>
      <c r="H440">
        <v>1827.75</v>
      </c>
    </row>
    <row r="441" spans="2:8" x14ac:dyDescent="0.2">
      <c r="B441" s="3">
        <v>45160</v>
      </c>
      <c r="D441">
        <v>10.93145</v>
      </c>
      <c r="G441" s="3">
        <v>45133</v>
      </c>
      <c r="H441">
        <v>1805.25</v>
      </c>
    </row>
    <row r="442" spans="2:8" x14ac:dyDescent="0.2">
      <c r="B442" s="3">
        <v>45159</v>
      </c>
      <c r="D442">
        <v>10.963850000000001</v>
      </c>
      <c r="G442" s="3">
        <v>45132</v>
      </c>
      <c r="H442">
        <v>1830.25</v>
      </c>
    </row>
    <row r="443" spans="2:8" x14ac:dyDescent="0.2">
      <c r="B443" s="3">
        <v>45156</v>
      </c>
      <c r="D443">
        <v>10.9619</v>
      </c>
      <c r="G443" s="3">
        <v>45131</v>
      </c>
      <c r="H443">
        <v>1832.5</v>
      </c>
    </row>
    <row r="444" spans="2:8" x14ac:dyDescent="0.2">
      <c r="B444" s="3">
        <v>45155</v>
      </c>
      <c r="D444">
        <v>10.9329</v>
      </c>
      <c r="G444" s="3">
        <v>45128</v>
      </c>
      <c r="H444">
        <v>1839.43</v>
      </c>
    </row>
    <row r="445" spans="2:8" x14ac:dyDescent="0.2">
      <c r="B445" s="3">
        <v>45154</v>
      </c>
      <c r="D445">
        <v>10.913600000000001</v>
      </c>
      <c r="G445" s="3">
        <v>45127</v>
      </c>
      <c r="H445">
        <v>1839.93</v>
      </c>
    </row>
    <row r="446" spans="2:8" x14ac:dyDescent="0.2">
      <c r="B446" s="3">
        <v>45153</v>
      </c>
      <c r="D446">
        <v>10.8538</v>
      </c>
      <c r="G446" s="3">
        <v>45126</v>
      </c>
      <c r="H446">
        <v>1830.99</v>
      </c>
    </row>
    <row r="447" spans="2:8" x14ac:dyDescent="0.2">
      <c r="B447" s="3">
        <v>45152</v>
      </c>
      <c r="D447">
        <v>10.7704</v>
      </c>
      <c r="G447" s="3">
        <v>45125</v>
      </c>
      <c r="H447">
        <v>1827.5</v>
      </c>
    </row>
    <row r="448" spans="2:8" x14ac:dyDescent="0.2">
      <c r="B448" s="3">
        <v>45149</v>
      </c>
      <c r="D448">
        <v>10.8256</v>
      </c>
      <c r="G448" s="3">
        <v>45124</v>
      </c>
      <c r="H448">
        <v>1820.5</v>
      </c>
    </row>
    <row r="449" spans="2:8" x14ac:dyDescent="0.2">
      <c r="B449" s="3">
        <v>45148</v>
      </c>
      <c r="D449">
        <v>10.703200000000001</v>
      </c>
      <c r="G449" s="3">
        <v>45121</v>
      </c>
      <c r="H449">
        <v>1813.81</v>
      </c>
    </row>
    <row r="450" spans="2:8" x14ac:dyDescent="0.2">
      <c r="B450" s="3">
        <v>45147</v>
      </c>
      <c r="D450">
        <v>10.673999999999999</v>
      </c>
      <c r="G450" s="3">
        <v>45120</v>
      </c>
      <c r="H450">
        <v>1814.75</v>
      </c>
    </row>
    <row r="451" spans="2:8" x14ac:dyDescent="0.2">
      <c r="B451" s="3">
        <v>45146</v>
      </c>
      <c r="D451">
        <v>10.707000000000001</v>
      </c>
      <c r="G451" s="3">
        <v>45119</v>
      </c>
      <c r="H451">
        <v>1794.85</v>
      </c>
    </row>
    <row r="452" spans="2:8" x14ac:dyDescent="0.2">
      <c r="B452" s="3">
        <v>45145</v>
      </c>
      <c r="D452">
        <v>10.5753</v>
      </c>
      <c r="G452" s="3">
        <v>45118</v>
      </c>
      <c r="H452">
        <v>1780.07</v>
      </c>
    </row>
    <row r="453" spans="2:8" x14ac:dyDescent="0.2">
      <c r="B453" s="3">
        <v>45142</v>
      </c>
      <c r="D453">
        <v>10.586449999999999</v>
      </c>
      <c r="G453" s="3">
        <v>45117</v>
      </c>
      <c r="H453">
        <v>1776.75</v>
      </c>
    </row>
    <row r="454" spans="2:8" x14ac:dyDescent="0.2">
      <c r="B454" s="3">
        <v>45141</v>
      </c>
      <c r="D454">
        <v>10.7003</v>
      </c>
      <c r="G454" s="3">
        <v>45114</v>
      </c>
      <c r="H454">
        <v>1783.94</v>
      </c>
    </row>
    <row r="455" spans="2:8" x14ac:dyDescent="0.2">
      <c r="B455" s="3">
        <v>45140</v>
      </c>
      <c r="D455">
        <v>10.7195</v>
      </c>
      <c r="G455" s="3">
        <v>45113</v>
      </c>
      <c r="H455">
        <v>1783</v>
      </c>
    </row>
    <row r="456" spans="2:8" x14ac:dyDescent="0.2">
      <c r="B456" s="3">
        <v>45139</v>
      </c>
      <c r="D456">
        <v>10.604100000000001</v>
      </c>
      <c r="G456" s="3">
        <v>45112</v>
      </c>
      <c r="H456">
        <v>1814.52</v>
      </c>
    </row>
    <row r="457" spans="2:8" x14ac:dyDescent="0.2">
      <c r="B457" s="3">
        <v>45138</v>
      </c>
      <c r="D457">
        <v>10.525449999999999</v>
      </c>
      <c r="G457" s="3">
        <v>45111</v>
      </c>
      <c r="H457">
        <v>1827.75</v>
      </c>
    </row>
    <row r="458" spans="2:8" x14ac:dyDescent="0.2">
      <c r="B458" s="3">
        <v>45135</v>
      </c>
      <c r="D458">
        <v>10.55275</v>
      </c>
      <c r="G458" s="3">
        <v>45110</v>
      </c>
      <c r="H458">
        <v>1818.5</v>
      </c>
    </row>
    <row r="459" spans="2:8" x14ac:dyDescent="0.2">
      <c r="B459" s="3">
        <v>45134</v>
      </c>
      <c r="D459">
        <v>10.51505</v>
      </c>
      <c r="G459" s="3">
        <v>45107</v>
      </c>
      <c r="H459">
        <v>1825</v>
      </c>
    </row>
    <row r="460" spans="2:8" x14ac:dyDescent="0.2">
      <c r="B460" s="3">
        <v>45133</v>
      </c>
      <c r="D460">
        <v>10.40545</v>
      </c>
      <c r="G460" s="3">
        <v>45106</v>
      </c>
      <c r="H460">
        <v>1795</v>
      </c>
    </row>
    <row r="461" spans="2:8" x14ac:dyDescent="0.2">
      <c r="B461" s="3">
        <v>45132</v>
      </c>
      <c r="D461">
        <v>10.3698</v>
      </c>
      <c r="G461" s="3">
        <v>45105</v>
      </c>
      <c r="H461">
        <v>1795.25</v>
      </c>
    </row>
    <row r="462" spans="2:8" x14ac:dyDescent="0.2">
      <c r="B462" s="3">
        <v>45131</v>
      </c>
      <c r="D462">
        <v>10.4092</v>
      </c>
      <c r="G462" s="3">
        <v>45104</v>
      </c>
      <c r="H462">
        <v>1768.75</v>
      </c>
    </row>
    <row r="463" spans="2:8" x14ac:dyDescent="0.2">
      <c r="B463" s="3">
        <v>45128</v>
      </c>
      <c r="D463">
        <v>10.388</v>
      </c>
      <c r="G463" s="3">
        <v>45103</v>
      </c>
      <c r="H463">
        <v>1780.75</v>
      </c>
    </row>
    <row r="464" spans="2:8" x14ac:dyDescent="0.2">
      <c r="B464" s="3">
        <v>45127</v>
      </c>
      <c r="D464">
        <v>10.34815</v>
      </c>
      <c r="G464" s="3">
        <v>45100</v>
      </c>
      <c r="H464">
        <v>1787</v>
      </c>
    </row>
    <row r="465" spans="2:8" x14ac:dyDescent="0.2">
      <c r="B465" s="3">
        <v>45126</v>
      </c>
      <c r="D465">
        <v>10.269299999999999</v>
      </c>
      <c r="G465" s="3">
        <v>45099</v>
      </c>
      <c r="H465">
        <v>1800</v>
      </c>
    </row>
    <row r="466" spans="2:8" x14ac:dyDescent="0.2">
      <c r="B466" s="3">
        <v>45125</v>
      </c>
      <c r="D466">
        <v>10.21895</v>
      </c>
      <c r="G466" s="3">
        <v>45098</v>
      </c>
      <c r="H466">
        <v>1804</v>
      </c>
    </row>
    <row r="467" spans="2:8" x14ac:dyDescent="0.2">
      <c r="B467" s="3">
        <v>45124</v>
      </c>
      <c r="D467">
        <v>10.25515</v>
      </c>
      <c r="G467" s="3">
        <v>45097</v>
      </c>
      <c r="H467">
        <v>1821.13</v>
      </c>
    </row>
    <row r="468" spans="2:8" x14ac:dyDescent="0.2">
      <c r="B468" s="3">
        <v>45121</v>
      </c>
      <c r="D468">
        <v>10.2315</v>
      </c>
      <c r="G468" s="3">
        <v>45096</v>
      </c>
      <c r="H468">
        <v>1819.5</v>
      </c>
    </row>
    <row r="469" spans="2:8" x14ac:dyDescent="0.2">
      <c r="B469" s="3">
        <v>45120</v>
      </c>
      <c r="D469">
        <v>10.2029</v>
      </c>
      <c r="G469" s="3">
        <v>45093</v>
      </c>
      <c r="H469">
        <v>1838.86</v>
      </c>
    </row>
    <row r="470" spans="2:8" x14ac:dyDescent="0.2">
      <c r="B470" s="3">
        <v>45119</v>
      </c>
      <c r="D470">
        <v>10.382400000000001</v>
      </c>
      <c r="G470" s="3">
        <v>45092</v>
      </c>
      <c r="H470">
        <v>1829.94</v>
      </c>
    </row>
    <row r="471" spans="2:8" x14ac:dyDescent="0.2">
      <c r="B471" s="3">
        <v>45118</v>
      </c>
      <c r="D471">
        <v>10.665749999999999</v>
      </c>
      <c r="G471" s="3">
        <v>45091</v>
      </c>
      <c r="H471">
        <v>1832.84</v>
      </c>
    </row>
    <row r="472" spans="2:8" x14ac:dyDescent="0.2">
      <c r="B472" s="3">
        <v>45117</v>
      </c>
      <c r="D472">
        <v>10.7562</v>
      </c>
      <c r="G472" s="3">
        <v>45090</v>
      </c>
      <c r="H472">
        <v>1823.43</v>
      </c>
    </row>
    <row r="473" spans="2:8" x14ac:dyDescent="0.2">
      <c r="B473" s="3">
        <v>45114</v>
      </c>
      <c r="D473">
        <v>10.8208</v>
      </c>
      <c r="G473" s="3">
        <v>45089</v>
      </c>
      <c r="H473">
        <v>1820.75</v>
      </c>
    </row>
    <row r="474" spans="2:8" x14ac:dyDescent="0.2">
      <c r="B474" s="3">
        <v>45113</v>
      </c>
      <c r="D474">
        <v>10.936400000000001</v>
      </c>
      <c r="G474" s="3">
        <v>45086</v>
      </c>
      <c r="H474">
        <v>1818.75</v>
      </c>
    </row>
    <row r="475" spans="2:8" x14ac:dyDescent="0.2">
      <c r="B475" s="3">
        <v>45112</v>
      </c>
      <c r="D475">
        <v>10.938800000000001</v>
      </c>
      <c r="G475" s="3">
        <v>45085</v>
      </c>
      <c r="H475">
        <v>1836.25</v>
      </c>
    </row>
    <row r="476" spans="2:8" x14ac:dyDescent="0.2">
      <c r="B476" s="3">
        <v>45111</v>
      </c>
      <c r="D476">
        <v>10.835150000000001</v>
      </c>
      <c r="G476" s="3">
        <v>45084</v>
      </c>
      <c r="H476">
        <v>1825.5</v>
      </c>
    </row>
    <row r="477" spans="2:8" x14ac:dyDescent="0.2">
      <c r="B477" s="3">
        <v>45110</v>
      </c>
      <c r="D477">
        <v>10.842000000000001</v>
      </c>
      <c r="G477" s="3">
        <v>45083</v>
      </c>
      <c r="H477">
        <v>1840.69</v>
      </c>
    </row>
    <row r="478" spans="2:8" x14ac:dyDescent="0.2">
      <c r="B478" s="3">
        <v>45107</v>
      </c>
      <c r="D478">
        <v>10.800599999999999</v>
      </c>
      <c r="G478" s="3">
        <v>45079</v>
      </c>
      <c r="H478">
        <v>1820.5</v>
      </c>
    </row>
    <row r="479" spans="2:8" x14ac:dyDescent="0.2">
      <c r="B479" s="3">
        <v>45106</v>
      </c>
      <c r="D479">
        <v>10.8653</v>
      </c>
      <c r="G479" s="3">
        <v>45078</v>
      </c>
      <c r="H479">
        <v>1811.5</v>
      </c>
    </row>
    <row r="480" spans="2:8" x14ac:dyDescent="0.2">
      <c r="B480" s="3">
        <v>45105</v>
      </c>
      <c r="D480">
        <v>10.7837</v>
      </c>
      <c r="G480" s="3">
        <v>45077</v>
      </c>
      <c r="H480">
        <v>1803</v>
      </c>
    </row>
    <row r="481" spans="2:8" x14ac:dyDescent="0.2">
      <c r="B481" s="3">
        <v>45104</v>
      </c>
      <c r="D481">
        <v>10.71885</v>
      </c>
      <c r="G481" s="3">
        <v>45076</v>
      </c>
      <c r="H481">
        <v>1819.75</v>
      </c>
    </row>
    <row r="482" spans="2:8" x14ac:dyDescent="0.2">
      <c r="B482" s="3">
        <v>45103</v>
      </c>
      <c r="D482">
        <v>10.731</v>
      </c>
      <c r="G482" s="3">
        <v>45072</v>
      </c>
      <c r="H482">
        <v>1833.53</v>
      </c>
    </row>
    <row r="483" spans="2:8" x14ac:dyDescent="0.2">
      <c r="B483" s="3">
        <v>45100</v>
      </c>
      <c r="D483">
        <v>10.717700000000001</v>
      </c>
      <c r="G483" s="3">
        <v>45071</v>
      </c>
      <c r="H483">
        <v>1823.22</v>
      </c>
    </row>
    <row r="484" spans="2:8" x14ac:dyDescent="0.2">
      <c r="B484" s="3">
        <v>45099</v>
      </c>
      <c r="D484">
        <v>10.70575</v>
      </c>
      <c r="G484" s="3">
        <v>45070</v>
      </c>
      <c r="H484">
        <v>1814.25</v>
      </c>
    </row>
    <row r="485" spans="2:8" x14ac:dyDescent="0.2">
      <c r="B485" s="3">
        <v>45098</v>
      </c>
      <c r="D485">
        <v>10.660349999999999</v>
      </c>
      <c r="G485" s="3">
        <v>45069</v>
      </c>
      <c r="H485">
        <v>1853.25</v>
      </c>
    </row>
    <row r="486" spans="2:8" x14ac:dyDescent="0.2">
      <c r="B486" s="3">
        <v>45097</v>
      </c>
      <c r="D486">
        <v>10.788</v>
      </c>
      <c r="G486" s="3">
        <v>45068</v>
      </c>
      <c r="H486">
        <v>1886.25</v>
      </c>
    </row>
    <row r="487" spans="2:8" x14ac:dyDescent="0.2">
      <c r="B487" s="3">
        <v>45096</v>
      </c>
      <c r="D487">
        <v>10.72495</v>
      </c>
      <c r="G487" s="3">
        <v>45063</v>
      </c>
      <c r="H487">
        <v>1857.04</v>
      </c>
    </row>
    <row r="488" spans="2:8" x14ac:dyDescent="0.2">
      <c r="B488" s="3">
        <v>45093</v>
      </c>
      <c r="D488">
        <v>10.649749999999999</v>
      </c>
      <c r="G488" s="3">
        <v>45062</v>
      </c>
      <c r="H488">
        <v>1865.34</v>
      </c>
    </row>
    <row r="489" spans="2:8" x14ac:dyDescent="0.2">
      <c r="B489" s="3">
        <v>45092</v>
      </c>
      <c r="D489">
        <v>10.613950000000001</v>
      </c>
      <c r="G489" s="3">
        <v>45061</v>
      </c>
      <c r="H489">
        <v>1878.59</v>
      </c>
    </row>
    <row r="490" spans="2:8" x14ac:dyDescent="0.2">
      <c r="B490" s="3">
        <v>45091</v>
      </c>
      <c r="D490">
        <v>10.7188</v>
      </c>
      <c r="G490" s="3">
        <v>45058</v>
      </c>
      <c r="H490">
        <v>1873.01</v>
      </c>
    </row>
    <row r="491" spans="2:8" x14ac:dyDescent="0.2">
      <c r="B491" s="3">
        <v>45090</v>
      </c>
      <c r="D491">
        <v>10.68275</v>
      </c>
      <c r="G491" s="3">
        <v>45057</v>
      </c>
      <c r="H491">
        <v>1848.75</v>
      </c>
    </row>
    <row r="492" spans="2:8" x14ac:dyDescent="0.2">
      <c r="B492" s="3">
        <v>45089</v>
      </c>
      <c r="D492">
        <v>10.829700000000001</v>
      </c>
      <c r="G492" s="3">
        <v>45056</v>
      </c>
      <c r="H492">
        <v>1838</v>
      </c>
    </row>
    <row r="493" spans="2:8" x14ac:dyDescent="0.2">
      <c r="B493" s="3">
        <v>45086</v>
      </c>
      <c r="D493">
        <v>10.812200000000001</v>
      </c>
      <c r="G493" s="3">
        <v>45055</v>
      </c>
      <c r="H493">
        <v>1823.25</v>
      </c>
    </row>
    <row r="494" spans="2:8" x14ac:dyDescent="0.2">
      <c r="B494" s="3">
        <v>45085</v>
      </c>
      <c r="D494">
        <v>10.795199999999999</v>
      </c>
      <c r="G494" s="3">
        <v>45054</v>
      </c>
      <c r="H494">
        <v>1841</v>
      </c>
    </row>
    <row r="495" spans="2:8" x14ac:dyDescent="0.2">
      <c r="B495" s="3">
        <v>45084</v>
      </c>
      <c r="D495">
        <v>10.902699999999999</v>
      </c>
      <c r="G495" s="3">
        <v>45050</v>
      </c>
      <c r="H495">
        <v>1807.75</v>
      </c>
    </row>
    <row r="496" spans="2:8" x14ac:dyDescent="0.2">
      <c r="B496" s="3">
        <v>45083</v>
      </c>
      <c r="D496">
        <v>10.919600000000001</v>
      </c>
      <c r="G496" s="3">
        <v>45049</v>
      </c>
      <c r="H496">
        <v>1812</v>
      </c>
    </row>
    <row r="497" spans="2:8" x14ac:dyDescent="0.2">
      <c r="B497" s="3">
        <v>45082</v>
      </c>
      <c r="D497">
        <v>10.858499999999999</v>
      </c>
      <c r="G497" s="3">
        <v>45048</v>
      </c>
      <c r="H497">
        <v>1817.5</v>
      </c>
    </row>
    <row r="498" spans="2:8" x14ac:dyDescent="0.2">
      <c r="B498" s="3">
        <v>45079</v>
      </c>
      <c r="D498">
        <v>10.799849999999999</v>
      </c>
      <c r="G498" s="3">
        <v>45047</v>
      </c>
      <c r="H498">
        <v>1838</v>
      </c>
    </row>
    <row r="499" spans="2:8" x14ac:dyDescent="0.2">
      <c r="B499" s="3">
        <v>45078</v>
      </c>
      <c r="D499">
        <v>10.8127</v>
      </c>
      <c r="G499" s="3">
        <v>45044</v>
      </c>
      <c r="H499">
        <v>1824</v>
      </c>
    </row>
    <row r="500" spans="2:8" x14ac:dyDescent="0.2">
      <c r="B500" s="3">
        <v>45077</v>
      </c>
      <c r="D500">
        <v>10.8552</v>
      </c>
      <c r="G500" s="3">
        <v>45043</v>
      </c>
      <c r="H500">
        <v>1817.25</v>
      </c>
    </row>
    <row r="501" spans="2:8" x14ac:dyDescent="0.2">
      <c r="B501" s="3">
        <v>45076</v>
      </c>
      <c r="D501">
        <v>10.8764</v>
      </c>
      <c r="G501" s="3">
        <v>45042</v>
      </c>
      <c r="H501">
        <v>1789.5</v>
      </c>
    </row>
    <row r="502" spans="2:8" x14ac:dyDescent="0.2">
      <c r="B502" s="3">
        <v>45075</v>
      </c>
      <c r="D502">
        <v>10.807</v>
      </c>
      <c r="G502" s="3">
        <v>45041</v>
      </c>
      <c r="H502">
        <v>1829.16</v>
      </c>
    </row>
  </sheetData>
  <phoneticPr fontId="1" type="noConversion"/>
  <pageMargins left="0.75" right="0.75" top="1" bottom="1" header="0.5" footer="0.5"/>
  <pageSetup paperSize="9" orientation="portrait" horizontalDpi="1200"/>
  <headerFooter alignWithMargins="0"/>
  <customProperties>
    <customPr name="REFI_OFFICE_FUNCTION_DATA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178E2-EBA2-45E3-B832-D0EA1B3DFBC5}">
  <sheetPr codeName="Sheet5"/>
  <dimension ref="A1:T9"/>
  <sheetViews>
    <sheetView workbookViewId="0">
      <selection activeCell="B3" sqref="B3"/>
    </sheetView>
  </sheetViews>
  <sheetFormatPr defaultColWidth="8.85546875" defaultRowHeight="12.75" x14ac:dyDescent="0.2"/>
  <cols>
    <col min="1" max="1" width="11.28515625" bestFit="1" customWidth="1"/>
  </cols>
  <sheetData>
    <row r="1" spans="1:20" x14ac:dyDescent="0.2">
      <c r="B1" t="s">
        <v>16</v>
      </c>
      <c r="D1" t="s">
        <v>17</v>
      </c>
      <c r="F1" t="s">
        <v>18</v>
      </c>
      <c r="N1" t="s">
        <v>19</v>
      </c>
    </row>
    <row r="2" spans="1:20" x14ac:dyDescent="0.2">
      <c r="F2" t="s">
        <v>74</v>
      </c>
      <c r="G2" t="s">
        <v>7</v>
      </c>
      <c r="H2" t="s">
        <v>8</v>
      </c>
      <c r="I2" t="s">
        <v>6</v>
      </c>
      <c r="J2" t="s">
        <v>9</v>
      </c>
      <c r="K2" t="s">
        <v>10</v>
      </c>
      <c r="L2" t="s">
        <v>11</v>
      </c>
      <c r="N2" t="s">
        <v>74</v>
      </c>
      <c r="O2" t="s">
        <v>7</v>
      </c>
      <c r="P2" t="s">
        <v>8</v>
      </c>
      <c r="Q2" t="s">
        <v>6</v>
      </c>
      <c r="R2" t="s">
        <v>9</v>
      </c>
      <c r="S2" t="s">
        <v>10</v>
      </c>
      <c r="T2" t="s">
        <v>11</v>
      </c>
    </row>
    <row r="3" spans="1:20" x14ac:dyDescent="0.2">
      <c r="A3" t="s">
        <v>74</v>
      </c>
      <c r="B3">
        <v>0.10223959085124593</v>
      </c>
      <c r="D3">
        <v>0.15527092419497504</v>
      </c>
      <c r="F3">
        <v>0.99999999999999989</v>
      </c>
      <c r="G3">
        <v>0.64586796883932496</v>
      </c>
      <c r="H3">
        <v>0.50118697724267636</v>
      </c>
      <c r="I3">
        <v>0.64905202406526052</v>
      </c>
      <c r="J3">
        <v>0.77435672112293175</v>
      </c>
      <c r="K3">
        <v>0.80380113757612537</v>
      </c>
      <c r="L3">
        <v>0.64261076941609563</v>
      </c>
      <c r="N3">
        <v>2.4109059900361683E-2</v>
      </c>
      <c r="O3">
        <v>1.9074077484303422E-2</v>
      </c>
      <c r="P3">
        <v>1.8749902550313578E-2</v>
      </c>
      <c r="Q3">
        <v>2.3940099889899511E-2</v>
      </c>
      <c r="R3">
        <v>2.3676505908269866E-2</v>
      </c>
      <c r="S3">
        <v>2.5184228331673612E-2</v>
      </c>
      <c r="T3">
        <v>2.6795381575510618E-2</v>
      </c>
    </row>
    <row r="4" spans="1:20" x14ac:dyDescent="0.2">
      <c r="A4" t="s">
        <v>7</v>
      </c>
      <c r="B4">
        <v>5.7922932594390943E-2</v>
      </c>
      <c r="D4">
        <v>0.19019962565897139</v>
      </c>
      <c r="F4">
        <v>0.64586796883932496</v>
      </c>
      <c r="G4">
        <v>1</v>
      </c>
      <c r="H4">
        <v>0.36985681194734149</v>
      </c>
      <c r="I4">
        <v>0.43297603264757778</v>
      </c>
      <c r="J4">
        <v>0.43339276175357361</v>
      </c>
      <c r="K4">
        <v>0.529136759218928</v>
      </c>
      <c r="L4">
        <v>0.40573029604927457</v>
      </c>
      <c r="N4">
        <v>1.9074077484303422E-2</v>
      </c>
      <c r="O4">
        <v>3.6175897600812849E-2</v>
      </c>
      <c r="P4">
        <v>1.6949323887138133E-2</v>
      </c>
      <c r="Q4">
        <v>1.9562746448360022E-2</v>
      </c>
      <c r="R4">
        <v>1.6232212240162695E-2</v>
      </c>
      <c r="S4">
        <v>2.0308015427669981E-2</v>
      </c>
      <c r="T4">
        <v>2.0723776700027334E-2</v>
      </c>
    </row>
    <row r="5" spans="1:20" x14ac:dyDescent="0.2">
      <c r="A5" t="s">
        <v>8</v>
      </c>
      <c r="B5">
        <v>0.23886562811020354</v>
      </c>
      <c r="D5">
        <v>0.24094010710443747</v>
      </c>
      <c r="F5">
        <v>0.50118697724267636</v>
      </c>
      <c r="G5">
        <v>0.36985681194734149</v>
      </c>
      <c r="H5">
        <v>1</v>
      </c>
      <c r="I5">
        <v>0.33322322165541879</v>
      </c>
      <c r="J5">
        <v>0.32291467963332626</v>
      </c>
      <c r="K5">
        <v>0.43607677218644225</v>
      </c>
      <c r="L5">
        <v>0.29811868899923105</v>
      </c>
      <c r="N5">
        <v>1.8749902550313578E-2</v>
      </c>
      <c r="O5">
        <v>1.6949323887138133E-2</v>
      </c>
      <c r="P5">
        <v>5.8052135211497803E-2</v>
      </c>
      <c r="Q5">
        <v>1.9072194608409993E-2</v>
      </c>
      <c r="R5">
        <v>1.5320865093401951E-2</v>
      </c>
      <c r="S5">
        <v>2.1201273434195696E-2</v>
      </c>
      <c r="T5">
        <v>1.9289461786816207E-2</v>
      </c>
    </row>
    <row r="6" spans="1:20" x14ac:dyDescent="0.2">
      <c r="A6" t="s">
        <v>6</v>
      </c>
      <c r="B6">
        <v>2.4550125762848523E-2</v>
      </c>
      <c r="D6">
        <v>0.23755069839068674</v>
      </c>
      <c r="F6">
        <v>0.64905202406526052</v>
      </c>
      <c r="G6">
        <v>0.43297603264757778</v>
      </c>
      <c r="H6">
        <v>0.33322322165541879</v>
      </c>
      <c r="I6">
        <v>1</v>
      </c>
      <c r="J6">
        <v>0.40944882238349395</v>
      </c>
      <c r="K6">
        <v>0.52584924802329747</v>
      </c>
      <c r="L6">
        <v>0.30497519480142776</v>
      </c>
      <c r="N6">
        <v>2.3940099889899511E-2</v>
      </c>
      <c r="O6">
        <v>1.9562746448360022E-2</v>
      </c>
      <c r="P6">
        <v>1.9072194608409993E-2</v>
      </c>
      <c r="Q6">
        <v>5.6430334305903017E-2</v>
      </c>
      <c r="R6">
        <v>1.9153243893995826E-2</v>
      </c>
      <c r="S6">
        <v>2.5206204911609954E-2</v>
      </c>
      <c r="T6">
        <v>1.9455510788290789E-2</v>
      </c>
    </row>
    <row r="7" spans="1:20" x14ac:dyDescent="0.2">
      <c r="A7" t="s">
        <v>9</v>
      </c>
      <c r="B7">
        <v>0.14029169538885833</v>
      </c>
      <c r="D7">
        <v>0.19691844651944942</v>
      </c>
      <c r="F7">
        <v>0.77435672112293175</v>
      </c>
      <c r="G7">
        <v>0.43339276175357361</v>
      </c>
      <c r="H7">
        <v>0.32291467963332626</v>
      </c>
      <c r="I7">
        <v>0.40944882238349395</v>
      </c>
      <c r="J7">
        <v>0.99999999999999989</v>
      </c>
      <c r="K7">
        <v>0.61202776631356515</v>
      </c>
      <c r="L7">
        <v>0.42979620993900941</v>
      </c>
      <c r="N7">
        <v>2.3676505908269866E-2</v>
      </c>
      <c r="O7">
        <v>1.6232212240162695E-2</v>
      </c>
      <c r="P7">
        <v>1.5320865093401951E-2</v>
      </c>
      <c r="Q7">
        <v>1.9153243893995826E-2</v>
      </c>
      <c r="R7">
        <v>3.8776874579633261E-2</v>
      </c>
      <c r="S7">
        <v>2.4319095615838417E-2</v>
      </c>
      <c r="T7">
        <v>2.2728500838752521E-2</v>
      </c>
    </row>
    <row r="8" spans="1:20" x14ac:dyDescent="0.2">
      <c r="A8" t="s">
        <v>10</v>
      </c>
      <c r="B8">
        <v>0.1590887693019489</v>
      </c>
      <c r="D8">
        <v>0.20178547139902092</v>
      </c>
      <c r="F8">
        <v>0.80380113757612537</v>
      </c>
      <c r="G8">
        <v>0.529136759218928</v>
      </c>
      <c r="H8">
        <v>0.43607677218644225</v>
      </c>
      <c r="I8">
        <v>0.52584924802329747</v>
      </c>
      <c r="J8">
        <v>0.61202776631356515</v>
      </c>
      <c r="K8">
        <v>1</v>
      </c>
      <c r="L8">
        <v>0.49390573505690227</v>
      </c>
      <c r="N8">
        <v>2.5184228331673612E-2</v>
      </c>
      <c r="O8">
        <v>2.0308015427669981E-2</v>
      </c>
      <c r="P8">
        <v>2.1201273434195696E-2</v>
      </c>
      <c r="Q8">
        <v>2.5206204911609954E-2</v>
      </c>
      <c r="R8">
        <v>2.4319095615838417E-2</v>
      </c>
      <c r="S8">
        <v>4.0717376467725094E-2</v>
      </c>
      <c r="T8">
        <v>2.676429272438012E-2</v>
      </c>
    </row>
    <row r="9" spans="1:20" x14ac:dyDescent="0.2">
      <c r="A9" t="s">
        <v>11</v>
      </c>
      <c r="B9">
        <v>-2.3703159891255442E-2</v>
      </c>
      <c r="D9">
        <v>0.26854792953634099</v>
      </c>
      <c r="F9">
        <v>0.64261076941609563</v>
      </c>
      <c r="G9">
        <v>0.40573029604927457</v>
      </c>
      <c r="H9">
        <v>0.29811868899923105</v>
      </c>
      <c r="I9">
        <v>0.30497519480142776</v>
      </c>
      <c r="J9">
        <v>0.42979620993900941</v>
      </c>
      <c r="K9">
        <v>0.49390573505690227</v>
      </c>
      <c r="L9">
        <v>1</v>
      </c>
      <c r="N9">
        <v>2.6795381575510618E-2</v>
      </c>
      <c r="O9">
        <v>2.0723776700027334E-2</v>
      </c>
      <c r="P9">
        <v>1.9289461786816207E-2</v>
      </c>
      <c r="Q9">
        <v>1.9455510788290789E-2</v>
      </c>
      <c r="R9">
        <v>2.2728500838752521E-2</v>
      </c>
      <c r="S9">
        <v>2.676429272438012E-2</v>
      </c>
      <c r="T9">
        <v>7.2117990458255565E-2</v>
      </c>
    </row>
  </sheetData>
  <phoneticPr fontId="1" type="noConversion"/>
  <pageMargins left="0.75" right="0.75" top="1" bottom="1" header="0.5" footer="0.5"/>
  <pageSetup paperSize="9"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CB3B9-0963-4FA0-9DBE-C16F13F27895}">
  <sheetPr codeName="Sheet3"/>
  <dimension ref="A1:C65536"/>
  <sheetViews>
    <sheetView zoomScale="61" workbookViewId="0">
      <selection activeCell="F16" sqref="F16"/>
    </sheetView>
  </sheetViews>
  <sheetFormatPr defaultColWidth="8.85546875" defaultRowHeight="12.75" x14ac:dyDescent="0.2"/>
  <cols>
    <col min="1" max="1" width="15.42578125" bestFit="1" customWidth="1"/>
  </cols>
  <sheetData>
    <row r="1" spans="1:2" x14ac:dyDescent="0.2">
      <c r="A1" t="s">
        <v>13</v>
      </c>
      <c r="B1" t="s">
        <v>14</v>
      </c>
    </row>
    <row r="2" spans="1:2" x14ac:dyDescent="0.2">
      <c r="A2" s="2">
        <v>38954.977685185186</v>
      </c>
      <c r="B2">
        <v>9297000</v>
      </c>
    </row>
    <row r="3" spans="1:2" x14ac:dyDescent="0.2">
      <c r="A3" s="2">
        <v>38954.979074074072</v>
      </c>
      <c r="B3">
        <v>9267750</v>
      </c>
    </row>
    <row r="4" spans="1:2" x14ac:dyDescent="0.2">
      <c r="A4" s="2">
        <v>38954.980462962965</v>
      </c>
      <c r="B4">
        <v>9267750</v>
      </c>
    </row>
    <row r="5" spans="1:2" x14ac:dyDescent="0.2">
      <c r="A5" s="2">
        <v>38954.981851851851</v>
      </c>
      <c r="B5">
        <v>9267750</v>
      </c>
    </row>
    <row r="6" spans="1:2" x14ac:dyDescent="0.2">
      <c r="A6" s="2">
        <v>38954.983240740738</v>
      </c>
      <c r="B6">
        <v>9267750</v>
      </c>
    </row>
    <row r="7" spans="1:2" x14ac:dyDescent="0.2">
      <c r="A7" s="2">
        <v>38954.984629629631</v>
      </c>
      <c r="B7">
        <v>9297000</v>
      </c>
    </row>
    <row r="8" spans="1:2" x14ac:dyDescent="0.2">
      <c r="A8" s="2">
        <v>38954.986018518517</v>
      </c>
      <c r="B8">
        <v>9297000</v>
      </c>
    </row>
    <row r="9" spans="1:2" x14ac:dyDescent="0.2">
      <c r="A9" s="2"/>
    </row>
    <row r="10" spans="1:2" x14ac:dyDescent="0.2">
      <c r="A10" s="2"/>
    </row>
    <row r="11" spans="1:2" x14ac:dyDescent="0.2">
      <c r="A11" s="2"/>
    </row>
    <row r="12" spans="1:2" x14ac:dyDescent="0.2">
      <c r="A12" s="2"/>
    </row>
    <row r="13" spans="1:2" x14ac:dyDescent="0.2">
      <c r="A13" s="2"/>
    </row>
    <row r="14" spans="1:2" x14ac:dyDescent="0.2">
      <c r="A14" s="2"/>
    </row>
    <row r="15" spans="1:2" x14ac:dyDescent="0.2">
      <c r="A15" s="2"/>
    </row>
    <row r="16" spans="1:2" x14ac:dyDescent="0.2">
      <c r="A16" s="2"/>
    </row>
    <row r="17" spans="1:1" x14ac:dyDescent="0.2">
      <c r="A17" s="2"/>
    </row>
    <row r="18" spans="1:1" x14ac:dyDescent="0.2">
      <c r="A18" s="2"/>
    </row>
    <row r="19" spans="1:1" x14ac:dyDescent="0.2">
      <c r="A19" s="2"/>
    </row>
    <row r="20" spans="1:1" x14ac:dyDescent="0.2">
      <c r="A20" s="2"/>
    </row>
    <row r="21" spans="1:1" x14ac:dyDescent="0.2">
      <c r="A21" s="2"/>
    </row>
    <row r="22" spans="1:1" x14ac:dyDescent="0.2">
      <c r="A22" s="2"/>
    </row>
    <row r="23" spans="1:1" x14ac:dyDescent="0.2">
      <c r="A23" s="2"/>
    </row>
    <row r="24" spans="1:1" x14ac:dyDescent="0.2">
      <c r="A24" s="2"/>
    </row>
    <row r="25" spans="1:1" x14ac:dyDescent="0.2">
      <c r="A25" s="2"/>
    </row>
    <row r="26" spans="1:1" x14ac:dyDescent="0.2">
      <c r="A26" s="2"/>
    </row>
    <row r="27" spans="1:1" x14ac:dyDescent="0.2">
      <c r="A27" s="2"/>
    </row>
    <row r="28" spans="1:1" x14ac:dyDescent="0.2">
      <c r="A28" s="2"/>
    </row>
    <row r="29" spans="1:1" x14ac:dyDescent="0.2">
      <c r="A29" s="2"/>
    </row>
    <row r="30" spans="1:1" x14ac:dyDescent="0.2">
      <c r="A30" s="2"/>
    </row>
    <row r="31" spans="1:1" x14ac:dyDescent="0.2">
      <c r="A31" s="2"/>
    </row>
    <row r="32" spans="1:1" x14ac:dyDescent="0.2">
      <c r="A32" s="2"/>
    </row>
    <row r="33" spans="1:1" x14ac:dyDescent="0.2">
      <c r="A33" s="2"/>
    </row>
    <row r="34" spans="1:1" x14ac:dyDescent="0.2">
      <c r="A34" s="2"/>
    </row>
    <row r="35" spans="1:1" x14ac:dyDescent="0.2">
      <c r="A35" s="2"/>
    </row>
    <row r="36" spans="1:1" x14ac:dyDescent="0.2">
      <c r="A36" s="2"/>
    </row>
    <row r="37" spans="1:1" x14ac:dyDescent="0.2">
      <c r="A37" s="2"/>
    </row>
    <row r="38" spans="1:1" x14ac:dyDescent="0.2">
      <c r="A38" s="2"/>
    </row>
    <row r="39" spans="1:1" x14ac:dyDescent="0.2">
      <c r="A39" s="2"/>
    </row>
    <row r="40" spans="1:1" x14ac:dyDescent="0.2">
      <c r="A40" s="2"/>
    </row>
    <row r="41" spans="1:1" x14ac:dyDescent="0.2">
      <c r="A41" s="2"/>
    </row>
    <row r="42" spans="1:1" x14ac:dyDescent="0.2">
      <c r="A42" s="2"/>
    </row>
    <row r="43" spans="1:1" x14ac:dyDescent="0.2">
      <c r="A43" s="2"/>
    </row>
    <row r="44" spans="1:1" x14ac:dyDescent="0.2">
      <c r="A44" s="2"/>
    </row>
    <row r="45" spans="1:1" x14ac:dyDescent="0.2">
      <c r="A45" s="2"/>
    </row>
    <row r="46" spans="1:1" x14ac:dyDescent="0.2">
      <c r="A46" s="2"/>
    </row>
    <row r="47" spans="1:1" x14ac:dyDescent="0.2">
      <c r="A47" s="2"/>
    </row>
    <row r="48" spans="1:1" x14ac:dyDescent="0.2">
      <c r="A48" s="2"/>
    </row>
    <row r="49" spans="1:1" x14ac:dyDescent="0.2">
      <c r="A49" s="2"/>
    </row>
    <row r="50" spans="1:1" x14ac:dyDescent="0.2">
      <c r="A50" s="2"/>
    </row>
    <row r="51" spans="1:1" x14ac:dyDescent="0.2">
      <c r="A51" s="2"/>
    </row>
    <row r="52" spans="1:1" x14ac:dyDescent="0.2">
      <c r="A52" s="2"/>
    </row>
    <row r="53" spans="1:1" x14ac:dyDescent="0.2">
      <c r="A53" s="2"/>
    </row>
    <row r="54" spans="1:1" x14ac:dyDescent="0.2">
      <c r="A54" s="2"/>
    </row>
    <row r="55" spans="1:1" x14ac:dyDescent="0.2">
      <c r="A55" s="2"/>
    </row>
    <row r="56" spans="1:1" x14ac:dyDescent="0.2">
      <c r="A56" s="2"/>
    </row>
    <row r="57" spans="1:1" x14ac:dyDescent="0.2">
      <c r="A57" s="2"/>
    </row>
    <row r="58" spans="1:1" x14ac:dyDescent="0.2">
      <c r="A58" s="2"/>
    </row>
    <row r="59" spans="1:1" x14ac:dyDescent="0.2">
      <c r="A59" s="2"/>
    </row>
    <row r="60" spans="1:1" x14ac:dyDescent="0.2">
      <c r="A60" s="2"/>
    </row>
    <row r="61" spans="1:1" x14ac:dyDescent="0.2">
      <c r="A61" s="2"/>
    </row>
    <row r="62" spans="1:1" x14ac:dyDescent="0.2">
      <c r="A62" s="2"/>
    </row>
    <row r="63" spans="1:1" x14ac:dyDescent="0.2">
      <c r="A63" s="2"/>
    </row>
    <row r="64" spans="1:1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1" x14ac:dyDescent="0.2">
      <c r="A81" s="2"/>
    </row>
    <row r="82" spans="1:1" x14ac:dyDescent="0.2">
      <c r="A82" s="2"/>
    </row>
    <row r="83" spans="1:1" x14ac:dyDescent="0.2">
      <c r="A83" s="2"/>
    </row>
    <row r="84" spans="1:1" x14ac:dyDescent="0.2">
      <c r="A84" s="2"/>
    </row>
    <row r="85" spans="1:1" x14ac:dyDescent="0.2">
      <c r="A85" s="2"/>
    </row>
    <row r="86" spans="1:1" x14ac:dyDescent="0.2">
      <c r="A86" s="2"/>
    </row>
    <row r="87" spans="1:1" x14ac:dyDescent="0.2">
      <c r="A87" s="2"/>
    </row>
    <row r="88" spans="1:1" x14ac:dyDescent="0.2">
      <c r="A88" s="2"/>
    </row>
    <row r="89" spans="1:1" x14ac:dyDescent="0.2">
      <c r="A89" s="2"/>
    </row>
    <row r="90" spans="1:1" x14ac:dyDescent="0.2">
      <c r="A90" s="2"/>
    </row>
    <row r="91" spans="1:1" x14ac:dyDescent="0.2">
      <c r="A91" s="2"/>
    </row>
    <row r="92" spans="1:1" x14ac:dyDescent="0.2">
      <c r="A92" s="2"/>
    </row>
    <row r="93" spans="1:1" x14ac:dyDescent="0.2">
      <c r="A93" s="2"/>
    </row>
    <row r="94" spans="1:1" x14ac:dyDescent="0.2">
      <c r="A94" s="2"/>
    </row>
    <row r="95" spans="1:1" x14ac:dyDescent="0.2">
      <c r="A95" s="2"/>
    </row>
    <row r="96" spans="1:1" x14ac:dyDescent="0.2">
      <c r="A96" s="2"/>
    </row>
    <row r="97" spans="1:1" x14ac:dyDescent="0.2">
      <c r="A97" s="2"/>
    </row>
    <row r="98" spans="1:1" x14ac:dyDescent="0.2">
      <c r="A98" s="2"/>
    </row>
    <row r="99" spans="1:1" x14ac:dyDescent="0.2">
      <c r="A99" s="2"/>
    </row>
    <row r="100" spans="1:1" x14ac:dyDescent="0.2">
      <c r="A100" s="2"/>
    </row>
    <row r="101" spans="1:1" x14ac:dyDescent="0.2">
      <c r="A101" s="2"/>
    </row>
    <row r="102" spans="1:1" x14ac:dyDescent="0.2">
      <c r="A102" s="2"/>
    </row>
    <row r="103" spans="1:1" x14ac:dyDescent="0.2">
      <c r="A103" s="2"/>
    </row>
    <row r="104" spans="1:1" x14ac:dyDescent="0.2">
      <c r="A104" s="2"/>
    </row>
    <row r="105" spans="1:1" x14ac:dyDescent="0.2">
      <c r="A105" s="2"/>
    </row>
    <row r="106" spans="1:1" x14ac:dyDescent="0.2">
      <c r="A106" s="2"/>
    </row>
    <row r="107" spans="1:1" x14ac:dyDescent="0.2">
      <c r="A107" s="2"/>
    </row>
    <row r="108" spans="1:1" x14ac:dyDescent="0.2">
      <c r="A108" s="2"/>
    </row>
    <row r="109" spans="1:1" x14ac:dyDescent="0.2">
      <c r="A109" s="2"/>
    </row>
    <row r="110" spans="1:1" x14ac:dyDescent="0.2">
      <c r="A110" s="2"/>
    </row>
    <row r="111" spans="1:1" x14ac:dyDescent="0.2">
      <c r="A111" s="2"/>
    </row>
    <row r="112" spans="1:1" x14ac:dyDescent="0.2">
      <c r="A112" s="2"/>
    </row>
    <row r="113" spans="1:1" x14ac:dyDescent="0.2">
      <c r="A113" s="2"/>
    </row>
    <row r="114" spans="1:1" x14ac:dyDescent="0.2">
      <c r="A114" s="2"/>
    </row>
    <row r="115" spans="1:1" x14ac:dyDescent="0.2">
      <c r="A115" s="2"/>
    </row>
    <row r="116" spans="1:1" x14ac:dyDescent="0.2">
      <c r="A116" s="2"/>
    </row>
    <row r="117" spans="1:1" x14ac:dyDescent="0.2">
      <c r="A117" s="2"/>
    </row>
    <row r="118" spans="1:1" x14ac:dyDescent="0.2">
      <c r="A118" s="2"/>
    </row>
    <row r="119" spans="1:1" x14ac:dyDescent="0.2">
      <c r="A119" s="2"/>
    </row>
    <row r="120" spans="1:1" x14ac:dyDescent="0.2">
      <c r="A120" s="2"/>
    </row>
    <row r="121" spans="1:1" x14ac:dyDescent="0.2">
      <c r="A121" s="2"/>
    </row>
    <row r="122" spans="1:1" x14ac:dyDescent="0.2">
      <c r="A122" s="2"/>
    </row>
    <row r="123" spans="1:1" x14ac:dyDescent="0.2">
      <c r="A123" s="2"/>
    </row>
    <row r="124" spans="1:1" x14ac:dyDescent="0.2">
      <c r="A124" s="2"/>
    </row>
    <row r="125" spans="1:1" x14ac:dyDescent="0.2">
      <c r="A125" s="2"/>
    </row>
    <row r="126" spans="1:1" x14ac:dyDescent="0.2">
      <c r="A126" s="2"/>
    </row>
    <row r="127" spans="1:1" x14ac:dyDescent="0.2">
      <c r="A127" s="2"/>
    </row>
    <row r="128" spans="1:1" x14ac:dyDescent="0.2">
      <c r="A128" s="2"/>
    </row>
    <row r="129" spans="1:1" x14ac:dyDescent="0.2">
      <c r="A129" s="2"/>
    </row>
    <row r="130" spans="1:1" x14ac:dyDescent="0.2">
      <c r="A130" s="2"/>
    </row>
    <row r="131" spans="1:1" x14ac:dyDescent="0.2">
      <c r="A131" s="2"/>
    </row>
    <row r="132" spans="1:1" x14ac:dyDescent="0.2">
      <c r="A132" s="2"/>
    </row>
    <row r="133" spans="1:1" x14ac:dyDescent="0.2">
      <c r="A133" s="2"/>
    </row>
    <row r="134" spans="1:1" x14ac:dyDescent="0.2">
      <c r="A134" s="2"/>
    </row>
    <row r="135" spans="1:1" x14ac:dyDescent="0.2">
      <c r="A135" s="2"/>
    </row>
    <row r="136" spans="1:1" x14ac:dyDescent="0.2">
      <c r="A136" s="2"/>
    </row>
    <row r="137" spans="1:1" x14ac:dyDescent="0.2">
      <c r="A137" s="2"/>
    </row>
    <row r="138" spans="1:1" x14ac:dyDescent="0.2">
      <c r="A138" s="2"/>
    </row>
    <row r="139" spans="1:1" x14ac:dyDescent="0.2">
      <c r="A139" s="2"/>
    </row>
    <row r="140" spans="1:1" x14ac:dyDescent="0.2">
      <c r="A140" s="2"/>
    </row>
    <row r="141" spans="1:1" x14ac:dyDescent="0.2">
      <c r="A141" s="2"/>
    </row>
    <row r="142" spans="1:1" x14ac:dyDescent="0.2">
      <c r="A142" s="2"/>
    </row>
    <row r="143" spans="1:1" x14ac:dyDescent="0.2">
      <c r="A143" s="2"/>
    </row>
    <row r="144" spans="1:1" x14ac:dyDescent="0.2">
      <c r="A144" s="2"/>
    </row>
    <row r="145" spans="1:1" x14ac:dyDescent="0.2">
      <c r="A145" s="2"/>
    </row>
    <row r="146" spans="1:1" x14ac:dyDescent="0.2">
      <c r="A146" s="2"/>
    </row>
    <row r="147" spans="1:1" x14ac:dyDescent="0.2">
      <c r="A147" s="2"/>
    </row>
    <row r="148" spans="1:1" x14ac:dyDescent="0.2">
      <c r="A148" s="2"/>
    </row>
    <row r="149" spans="1:1" x14ac:dyDescent="0.2">
      <c r="A149" s="2"/>
    </row>
    <row r="150" spans="1:1" x14ac:dyDescent="0.2">
      <c r="A150" s="2"/>
    </row>
    <row r="151" spans="1:1" x14ac:dyDescent="0.2">
      <c r="A151" s="2"/>
    </row>
    <row r="152" spans="1:1" x14ac:dyDescent="0.2">
      <c r="A152" s="2"/>
    </row>
    <row r="153" spans="1:1" x14ac:dyDescent="0.2">
      <c r="A153" s="2"/>
    </row>
    <row r="154" spans="1:1" x14ac:dyDescent="0.2">
      <c r="A154" s="2"/>
    </row>
    <row r="155" spans="1:1" x14ac:dyDescent="0.2">
      <c r="A155" s="2"/>
    </row>
    <row r="156" spans="1:1" x14ac:dyDescent="0.2">
      <c r="A156" s="2"/>
    </row>
    <row r="157" spans="1:1" x14ac:dyDescent="0.2">
      <c r="A157" s="2"/>
    </row>
    <row r="158" spans="1:1" x14ac:dyDescent="0.2">
      <c r="A158" s="2"/>
    </row>
    <row r="159" spans="1:1" x14ac:dyDescent="0.2">
      <c r="A159" s="2"/>
    </row>
    <row r="160" spans="1:1" x14ac:dyDescent="0.2">
      <c r="A160" s="2"/>
    </row>
    <row r="161" spans="1:1" x14ac:dyDescent="0.2">
      <c r="A161" s="2"/>
    </row>
    <row r="162" spans="1:1" x14ac:dyDescent="0.2">
      <c r="A162" s="2"/>
    </row>
    <row r="163" spans="1:1" x14ac:dyDescent="0.2">
      <c r="A163" s="2"/>
    </row>
    <row r="164" spans="1:1" x14ac:dyDescent="0.2">
      <c r="A164" s="2"/>
    </row>
    <row r="165" spans="1:1" x14ac:dyDescent="0.2">
      <c r="A165" s="2"/>
    </row>
    <row r="166" spans="1:1" x14ac:dyDescent="0.2">
      <c r="A166" s="2"/>
    </row>
    <row r="167" spans="1:1" x14ac:dyDescent="0.2">
      <c r="A167" s="2"/>
    </row>
    <row r="168" spans="1:1" x14ac:dyDescent="0.2">
      <c r="A168" s="2"/>
    </row>
    <row r="169" spans="1:1" x14ac:dyDescent="0.2">
      <c r="A169" s="2"/>
    </row>
    <row r="170" spans="1:1" x14ac:dyDescent="0.2">
      <c r="A170" s="2"/>
    </row>
    <row r="171" spans="1:1" x14ac:dyDescent="0.2">
      <c r="A171" s="2"/>
    </row>
    <row r="172" spans="1:1" x14ac:dyDescent="0.2">
      <c r="A172" s="2"/>
    </row>
    <row r="173" spans="1:1" x14ac:dyDescent="0.2">
      <c r="A173" s="2"/>
    </row>
    <row r="174" spans="1:1" x14ac:dyDescent="0.2">
      <c r="A174" s="2"/>
    </row>
    <row r="175" spans="1:1" x14ac:dyDescent="0.2">
      <c r="A175" s="2"/>
    </row>
    <row r="176" spans="1:1" x14ac:dyDescent="0.2">
      <c r="A176" s="2"/>
    </row>
    <row r="177" spans="1:1" x14ac:dyDescent="0.2">
      <c r="A177" s="2"/>
    </row>
    <row r="178" spans="1:1" x14ac:dyDescent="0.2">
      <c r="A178" s="2"/>
    </row>
    <row r="179" spans="1:1" x14ac:dyDescent="0.2">
      <c r="A179" s="2"/>
    </row>
    <row r="180" spans="1:1" x14ac:dyDescent="0.2">
      <c r="A180" s="2"/>
    </row>
    <row r="181" spans="1:1" x14ac:dyDescent="0.2">
      <c r="A181" s="2"/>
    </row>
    <row r="182" spans="1:1" x14ac:dyDescent="0.2">
      <c r="A182" s="2"/>
    </row>
    <row r="183" spans="1:1" x14ac:dyDescent="0.2">
      <c r="A183" s="2"/>
    </row>
    <row r="184" spans="1:1" x14ac:dyDescent="0.2">
      <c r="A184" s="2"/>
    </row>
    <row r="185" spans="1:1" x14ac:dyDescent="0.2">
      <c r="A185" s="2"/>
    </row>
    <row r="186" spans="1:1" x14ac:dyDescent="0.2">
      <c r="A186" s="2"/>
    </row>
    <row r="187" spans="1:1" x14ac:dyDescent="0.2">
      <c r="A187" s="2"/>
    </row>
    <row r="188" spans="1:1" x14ac:dyDescent="0.2">
      <c r="A188" s="2"/>
    </row>
    <row r="189" spans="1:1" x14ac:dyDescent="0.2">
      <c r="A189" s="2"/>
    </row>
    <row r="190" spans="1:1" x14ac:dyDescent="0.2">
      <c r="A190" s="2"/>
    </row>
    <row r="191" spans="1:1" x14ac:dyDescent="0.2">
      <c r="A191" s="2"/>
    </row>
    <row r="192" spans="1:1" x14ac:dyDescent="0.2">
      <c r="A192" s="2"/>
    </row>
    <row r="193" spans="1:1" x14ac:dyDescent="0.2">
      <c r="A193" s="2"/>
    </row>
    <row r="194" spans="1:1" x14ac:dyDescent="0.2">
      <c r="A194" s="2"/>
    </row>
    <row r="195" spans="1:1" x14ac:dyDescent="0.2">
      <c r="A195" s="2"/>
    </row>
    <row r="196" spans="1:1" x14ac:dyDescent="0.2">
      <c r="A196" s="2"/>
    </row>
    <row r="197" spans="1:1" x14ac:dyDescent="0.2">
      <c r="A197" s="2"/>
    </row>
    <row r="198" spans="1:1" x14ac:dyDescent="0.2">
      <c r="A198" s="2"/>
    </row>
    <row r="199" spans="1:1" x14ac:dyDescent="0.2">
      <c r="A199" s="2"/>
    </row>
    <row r="200" spans="1:1" x14ac:dyDescent="0.2">
      <c r="A200" s="2"/>
    </row>
    <row r="201" spans="1:1" x14ac:dyDescent="0.2">
      <c r="A201" s="2"/>
    </row>
    <row r="202" spans="1:1" x14ac:dyDescent="0.2">
      <c r="A202" s="2"/>
    </row>
    <row r="203" spans="1:1" x14ac:dyDescent="0.2">
      <c r="A203" s="2"/>
    </row>
    <row r="204" spans="1:1" x14ac:dyDescent="0.2">
      <c r="A204" s="2"/>
    </row>
    <row r="205" spans="1:1" x14ac:dyDescent="0.2">
      <c r="A205" s="2"/>
    </row>
    <row r="206" spans="1:1" x14ac:dyDescent="0.2">
      <c r="A206" s="2"/>
    </row>
    <row r="207" spans="1:1" x14ac:dyDescent="0.2">
      <c r="A207" s="2"/>
    </row>
    <row r="208" spans="1:1" x14ac:dyDescent="0.2">
      <c r="A208" s="2"/>
    </row>
    <row r="209" spans="1:1" x14ac:dyDescent="0.2">
      <c r="A209" s="2"/>
    </row>
    <row r="210" spans="1:1" x14ac:dyDescent="0.2">
      <c r="A210" s="2"/>
    </row>
    <row r="211" spans="1:1" x14ac:dyDescent="0.2">
      <c r="A211" s="2"/>
    </row>
    <row r="212" spans="1:1" x14ac:dyDescent="0.2">
      <c r="A212" s="2"/>
    </row>
    <row r="213" spans="1:1" x14ac:dyDescent="0.2">
      <c r="A213" s="2"/>
    </row>
    <row r="214" spans="1:1" x14ac:dyDescent="0.2">
      <c r="A214" s="2"/>
    </row>
    <row r="215" spans="1:1" x14ac:dyDescent="0.2">
      <c r="A215" s="2"/>
    </row>
    <row r="216" spans="1:1" x14ac:dyDescent="0.2">
      <c r="A216" s="2"/>
    </row>
    <row r="217" spans="1:1" x14ac:dyDescent="0.2">
      <c r="A217" s="2"/>
    </row>
    <row r="218" spans="1:1" x14ac:dyDescent="0.2">
      <c r="A218" s="2"/>
    </row>
    <row r="219" spans="1:1" x14ac:dyDescent="0.2">
      <c r="A219" s="2"/>
    </row>
    <row r="220" spans="1:1" x14ac:dyDescent="0.2">
      <c r="A220" s="2"/>
    </row>
    <row r="221" spans="1:1" x14ac:dyDescent="0.2">
      <c r="A221" s="2"/>
    </row>
    <row r="222" spans="1:1" x14ac:dyDescent="0.2">
      <c r="A222" s="2"/>
    </row>
    <row r="223" spans="1:1" x14ac:dyDescent="0.2">
      <c r="A223" s="2"/>
    </row>
    <row r="224" spans="1:1" x14ac:dyDescent="0.2">
      <c r="A224" s="2"/>
    </row>
    <row r="225" spans="1:1" x14ac:dyDescent="0.2">
      <c r="A225" s="2"/>
    </row>
    <row r="226" spans="1:1" x14ac:dyDescent="0.2">
      <c r="A226" s="2"/>
    </row>
    <row r="227" spans="1:1" x14ac:dyDescent="0.2">
      <c r="A227" s="2"/>
    </row>
    <row r="228" spans="1:1" x14ac:dyDescent="0.2">
      <c r="A228" s="2"/>
    </row>
    <row r="229" spans="1:1" x14ac:dyDescent="0.2">
      <c r="A229" s="2"/>
    </row>
    <row r="230" spans="1:1" x14ac:dyDescent="0.2">
      <c r="A230" s="2"/>
    </row>
    <row r="231" spans="1:1" x14ac:dyDescent="0.2">
      <c r="A231" s="2"/>
    </row>
    <row r="232" spans="1:1" x14ac:dyDescent="0.2">
      <c r="A232" s="2"/>
    </row>
    <row r="233" spans="1:1" x14ac:dyDescent="0.2">
      <c r="A233" s="2"/>
    </row>
    <row r="234" spans="1:1" x14ac:dyDescent="0.2">
      <c r="A234" s="2"/>
    </row>
    <row r="235" spans="1:1" x14ac:dyDescent="0.2">
      <c r="A235" s="2"/>
    </row>
    <row r="236" spans="1:1" x14ac:dyDescent="0.2">
      <c r="A236" s="2"/>
    </row>
    <row r="237" spans="1:1" x14ac:dyDescent="0.2">
      <c r="A237" s="2"/>
    </row>
    <row r="238" spans="1:1" x14ac:dyDescent="0.2">
      <c r="A238" s="2"/>
    </row>
    <row r="239" spans="1:1" x14ac:dyDescent="0.2">
      <c r="A239" s="2"/>
    </row>
    <row r="240" spans="1:1" x14ac:dyDescent="0.2">
      <c r="A240" s="2"/>
    </row>
    <row r="241" spans="1:1" x14ac:dyDescent="0.2">
      <c r="A241" s="2"/>
    </row>
    <row r="242" spans="1:1" x14ac:dyDescent="0.2">
      <c r="A242" s="2"/>
    </row>
    <row r="243" spans="1:1" x14ac:dyDescent="0.2">
      <c r="A243" s="2"/>
    </row>
    <row r="244" spans="1:1" x14ac:dyDescent="0.2">
      <c r="A244" s="2"/>
    </row>
    <row r="245" spans="1:1" x14ac:dyDescent="0.2">
      <c r="A245" s="2"/>
    </row>
    <row r="246" spans="1:1" x14ac:dyDescent="0.2">
      <c r="A246" s="2"/>
    </row>
    <row r="247" spans="1:1" x14ac:dyDescent="0.2">
      <c r="A247" s="2"/>
    </row>
    <row r="248" spans="1:1" x14ac:dyDescent="0.2">
      <c r="A248" s="2"/>
    </row>
    <row r="249" spans="1:1" x14ac:dyDescent="0.2">
      <c r="A249" s="2"/>
    </row>
    <row r="250" spans="1:1" x14ac:dyDescent="0.2">
      <c r="A250" s="2"/>
    </row>
    <row r="251" spans="1:1" x14ac:dyDescent="0.2">
      <c r="A251" s="2"/>
    </row>
    <row r="252" spans="1:1" x14ac:dyDescent="0.2">
      <c r="A252" s="2"/>
    </row>
    <row r="253" spans="1:1" x14ac:dyDescent="0.2">
      <c r="A253" s="2"/>
    </row>
    <row r="254" spans="1:1" x14ac:dyDescent="0.2">
      <c r="A254" s="2"/>
    </row>
    <row r="255" spans="1:1" x14ac:dyDescent="0.2">
      <c r="A255" s="2"/>
    </row>
    <row r="256" spans="1:1" x14ac:dyDescent="0.2">
      <c r="A256" s="2"/>
    </row>
    <row r="257" spans="1:1" x14ac:dyDescent="0.2">
      <c r="A257" s="2"/>
    </row>
    <row r="258" spans="1:1" x14ac:dyDescent="0.2">
      <c r="A258" s="2"/>
    </row>
    <row r="259" spans="1:1" x14ac:dyDescent="0.2">
      <c r="A259" s="2"/>
    </row>
    <row r="260" spans="1:1" x14ac:dyDescent="0.2">
      <c r="A260" s="2"/>
    </row>
    <row r="261" spans="1:1" x14ac:dyDescent="0.2">
      <c r="A261" s="2"/>
    </row>
    <row r="262" spans="1:1" x14ac:dyDescent="0.2">
      <c r="A262" s="2"/>
    </row>
    <row r="263" spans="1:1" x14ac:dyDescent="0.2">
      <c r="A263" s="2"/>
    </row>
    <row r="264" spans="1:1" x14ac:dyDescent="0.2">
      <c r="A264" s="2"/>
    </row>
    <row r="265" spans="1:1" x14ac:dyDescent="0.2">
      <c r="A265" s="2"/>
    </row>
    <row r="266" spans="1:1" x14ac:dyDescent="0.2">
      <c r="A266" s="2"/>
    </row>
    <row r="267" spans="1:1" x14ac:dyDescent="0.2">
      <c r="A267" s="2"/>
    </row>
    <row r="268" spans="1:1" x14ac:dyDescent="0.2">
      <c r="A268" s="2"/>
    </row>
    <row r="269" spans="1:1" x14ac:dyDescent="0.2">
      <c r="A269" s="2"/>
    </row>
    <row r="270" spans="1:1" x14ac:dyDescent="0.2">
      <c r="A270" s="2"/>
    </row>
    <row r="271" spans="1:1" x14ac:dyDescent="0.2">
      <c r="A271" s="2"/>
    </row>
    <row r="272" spans="1:1" x14ac:dyDescent="0.2">
      <c r="A272" s="2"/>
    </row>
    <row r="273" spans="1:1" x14ac:dyDescent="0.2">
      <c r="A273" s="2"/>
    </row>
    <row r="274" spans="1:1" x14ac:dyDescent="0.2">
      <c r="A274" s="2"/>
    </row>
    <row r="275" spans="1:1" x14ac:dyDescent="0.2">
      <c r="A275" s="2"/>
    </row>
    <row r="276" spans="1:1" x14ac:dyDescent="0.2">
      <c r="A276" s="2"/>
    </row>
    <row r="277" spans="1:1" x14ac:dyDescent="0.2">
      <c r="A277" s="2"/>
    </row>
    <row r="278" spans="1:1" x14ac:dyDescent="0.2">
      <c r="A278" s="2"/>
    </row>
    <row r="279" spans="1:1" x14ac:dyDescent="0.2">
      <c r="A279" s="2"/>
    </row>
    <row r="280" spans="1:1" x14ac:dyDescent="0.2">
      <c r="A280" s="2"/>
    </row>
    <row r="281" spans="1:1" x14ac:dyDescent="0.2">
      <c r="A281" s="2"/>
    </row>
    <row r="282" spans="1:1" x14ac:dyDescent="0.2">
      <c r="A282" s="2"/>
    </row>
    <row r="283" spans="1:1" x14ac:dyDescent="0.2">
      <c r="A283" s="2"/>
    </row>
    <row r="284" spans="1:1" x14ac:dyDescent="0.2">
      <c r="A284" s="2"/>
    </row>
    <row r="285" spans="1:1" x14ac:dyDescent="0.2">
      <c r="A285" s="2"/>
    </row>
    <row r="286" spans="1:1" x14ac:dyDescent="0.2">
      <c r="A286" s="2"/>
    </row>
    <row r="287" spans="1:1" x14ac:dyDescent="0.2">
      <c r="A287" s="2"/>
    </row>
    <row r="288" spans="1:1" x14ac:dyDescent="0.2">
      <c r="A288" s="2"/>
    </row>
    <row r="289" spans="1:1" x14ac:dyDescent="0.2">
      <c r="A289" s="2"/>
    </row>
    <row r="290" spans="1:1" x14ac:dyDescent="0.2">
      <c r="A290" s="2"/>
    </row>
    <row r="291" spans="1:1" x14ac:dyDescent="0.2">
      <c r="A291" s="2"/>
    </row>
    <row r="292" spans="1:1" x14ac:dyDescent="0.2">
      <c r="A292" s="2"/>
    </row>
    <row r="293" spans="1:1" x14ac:dyDescent="0.2">
      <c r="A293" s="2"/>
    </row>
    <row r="294" spans="1:1" x14ac:dyDescent="0.2">
      <c r="A294" s="2"/>
    </row>
    <row r="295" spans="1:1" x14ac:dyDescent="0.2">
      <c r="A295" s="2"/>
    </row>
    <row r="296" spans="1:1" x14ac:dyDescent="0.2">
      <c r="A296" s="2"/>
    </row>
    <row r="297" spans="1:1" x14ac:dyDescent="0.2">
      <c r="A297" s="2"/>
    </row>
    <row r="298" spans="1:1" x14ac:dyDescent="0.2">
      <c r="A298" s="2"/>
    </row>
    <row r="299" spans="1:1" x14ac:dyDescent="0.2">
      <c r="A299" s="2"/>
    </row>
    <row r="300" spans="1:1" x14ac:dyDescent="0.2">
      <c r="A300" s="2"/>
    </row>
    <row r="301" spans="1:1" x14ac:dyDescent="0.2">
      <c r="A301" s="2"/>
    </row>
    <row r="302" spans="1:1" x14ac:dyDescent="0.2">
      <c r="A302" s="2"/>
    </row>
    <row r="303" spans="1:1" x14ac:dyDescent="0.2">
      <c r="A303" s="2"/>
    </row>
    <row r="304" spans="1:1" x14ac:dyDescent="0.2">
      <c r="A304" s="2"/>
    </row>
    <row r="305" spans="1:1" x14ac:dyDescent="0.2">
      <c r="A305" s="2"/>
    </row>
    <row r="306" spans="1:1" x14ac:dyDescent="0.2">
      <c r="A306" s="2"/>
    </row>
    <row r="307" spans="1:1" x14ac:dyDescent="0.2">
      <c r="A307" s="2"/>
    </row>
    <row r="308" spans="1:1" x14ac:dyDescent="0.2">
      <c r="A308" s="2"/>
    </row>
    <row r="309" spans="1:1" x14ac:dyDescent="0.2">
      <c r="A309" s="2"/>
    </row>
    <row r="310" spans="1:1" x14ac:dyDescent="0.2">
      <c r="A310" s="2"/>
    </row>
    <row r="311" spans="1:1" x14ac:dyDescent="0.2">
      <c r="A311" s="2"/>
    </row>
    <row r="312" spans="1:1" x14ac:dyDescent="0.2">
      <c r="A312" s="2"/>
    </row>
    <row r="313" spans="1:1" x14ac:dyDescent="0.2">
      <c r="A313" s="2"/>
    </row>
    <row r="314" spans="1:1" x14ac:dyDescent="0.2">
      <c r="A314" s="2"/>
    </row>
    <row r="315" spans="1:1" x14ac:dyDescent="0.2">
      <c r="A315" s="2"/>
    </row>
    <row r="316" spans="1:1" x14ac:dyDescent="0.2">
      <c r="A316" s="2"/>
    </row>
    <row r="317" spans="1:1" x14ac:dyDescent="0.2">
      <c r="A317" s="2"/>
    </row>
    <row r="318" spans="1:1" x14ac:dyDescent="0.2">
      <c r="A318" s="2"/>
    </row>
    <row r="319" spans="1:1" x14ac:dyDescent="0.2">
      <c r="A319" s="2"/>
    </row>
    <row r="320" spans="1:1" x14ac:dyDescent="0.2">
      <c r="A320" s="2"/>
    </row>
    <row r="321" spans="1:1" x14ac:dyDescent="0.2">
      <c r="A321" s="2"/>
    </row>
    <row r="322" spans="1:1" x14ac:dyDescent="0.2">
      <c r="A322" s="2"/>
    </row>
    <row r="323" spans="1:1" x14ac:dyDescent="0.2">
      <c r="A323" s="2"/>
    </row>
    <row r="324" spans="1:1" x14ac:dyDescent="0.2">
      <c r="A324" s="2"/>
    </row>
    <row r="325" spans="1:1" x14ac:dyDescent="0.2">
      <c r="A325" s="2"/>
    </row>
    <row r="326" spans="1:1" x14ac:dyDescent="0.2">
      <c r="A326" s="2"/>
    </row>
    <row r="327" spans="1:1" x14ac:dyDescent="0.2">
      <c r="A327" s="2"/>
    </row>
    <row r="328" spans="1:1" x14ac:dyDescent="0.2">
      <c r="A328" s="2"/>
    </row>
    <row r="329" spans="1:1" x14ac:dyDescent="0.2">
      <c r="A329" s="2"/>
    </row>
    <row r="330" spans="1:1" x14ac:dyDescent="0.2">
      <c r="A330" s="2"/>
    </row>
    <row r="331" spans="1:1" x14ac:dyDescent="0.2">
      <c r="A331" s="2"/>
    </row>
    <row r="332" spans="1:1" x14ac:dyDescent="0.2">
      <c r="A332" s="2"/>
    </row>
    <row r="333" spans="1:1" x14ac:dyDescent="0.2">
      <c r="A333" s="2"/>
    </row>
    <row r="334" spans="1:1" x14ac:dyDescent="0.2">
      <c r="A334" s="2"/>
    </row>
    <row r="335" spans="1:1" x14ac:dyDescent="0.2">
      <c r="A335" s="2"/>
    </row>
    <row r="336" spans="1:1" x14ac:dyDescent="0.2">
      <c r="A336" s="2"/>
    </row>
    <row r="337" spans="1:1" x14ac:dyDescent="0.2">
      <c r="A337" s="2"/>
    </row>
    <row r="338" spans="1:1" x14ac:dyDescent="0.2">
      <c r="A338" s="2"/>
    </row>
    <row r="339" spans="1:1" x14ac:dyDescent="0.2">
      <c r="A339" s="2"/>
    </row>
    <row r="340" spans="1:1" x14ac:dyDescent="0.2">
      <c r="A340" s="2"/>
    </row>
    <row r="341" spans="1:1" x14ac:dyDescent="0.2">
      <c r="A341" s="2"/>
    </row>
    <row r="342" spans="1:1" x14ac:dyDescent="0.2">
      <c r="A342" s="2"/>
    </row>
    <row r="343" spans="1:1" x14ac:dyDescent="0.2">
      <c r="A343" s="2"/>
    </row>
    <row r="344" spans="1:1" x14ac:dyDescent="0.2">
      <c r="A344" s="2"/>
    </row>
    <row r="345" spans="1:1" x14ac:dyDescent="0.2">
      <c r="A345" s="2"/>
    </row>
    <row r="346" spans="1:1" x14ac:dyDescent="0.2">
      <c r="A346" s="2"/>
    </row>
    <row r="347" spans="1:1" x14ac:dyDescent="0.2">
      <c r="A347" s="2"/>
    </row>
    <row r="348" spans="1:1" x14ac:dyDescent="0.2">
      <c r="A348" s="2"/>
    </row>
    <row r="349" spans="1:1" x14ac:dyDescent="0.2">
      <c r="A349" s="2"/>
    </row>
    <row r="350" spans="1:1" x14ac:dyDescent="0.2">
      <c r="A350" s="2"/>
    </row>
    <row r="351" spans="1:1" x14ac:dyDescent="0.2">
      <c r="A351" s="2"/>
    </row>
    <row r="352" spans="1:1" x14ac:dyDescent="0.2">
      <c r="A352" s="2"/>
    </row>
    <row r="353" spans="1:1" x14ac:dyDescent="0.2">
      <c r="A353" s="2"/>
    </row>
    <row r="354" spans="1:1" x14ac:dyDescent="0.2">
      <c r="A354" s="2"/>
    </row>
    <row r="355" spans="1:1" x14ac:dyDescent="0.2">
      <c r="A355" s="2"/>
    </row>
    <row r="356" spans="1:1" x14ac:dyDescent="0.2">
      <c r="A356" s="2"/>
    </row>
    <row r="357" spans="1:1" x14ac:dyDescent="0.2">
      <c r="A357" s="2"/>
    </row>
    <row r="358" spans="1:1" x14ac:dyDescent="0.2">
      <c r="A358" s="2"/>
    </row>
    <row r="359" spans="1:1" x14ac:dyDescent="0.2">
      <c r="A359" s="2"/>
    </row>
    <row r="360" spans="1:1" x14ac:dyDescent="0.2">
      <c r="A360" s="2"/>
    </row>
    <row r="361" spans="1:1" x14ac:dyDescent="0.2">
      <c r="A361" s="2"/>
    </row>
    <row r="362" spans="1:1" x14ac:dyDescent="0.2">
      <c r="A362" s="2"/>
    </row>
    <row r="363" spans="1:1" x14ac:dyDescent="0.2">
      <c r="A363" s="2"/>
    </row>
    <row r="364" spans="1:1" x14ac:dyDescent="0.2">
      <c r="A364" s="2"/>
    </row>
    <row r="365" spans="1:1" x14ac:dyDescent="0.2">
      <c r="A365" s="2"/>
    </row>
    <row r="366" spans="1:1" x14ac:dyDescent="0.2">
      <c r="A366" s="2"/>
    </row>
    <row r="367" spans="1:1" x14ac:dyDescent="0.2">
      <c r="A367" s="2"/>
    </row>
    <row r="368" spans="1:1" x14ac:dyDescent="0.2">
      <c r="A368" s="2"/>
    </row>
    <row r="369" spans="1:1" x14ac:dyDescent="0.2">
      <c r="A369" s="2"/>
    </row>
    <row r="370" spans="1:1" x14ac:dyDescent="0.2">
      <c r="A370" s="2"/>
    </row>
    <row r="371" spans="1:1" x14ac:dyDescent="0.2">
      <c r="A371" s="2"/>
    </row>
    <row r="372" spans="1:1" x14ac:dyDescent="0.2">
      <c r="A372" s="2"/>
    </row>
    <row r="373" spans="1:1" x14ac:dyDescent="0.2">
      <c r="A373" s="2"/>
    </row>
    <row r="374" spans="1:1" x14ac:dyDescent="0.2">
      <c r="A374" s="2"/>
    </row>
    <row r="375" spans="1:1" x14ac:dyDescent="0.2">
      <c r="A375" s="2"/>
    </row>
    <row r="376" spans="1:1" x14ac:dyDescent="0.2">
      <c r="A376" s="2"/>
    </row>
    <row r="377" spans="1:1" x14ac:dyDescent="0.2">
      <c r="A377" s="2"/>
    </row>
    <row r="378" spans="1:1" x14ac:dyDescent="0.2">
      <c r="A378" s="2"/>
    </row>
    <row r="379" spans="1:1" x14ac:dyDescent="0.2">
      <c r="A379" s="2"/>
    </row>
    <row r="380" spans="1:1" x14ac:dyDescent="0.2">
      <c r="A380" s="2"/>
    </row>
    <row r="381" spans="1:1" x14ac:dyDescent="0.2">
      <c r="A381" s="2"/>
    </row>
    <row r="382" spans="1:1" x14ac:dyDescent="0.2">
      <c r="A382" s="2"/>
    </row>
    <row r="383" spans="1:1" x14ac:dyDescent="0.2">
      <c r="A383" s="2"/>
    </row>
    <row r="384" spans="1:1" x14ac:dyDescent="0.2">
      <c r="A384" s="2"/>
    </row>
    <row r="385" spans="1:1" x14ac:dyDescent="0.2">
      <c r="A385" s="2"/>
    </row>
    <row r="386" spans="1:1" x14ac:dyDescent="0.2">
      <c r="A386" s="2"/>
    </row>
    <row r="387" spans="1:1" x14ac:dyDescent="0.2">
      <c r="A387" s="2"/>
    </row>
    <row r="388" spans="1:1" x14ac:dyDescent="0.2">
      <c r="A388" s="2"/>
    </row>
    <row r="389" spans="1:1" x14ac:dyDescent="0.2">
      <c r="A389" s="2"/>
    </row>
    <row r="390" spans="1:1" x14ac:dyDescent="0.2">
      <c r="A390" s="2"/>
    </row>
    <row r="391" spans="1:1" x14ac:dyDescent="0.2">
      <c r="A391" s="2"/>
    </row>
    <row r="392" spans="1:1" x14ac:dyDescent="0.2">
      <c r="A392" s="2"/>
    </row>
    <row r="393" spans="1:1" x14ac:dyDescent="0.2">
      <c r="A393" s="2"/>
    </row>
    <row r="394" spans="1:1" x14ac:dyDescent="0.2">
      <c r="A394" s="2"/>
    </row>
    <row r="395" spans="1:1" x14ac:dyDescent="0.2">
      <c r="A395" s="2"/>
    </row>
    <row r="396" spans="1:1" x14ac:dyDescent="0.2">
      <c r="A396" s="2"/>
    </row>
    <row r="397" spans="1:1" x14ac:dyDescent="0.2">
      <c r="A397" s="2"/>
    </row>
    <row r="398" spans="1:1" x14ac:dyDescent="0.2">
      <c r="A398" s="2"/>
    </row>
    <row r="399" spans="1:1" x14ac:dyDescent="0.2">
      <c r="A399" s="2"/>
    </row>
    <row r="400" spans="1:1" x14ac:dyDescent="0.2">
      <c r="A400" s="2"/>
    </row>
    <row r="401" spans="1:1" x14ac:dyDescent="0.2">
      <c r="A401" s="2"/>
    </row>
    <row r="402" spans="1:1" x14ac:dyDescent="0.2">
      <c r="A402" s="2"/>
    </row>
    <row r="403" spans="1:1" x14ac:dyDescent="0.2">
      <c r="A403" s="2"/>
    </row>
    <row r="404" spans="1:1" x14ac:dyDescent="0.2">
      <c r="A404" s="2"/>
    </row>
    <row r="405" spans="1:1" x14ac:dyDescent="0.2">
      <c r="A405" s="2"/>
    </row>
    <row r="406" spans="1:1" x14ac:dyDescent="0.2">
      <c r="A406" s="2"/>
    </row>
    <row r="407" spans="1:1" x14ac:dyDescent="0.2">
      <c r="A407" s="2"/>
    </row>
    <row r="408" spans="1:1" x14ac:dyDescent="0.2">
      <c r="A408" s="2"/>
    </row>
    <row r="409" spans="1:1" x14ac:dyDescent="0.2">
      <c r="A409" s="2"/>
    </row>
    <row r="410" spans="1:1" x14ac:dyDescent="0.2">
      <c r="A410" s="2"/>
    </row>
    <row r="411" spans="1:1" x14ac:dyDescent="0.2">
      <c r="A411" s="2"/>
    </row>
    <row r="412" spans="1:1" x14ac:dyDescent="0.2">
      <c r="A412" s="2"/>
    </row>
    <row r="413" spans="1:1" x14ac:dyDescent="0.2">
      <c r="A413" s="2"/>
    </row>
    <row r="414" spans="1:1" x14ac:dyDescent="0.2">
      <c r="A414" s="2"/>
    </row>
    <row r="415" spans="1:1" x14ac:dyDescent="0.2">
      <c r="A415" s="2"/>
    </row>
    <row r="416" spans="1:1" x14ac:dyDescent="0.2">
      <c r="A416" s="2"/>
    </row>
    <row r="417" spans="1:1" x14ac:dyDescent="0.2">
      <c r="A417" s="2"/>
    </row>
    <row r="418" spans="1:1" x14ac:dyDescent="0.2">
      <c r="A418" s="2"/>
    </row>
    <row r="419" spans="1:1" x14ac:dyDescent="0.2">
      <c r="A419" s="2"/>
    </row>
    <row r="420" spans="1:1" x14ac:dyDescent="0.2">
      <c r="A420" s="2"/>
    </row>
    <row r="421" spans="1:1" x14ac:dyDescent="0.2">
      <c r="A421" s="2"/>
    </row>
    <row r="422" spans="1:1" x14ac:dyDescent="0.2">
      <c r="A422" s="2"/>
    </row>
    <row r="423" spans="1:1" x14ac:dyDescent="0.2">
      <c r="A423" s="2"/>
    </row>
    <row r="424" spans="1:1" x14ac:dyDescent="0.2">
      <c r="A424" s="2"/>
    </row>
    <row r="425" spans="1:1" x14ac:dyDescent="0.2">
      <c r="A425" s="2"/>
    </row>
    <row r="426" spans="1:1" x14ac:dyDescent="0.2">
      <c r="A426" s="2"/>
    </row>
    <row r="427" spans="1:1" x14ac:dyDescent="0.2">
      <c r="A427" s="2"/>
    </row>
    <row r="428" spans="1:1" x14ac:dyDescent="0.2">
      <c r="A428" s="2"/>
    </row>
    <row r="429" spans="1:1" x14ac:dyDescent="0.2">
      <c r="A429" s="2"/>
    </row>
    <row r="430" spans="1:1" x14ac:dyDescent="0.2">
      <c r="A430" s="2"/>
    </row>
    <row r="431" spans="1:1" x14ac:dyDescent="0.2">
      <c r="A431" s="2"/>
    </row>
    <row r="432" spans="1:1" x14ac:dyDescent="0.2">
      <c r="A432" s="2"/>
    </row>
    <row r="433" spans="1:1" x14ac:dyDescent="0.2">
      <c r="A433" s="2"/>
    </row>
    <row r="434" spans="1:1" x14ac:dyDescent="0.2">
      <c r="A434" s="2"/>
    </row>
    <row r="435" spans="1:1" x14ac:dyDescent="0.2">
      <c r="A435" s="2"/>
    </row>
    <row r="436" spans="1:1" x14ac:dyDescent="0.2">
      <c r="A436" s="2"/>
    </row>
    <row r="437" spans="1:1" x14ac:dyDescent="0.2">
      <c r="A437" s="2"/>
    </row>
    <row r="438" spans="1:1" x14ac:dyDescent="0.2">
      <c r="A438" s="2"/>
    </row>
    <row r="439" spans="1:1" x14ac:dyDescent="0.2">
      <c r="A439" s="2"/>
    </row>
    <row r="440" spans="1:1" x14ac:dyDescent="0.2">
      <c r="A440" s="2"/>
    </row>
    <row r="441" spans="1:1" x14ac:dyDescent="0.2">
      <c r="A441" s="2"/>
    </row>
    <row r="442" spans="1:1" x14ac:dyDescent="0.2">
      <c r="A442" s="2"/>
    </row>
    <row r="443" spans="1:1" x14ac:dyDescent="0.2">
      <c r="A443" s="2"/>
    </row>
    <row r="444" spans="1:1" x14ac:dyDescent="0.2">
      <c r="A444" s="2"/>
    </row>
    <row r="445" spans="1:1" x14ac:dyDescent="0.2">
      <c r="A445" s="2"/>
    </row>
    <row r="446" spans="1:1" x14ac:dyDescent="0.2">
      <c r="A446" s="2"/>
    </row>
    <row r="447" spans="1:1" x14ac:dyDescent="0.2">
      <c r="A447" s="2"/>
    </row>
    <row r="448" spans="1:1" x14ac:dyDescent="0.2">
      <c r="A448" s="2"/>
    </row>
    <row r="449" spans="1:1" x14ac:dyDescent="0.2">
      <c r="A449" s="2"/>
    </row>
    <row r="450" spans="1:1" x14ac:dyDescent="0.2">
      <c r="A450" s="2"/>
    </row>
    <row r="451" spans="1:1" x14ac:dyDescent="0.2">
      <c r="A451" s="2"/>
    </row>
    <row r="452" spans="1:1" x14ac:dyDescent="0.2">
      <c r="A452" s="2"/>
    </row>
    <row r="453" spans="1:1" x14ac:dyDescent="0.2">
      <c r="A453" s="2"/>
    </row>
    <row r="454" spans="1:1" x14ac:dyDescent="0.2">
      <c r="A454" s="2"/>
    </row>
    <row r="455" spans="1:1" x14ac:dyDescent="0.2">
      <c r="A455" s="2"/>
    </row>
    <row r="456" spans="1:1" x14ac:dyDescent="0.2">
      <c r="A456" s="2"/>
    </row>
    <row r="457" spans="1:1" x14ac:dyDescent="0.2">
      <c r="A457" s="2"/>
    </row>
    <row r="458" spans="1:1" x14ac:dyDescent="0.2">
      <c r="A458" s="2"/>
    </row>
    <row r="459" spans="1:1" x14ac:dyDescent="0.2">
      <c r="A459" s="2"/>
    </row>
    <row r="460" spans="1:1" x14ac:dyDescent="0.2">
      <c r="A460" s="2"/>
    </row>
    <row r="461" spans="1:1" x14ac:dyDescent="0.2">
      <c r="A461" s="2"/>
    </row>
    <row r="462" spans="1:1" x14ac:dyDescent="0.2">
      <c r="A462" s="2"/>
    </row>
    <row r="463" spans="1:1" x14ac:dyDescent="0.2">
      <c r="A463" s="2"/>
    </row>
    <row r="464" spans="1:1" x14ac:dyDescent="0.2">
      <c r="A464" s="2"/>
    </row>
    <row r="465" spans="1:1" x14ac:dyDescent="0.2">
      <c r="A465" s="2"/>
    </row>
    <row r="466" spans="1:1" x14ac:dyDescent="0.2">
      <c r="A466" s="2"/>
    </row>
    <row r="467" spans="1:1" x14ac:dyDescent="0.2">
      <c r="A467" s="2"/>
    </row>
    <row r="468" spans="1:1" x14ac:dyDescent="0.2">
      <c r="A468" s="2"/>
    </row>
    <row r="469" spans="1:1" x14ac:dyDescent="0.2">
      <c r="A469" s="2"/>
    </row>
    <row r="470" spans="1:1" x14ac:dyDescent="0.2">
      <c r="A470" s="2"/>
    </row>
    <row r="471" spans="1:1" x14ac:dyDescent="0.2">
      <c r="A471" s="2"/>
    </row>
    <row r="472" spans="1:1" x14ac:dyDescent="0.2">
      <c r="A472" s="2"/>
    </row>
    <row r="473" spans="1:1" x14ac:dyDescent="0.2">
      <c r="A473" s="2"/>
    </row>
    <row r="474" spans="1:1" x14ac:dyDescent="0.2">
      <c r="A474" s="2"/>
    </row>
    <row r="475" spans="1:1" x14ac:dyDescent="0.2">
      <c r="A475" s="2"/>
    </row>
    <row r="476" spans="1:1" x14ac:dyDescent="0.2">
      <c r="A476" s="2"/>
    </row>
    <row r="477" spans="1:1" x14ac:dyDescent="0.2">
      <c r="A477" s="2"/>
    </row>
    <row r="478" spans="1:1" x14ac:dyDescent="0.2">
      <c r="A478" s="2"/>
    </row>
    <row r="479" spans="1:1" x14ac:dyDescent="0.2">
      <c r="A479" s="2"/>
    </row>
    <row r="480" spans="1:1" x14ac:dyDescent="0.2">
      <c r="A480" s="2"/>
    </row>
    <row r="481" spans="1:1" x14ac:dyDescent="0.2">
      <c r="A481" s="2"/>
    </row>
    <row r="482" spans="1:1" x14ac:dyDescent="0.2">
      <c r="A482" s="2"/>
    </row>
    <row r="483" spans="1:1" x14ac:dyDescent="0.2">
      <c r="A483" s="2"/>
    </row>
    <row r="484" spans="1:1" x14ac:dyDescent="0.2">
      <c r="A484" s="2"/>
    </row>
    <row r="485" spans="1:1" x14ac:dyDescent="0.2">
      <c r="A485" s="2"/>
    </row>
    <row r="486" spans="1:1" x14ac:dyDescent="0.2">
      <c r="A486" s="2"/>
    </row>
    <row r="487" spans="1:1" x14ac:dyDescent="0.2">
      <c r="A487" s="2"/>
    </row>
    <row r="488" spans="1:1" x14ac:dyDescent="0.2">
      <c r="A488" s="2"/>
    </row>
    <row r="489" spans="1:1" x14ac:dyDescent="0.2">
      <c r="A489" s="2"/>
    </row>
    <row r="490" spans="1:1" x14ac:dyDescent="0.2">
      <c r="A490" s="2"/>
    </row>
    <row r="491" spans="1:1" x14ac:dyDescent="0.2">
      <c r="A491" s="2"/>
    </row>
    <row r="492" spans="1:1" x14ac:dyDescent="0.2">
      <c r="A492" s="2"/>
    </row>
    <row r="493" spans="1:1" x14ac:dyDescent="0.2">
      <c r="A493" s="2"/>
    </row>
    <row r="494" spans="1:1" x14ac:dyDescent="0.2">
      <c r="A494" s="2"/>
    </row>
    <row r="495" spans="1:1" x14ac:dyDescent="0.2">
      <c r="A495" s="2"/>
    </row>
    <row r="496" spans="1:1" x14ac:dyDescent="0.2">
      <c r="A496" s="2"/>
    </row>
    <row r="497" spans="1:1" x14ac:dyDescent="0.2">
      <c r="A497" s="2"/>
    </row>
    <row r="498" spans="1:1" x14ac:dyDescent="0.2">
      <c r="A498" s="2"/>
    </row>
    <row r="499" spans="1:1" x14ac:dyDescent="0.2">
      <c r="A499" s="2"/>
    </row>
    <row r="500" spans="1:1" x14ac:dyDescent="0.2">
      <c r="A500" s="2"/>
    </row>
    <row r="501" spans="1:1" x14ac:dyDescent="0.2">
      <c r="A501" s="2"/>
    </row>
    <row r="502" spans="1:1" x14ac:dyDescent="0.2">
      <c r="A502" s="2"/>
    </row>
    <row r="503" spans="1:1" x14ac:dyDescent="0.2">
      <c r="A503" s="2"/>
    </row>
    <row r="504" spans="1:1" x14ac:dyDescent="0.2">
      <c r="A504" s="2"/>
    </row>
    <row r="505" spans="1:1" x14ac:dyDescent="0.2">
      <c r="A505" s="2"/>
    </row>
    <row r="506" spans="1:1" x14ac:dyDescent="0.2">
      <c r="A506" s="2"/>
    </row>
    <row r="507" spans="1:1" x14ac:dyDescent="0.2">
      <c r="A507" s="2"/>
    </row>
    <row r="508" spans="1:1" x14ac:dyDescent="0.2">
      <c r="A508" s="2"/>
    </row>
    <row r="509" spans="1:1" x14ac:dyDescent="0.2">
      <c r="A509" s="2"/>
    </row>
    <row r="510" spans="1:1" x14ac:dyDescent="0.2">
      <c r="A510" s="2"/>
    </row>
    <row r="511" spans="1:1" x14ac:dyDescent="0.2">
      <c r="A511" s="2"/>
    </row>
    <row r="512" spans="1:1" x14ac:dyDescent="0.2">
      <c r="A512" s="2"/>
    </row>
    <row r="513" spans="1:1" x14ac:dyDescent="0.2">
      <c r="A513" s="2"/>
    </row>
    <row r="514" spans="1:1" x14ac:dyDescent="0.2">
      <c r="A514" s="2"/>
    </row>
    <row r="515" spans="1:1" x14ac:dyDescent="0.2">
      <c r="A515" s="2"/>
    </row>
    <row r="516" spans="1:1" x14ac:dyDescent="0.2">
      <c r="A516" s="2"/>
    </row>
    <row r="517" spans="1:1" x14ac:dyDescent="0.2">
      <c r="A517" s="2"/>
    </row>
    <row r="518" spans="1:1" x14ac:dyDescent="0.2">
      <c r="A518" s="2"/>
    </row>
    <row r="519" spans="1:1" x14ac:dyDescent="0.2">
      <c r="A519" s="2"/>
    </row>
    <row r="520" spans="1:1" x14ac:dyDescent="0.2">
      <c r="A520" s="2"/>
    </row>
    <row r="521" spans="1:1" x14ac:dyDescent="0.2">
      <c r="A521" s="2"/>
    </row>
    <row r="522" spans="1:1" x14ac:dyDescent="0.2">
      <c r="A522" s="2"/>
    </row>
    <row r="523" spans="1:1" x14ac:dyDescent="0.2">
      <c r="A523" s="2"/>
    </row>
    <row r="524" spans="1:1" x14ac:dyDescent="0.2">
      <c r="A524" s="2"/>
    </row>
    <row r="525" spans="1:1" x14ac:dyDescent="0.2">
      <c r="A525" s="2"/>
    </row>
    <row r="526" spans="1:1" x14ac:dyDescent="0.2">
      <c r="A526" s="2"/>
    </row>
    <row r="527" spans="1:1" x14ac:dyDescent="0.2">
      <c r="A527" s="2"/>
    </row>
    <row r="528" spans="1:1" x14ac:dyDescent="0.2">
      <c r="A528" s="2"/>
    </row>
    <row r="529" spans="1:1" x14ac:dyDescent="0.2">
      <c r="A529" s="2"/>
    </row>
    <row r="530" spans="1:1" x14ac:dyDescent="0.2">
      <c r="A530" s="2"/>
    </row>
    <row r="531" spans="1:1" x14ac:dyDescent="0.2">
      <c r="A531" s="2"/>
    </row>
    <row r="532" spans="1:1" x14ac:dyDescent="0.2">
      <c r="A532" s="2"/>
    </row>
    <row r="533" spans="1:1" x14ac:dyDescent="0.2">
      <c r="A533" s="2"/>
    </row>
    <row r="534" spans="1:1" x14ac:dyDescent="0.2">
      <c r="A534" s="2"/>
    </row>
    <row r="535" spans="1:1" x14ac:dyDescent="0.2">
      <c r="A535" s="2"/>
    </row>
    <row r="536" spans="1:1" x14ac:dyDescent="0.2">
      <c r="A536" s="2"/>
    </row>
    <row r="537" spans="1:1" x14ac:dyDescent="0.2">
      <c r="A537" s="2"/>
    </row>
    <row r="538" spans="1:1" x14ac:dyDescent="0.2">
      <c r="A538" s="2"/>
    </row>
    <row r="539" spans="1:1" x14ac:dyDescent="0.2">
      <c r="A539" s="2"/>
    </row>
    <row r="540" spans="1:1" x14ac:dyDescent="0.2">
      <c r="A540" s="2"/>
    </row>
    <row r="541" spans="1:1" x14ac:dyDescent="0.2">
      <c r="A541" s="2"/>
    </row>
    <row r="542" spans="1:1" x14ac:dyDescent="0.2">
      <c r="A542" s="2"/>
    </row>
    <row r="543" spans="1:1" x14ac:dyDescent="0.2">
      <c r="A543" s="2"/>
    </row>
    <row r="544" spans="1:1" x14ac:dyDescent="0.2">
      <c r="A544" s="2"/>
    </row>
    <row r="545" spans="1:1" x14ac:dyDescent="0.2">
      <c r="A545" s="2"/>
    </row>
    <row r="546" spans="1:1" x14ac:dyDescent="0.2">
      <c r="A546" s="2"/>
    </row>
    <row r="547" spans="1:1" x14ac:dyDescent="0.2">
      <c r="A547" s="2"/>
    </row>
    <row r="548" spans="1:1" x14ac:dyDescent="0.2">
      <c r="A548" s="2"/>
    </row>
    <row r="549" spans="1:1" x14ac:dyDescent="0.2">
      <c r="A549" s="2"/>
    </row>
    <row r="550" spans="1:1" x14ac:dyDescent="0.2">
      <c r="A550" s="2"/>
    </row>
    <row r="551" spans="1:1" x14ac:dyDescent="0.2">
      <c r="A551" s="2"/>
    </row>
    <row r="552" spans="1:1" x14ac:dyDescent="0.2">
      <c r="A552" s="2"/>
    </row>
    <row r="553" spans="1:1" x14ac:dyDescent="0.2">
      <c r="A553" s="2"/>
    </row>
    <row r="554" spans="1:1" x14ac:dyDescent="0.2">
      <c r="A554" s="2"/>
    </row>
    <row r="555" spans="1:1" x14ac:dyDescent="0.2">
      <c r="A555" s="2"/>
    </row>
    <row r="556" spans="1:1" x14ac:dyDescent="0.2">
      <c r="A556" s="2"/>
    </row>
    <row r="557" spans="1:1" x14ac:dyDescent="0.2">
      <c r="A557" s="2"/>
    </row>
    <row r="558" spans="1:1" x14ac:dyDescent="0.2">
      <c r="A558" s="2"/>
    </row>
    <row r="559" spans="1:1" x14ac:dyDescent="0.2">
      <c r="A559" s="2"/>
    </row>
    <row r="560" spans="1:1" x14ac:dyDescent="0.2">
      <c r="A560" s="2"/>
    </row>
    <row r="561" spans="1:1" x14ac:dyDescent="0.2">
      <c r="A561" s="2"/>
    </row>
    <row r="562" spans="1:1" x14ac:dyDescent="0.2">
      <c r="A562" s="2"/>
    </row>
    <row r="563" spans="1:1" x14ac:dyDescent="0.2">
      <c r="A563" s="2"/>
    </row>
    <row r="564" spans="1:1" x14ac:dyDescent="0.2">
      <c r="A564" s="2"/>
    </row>
    <row r="565" spans="1:1" x14ac:dyDescent="0.2">
      <c r="A565" s="2"/>
    </row>
    <row r="566" spans="1:1" x14ac:dyDescent="0.2">
      <c r="A566" s="2"/>
    </row>
    <row r="567" spans="1:1" x14ac:dyDescent="0.2">
      <c r="A567" s="2"/>
    </row>
    <row r="568" spans="1:1" x14ac:dyDescent="0.2">
      <c r="A568" s="2"/>
    </row>
    <row r="569" spans="1:1" x14ac:dyDescent="0.2">
      <c r="A569" s="2"/>
    </row>
    <row r="570" spans="1:1" x14ac:dyDescent="0.2">
      <c r="A570" s="2"/>
    </row>
    <row r="571" spans="1:1" x14ac:dyDescent="0.2">
      <c r="A571" s="2"/>
    </row>
    <row r="572" spans="1:1" x14ac:dyDescent="0.2">
      <c r="A572" s="2"/>
    </row>
    <row r="573" spans="1:1" x14ac:dyDescent="0.2">
      <c r="A573" s="2"/>
    </row>
    <row r="574" spans="1:1" x14ac:dyDescent="0.2">
      <c r="A574" s="2"/>
    </row>
    <row r="575" spans="1:1" x14ac:dyDescent="0.2">
      <c r="A575" s="2"/>
    </row>
    <row r="576" spans="1:1" x14ac:dyDescent="0.2">
      <c r="A576" s="2"/>
    </row>
    <row r="577" spans="1:1" x14ac:dyDescent="0.2">
      <c r="A577" s="2"/>
    </row>
    <row r="578" spans="1:1" x14ac:dyDescent="0.2">
      <c r="A578" s="2"/>
    </row>
    <row r="579" spans="1:1" x14ac:dyDescent="0.2">
      <c r="A579" s="2"/>
    </row>
    <row r="580" spans="1:1" x14ac:dyDescent="0.2">
      <c r="A580" s="2"/>
    </row>
    <row r="581" spans="1:1" x14ac:dyDescent="0.2">
      <c r="A581" s="2"/>
    </row>
    <row r="582" spans="1:1" x14ac:dyDescent="0.2">
      <c r="A582" s="2"/>
    </row>
    <row r="583" spans="1:1" x14ac:dyDescent="0.2">
      <c r="A583" s="2"/>
    </row>
    <row r="584" spans="1:1" x14ac:dyDescent="0.2">
      <c r="A584" s="2"/>
    </row>
    <row r="585" spans="1:1" x14ac:dyDescent="0.2">
      <c r="A585" s="2"/>
    </row>
    <row r="586" spans="1:1" x14ac:dyDescent="0.2">
      <c r="A586" s="2"/>
    </row>
    <row r="587" spans="1:1" x14ac:dyDescent="0.2">
      <c r="A587" s="2"/>
    </row>
    <row r="588" spans="1:1" x14ac:dyDescent="0.2">
      <c r="A588" s="2"/>
    </row>
    <row r="589" spans="1:1" x14ac:dyDescent="0.2">
      <c r="A589" s="2"/>
    </row>
    <row r="590" spans="1:1" x14ac:dyDescent="0.2">
      <c r="A590" s="2"/>
    </row>
    <row r="591" spans="1:1" x14ac:dyDescent="0.2">
      <c r="A591" s="2"/>
    </row>
    <row r="592" spans="1:1" x14ac:dyDescent="0.2">
      <c r="A592" s="2"/>
    </row>
    <row r="593" spans="1:1" x14ac:dyDescent="0.2">
      <c r="A593" s="2"/>
    </row>
    <row r="594" spans="1:1" x14ac:dyDescent="0.2">
      <c r="A594" s="2"/>
    </row>
    <row r="595" spans="1:1" x14ac:dyDescent="0.2">
      <c r="A595" s="2"/>
    </row>
    <row r="596" spans="1:1" x14ac:dyDescent="0.2">
      <c r="A596" s="2"/>
    </row>
    <row r="597" spans="1:1" x14ac:dyDescent="0.2">
      <c r="A597" s="2"/>
    </row>
    <row r="598" spans="1:1" x14ac:dyDescent="0.2">
      <c r="A598" s="2"/>
    </row>
    <row r="599" spans="1:1" x14ac:dyDescent="0.2">
      <c r="A599" s="2"/>
    </row>
    <row r="600" spans="1:1" x14ac:dyDescent="0.2">
      <c r="A600" s="2"/>
    </row>
    <row r="601" spans="1:1" x14ac:dyDescent="0.2">
      <c r="A601" s="2"/>
    </row>
    <row r="602" spans="1:1" x14ac:dyDescent="0.2">
      <c r="A602" s="2"/>
    </row>
    <row r="603" spans="1:1" x14ac:dyDescent="0.2">
      <c r="A603" s="2"/>
    </row>
    <row r="604" spans="1:1" x14ac:dyDescent="0.2">
      <c r="A604" s="2"/>
    </row>
    <row r="605" spans="1:1" x14ac:dyDescent="0.2">
      <c r="A605" s="2"/>
    </row>
    <row r="606" spans="1:1" x14ac:dyDescent="0.2">
      <c r="A606" s="2"/>
    </row>
    <row r="607" spans="1:1" x14ac:dyDescent="0.2">
      <c r="A607" s="2"/>
    </row>
    <row r="608" spans="1:1" x14ac:dyDescent="0.2">
      <c r="A608" s="2"/>
    </row>
    <row r="609" spans="1:1" x14ac:dyDescent="0.2">
      <c r="A609" s="2"/>
    </row>
    <row r="610" spans="1:1" x14ac:dyDescent="0.2">
      <c r="A610" s="2"/>
    </row>
    <row r="611" spans="1:1" x14ac:dyDescent="0.2">
      <c r="A611" s="2"/>
    </row>
    <row r="612" spans="1:1" x14ac:dyDescent="0.2">
      <c r="A612" s="2"/>
    </row>
    <row r="613" spans="1:1" x14ac:dyDescent="0.2">
      <c r="A613" s="2"/>
    </row>
    <row r="614" spans="1:1" x14ac:dyDescent="0.2">
      <c r="A614" s="2"/>
    </row>
    <row r="615" spans="1:1" x14ac:dyDescent="0.2">
      <c r="A615" s="2"/>
    </row>
    <row r="616" spans="1:1" x14ac:dyDescent="0.2">
      <c r="A616" s="2"/>
    </row>
    <row r="617" spans="1:1" x14ac:dyDescent="0.2">
      <c r="A617" s="2"/>
    </row>
    <row r="618" spans="1:1" x14ac:dyDescent="0.2">
      <c r="A618" s="2"/>
    </row>
    <row r="619" spans="1:1" x14ac:dyDescent="0.2">
      <c r="A619" s="2"/>
    </row>
    <row r="620" spans="1:1" x14ac:dyDescent="0.2">
      <c r="A620" s="2"/>
    </row>
    <row r="621" spans="1:1" x14ac:dyDescent="0.2">
      <c r="A621" s="2"/>
    </row>
    <row r="622" spans="1:1" x14ac:dyDescent="0.2">
      <c r="A622" s="2"/>
    </row>
    <row r="623" spans="1:1" x14ac:dyDescent="0.2">
      <c r="A623" s="2"/>
    </row>
    <row r="624" spans="1:1" x14ac:dyDescent="0.2">
      <c r="A624" s="2"/>
    </row>
    <row r="625" spans="1:1" x14ac:dyDescent="0.2">
      <c r="A625" s="2"/>
    </row>
    <row r="626" spans="1:1" x14ac:dyDescent="0.2">
      <c r="A626" s="2"/>
    </row>
    <row r="627" spans="1:1" x14ac:dyDescent="0.2">
      <c r="A627" s="2"/>
    </row>
    <row r="628" spans="1:1" x14ac:dyDescent="0.2">
      <c r="A628" s="2"/>
    </row>
    <row r="629" spans="1:1" x14ac:dyDescent="0.2">
      <c r="A629" s="2"/>
    </row>
    <row r="630" spans="1:1" x14ac:dyDescent="0.2">
      <c r="A630" s="2"/>
    </row>
    <row r="631" spans="1:1" x14ac:dyDescent="0.2">
      <c r="A631" s="2"/>
    </row>
    <row r="632" spans="1:1" x14ac:dyDescent="0.2">
      <c r="A632" s="2"/>
    </row>
    <row r="633" spans="1:1" x14ac:dyDescent="0.2">
      <c r="A633" s="2"/>
    </row>
    <row r="634" spans="1:1" x14ac:dyDescent="0.2">
      <c r="A634" s="2"/>
    </row>
    <row r="635" spans="1:1" x14ac:dyDescent="0.2">
      <c r="A635" s="2"/>
    </row>
    <row r="636" spans="1:1" x14ac:dyDescent="0.2">
      <c r="A636" s="2"/>
    </row>
    <row r="637" spans="1:1" x14ac:dyDescent="0.2">
      <c r="A637" s="2"/>
    </row>
    <row r="638" spans="1:1" x14ac:dyDescent="0.2">
      <c r="A638" s="2"/>
    </row>
    <row r="639" spans="1:1" x14ac:dyDescent="0.2">
      <c r="A639" s="2"/>
    </row>
    <row r="640" spans="1:1" x14ac:dyDescent="0.2">
      <c r="A640" s="2"/>
    </row>
    <row r="641" spans="1:1" x14ac:dyDescent="0.2">
      <c r="A641" s="2"/>
    </row>
    <row r="642" spans="1:1" x14ac:dyDescent="0.2">
      <c r="A642" s="2"/>
    </row>
    <row r="643" spans="1:1" x14ac:dyDescent="0.2">
      <c r="A643" s="2"/>
    </row>
    <row r="644" spans="1:1" x14ac:dyDescent="0.2">
      <c r="A644" s="2"/>
    </row>
    <row r="645" spans="1:1" x14ac:dyDescent="0.2">
      <c r="A645" s="2"/>
    </row>
    <row r="646" spans="1:1" x14ac:dyDescent="0.2">
      <c r="A646" s="2"/>
    </row>
    <row r="647" spans="1:1" x14ac:dyDescent="0.2">
      <c r="A647" s="2"/>
    </row>
    <row r="648" spans="1:1" x14ac:dyDescent="0.2">
      <c r="A648" s="2"/>
    </row>
    <row r="649" spans="1:1" x14ac:dyDescent="0.2">
      <c r="A649" s="2"/>
    </row>
    <row r="650" spans="1:1" x14ac:dyDescent="0.2">
      <c r="A650" s="2"/>
    </row>
    <row r="651" spans="1:1" x14ac:dyDescent="0.2">
      <c r="A651" s="2"/>
    </row>
    <row r="652" spans="1:1" x14ac:dyDescent="0.2">
      <c r="A652" s="2"/>
    </row>
    <row r="653" spans="1:1" x14ac:dyDescent="0.2">
      <c r="A653" s="2"/>
    </row>
    <row r="654" spans="1:1" x14ac:dyDescent="0.2">
      <c r="A654" s="2"/>
    </row>
    <row r="655" spans="1:1" x14ac:dyDescent="0.2">
      <c r="A655" s="2"/>
    </row>
    <row r="656" spans="1:1" x14ac:dyDescent="0.2">
      <c r="A656" s="2"/>
    </row>
    <row r="657" spans="1:1" x14ac:dyDescent="0.2">
      <c r="A657" s="2"/>
    </row>
    <row r="658" spans="1:1" x14ac:dyDescent="0.2">
      <c r="A658" s="2"/>
    </row>
    <row r="659" spans="1:1" x14ac:dyDescent="0.2">
      <c r="A659" s="2"/>
    </row>
    <row r="660" spans="1:1" x14ac:dyDescent="0.2">
      <c r="A660" s="2"/>
    </row>
    <row r="661" spans="1:1" x14ac:dyDescent="0.2">
      <c r="A661" s="2"/>
    </row>
    <row r="662" spans="1:1" x14ac:dyDescent="0.2">
      <c r="A662" s="2"/>
    </row>
    <row r="663" spans="1:1" x14ac:dyDescent="0.2">
      <c r="A663" s="2"/>
    </row>
    <row r="664" spans="1:1" x14ac:dyDescent="0.2">
      <c r="A664" s="2"/>
    </row>
    <row r="665" spans="1:1" x14ac:dyDescent="0.2">
      <c r="A665" s="2"/>
    </row>
    <row r="666" spans="1:1" x14ac:dyDescent="0.2">
      <c r="A666" s="2"/>
    </row>
    <row r="667" spans="1:1" x14ac:dyDescent="0.2">
      <c r="A667" s="2"/>
    </row>
    <row r="668" spans="1:1" x14ac:dyDescent="0.2">
      <c r="A668" s="2"/>
    </row>
    <row r="669" spans="1:1" x14ac:dyDescent="0.2">
      <c r="A669" s="2"/>
    </row>
    <row r="670" spans="1:1" x14ac:dyDescent="0.2">
      <c r="A670" s="2"/>
    </row>
    <row r="671" spans="1:1" x14ac:dyDescent="0.2">
      <c r="A671" s="2"/>
    </row>
    <row r="672" spans="1:1" x14ac:dyDescent="0.2">
      <c r="A672" s="2"/>
    </row>
    <row r="673" spans="1:1" x14ac:dyDescent="0.2">
      <c r="A673" s="2"/>
    </row>
    <row r="674" spans="1:1" x14ac:dyDescent="0.2">
      <c r="A674" s="2"/>
    </row>
    <row r="675" spans="1:1" x14ac:dyDescent="0.2">
      <c r="A675" s="2"/>
    </row>
    <row r="676" spans="1:1" x14ac:dyDescent="0.2">
      <c r="A676" s="2"/>
    </row>
    <row r="677" spans="1:1" x14ac:dyDescent="0.2">
      <c r="A677" s="2"/>
    </row>
    <row r="678" spans="1:1" x14ac:dyDescent="0.2">
      <c r="A678" s="2"/>
    </row>
    <row r="679" spans="1:1" x14ac:dyDescent="0.2">
      <c r="A679" s="2"/>
    </row>
    <row r="680" spans="1:1" x14ac:dyDescent="0.2">
      <c r="A680" s="2"/>
    </row>
    <row r="681" spans="1:1" x14ac:dyDescent="0.2">
      <c r="A681" s="2"/>
    </row>
    <row r="682" spans="1:1" x14ac:dyDescent="0.2">
      <c r="A682" s="2"/>
    </row>
    <row r="683" spans="1:1" x14ac:dyDescent="0.2">
      <c r="A683" s="2"/>
    </row>
    <row r="684" spans="1:1" x14ac:dyDescent="0.2">
      <c r="A684" s="2"/>
    </row>
    <row r="685" spans="1:1" x14ac:dyDescent="0.2">
      <c r="A685" s="2"/>
    </row>
    <row r="686" spans="1:1" x14ac:dyDescent="0.2">
      <c r="A686" s="2"/>
    </row>
    <row r="687" spans="1:1" x14ac:dyDescent="0.2">
      <c r="A687" s="2"/>
    </row>
    <row r="688" spans="1:1" x14ac:dyDescent="0.2">
      <c r="A688" s="2"/>
    </row>
    <row r="689" spans="1:1" x14ac:dyDescent="0.2">
      <c r="A689" s="2"/>
    </row>
    <row r="690" spans="1:1" x14ac:dyDescent="0.2">
      <c r="A690" s="2"/>
    </row>
    <row r="691" spans="1:1" x14ac:dyDescent="0.2">
      <c r="A691" s="2"/>
    </row>
    <row r="692" spans="1:1" x14ac:dyDescent="0.2">
      <c r="A692" s="2"/>
    </row>
    <row r="693" spans="1:1" x14ac:dyDescent="0.2">
      <c r="A693" s="2"/>
    </row>
    <row r="694" spans="1:1" x14ac:dyDescent="0.2">
      <c r="A694" s="2"/>
    </row>
    <row r="695" spans="1:1" x14ac:dyDescent="0.2">
      <c r="A695" s="2"/>
    </row>
    <row r="696" spans="1:1" x14ac:dyDescent="0.2">
      <c r="A696" s="2"/>
    </row>
    <row r="697" spans="1:1" x14ac:dyDescent="0.2">
      <c r="A697" s="2"/>
    </row>
    <row r="698" spans="1:1" x14ac:dyDescent="0.2">
      <c r="A698" s="2"/>
    </row>
    <row r="699" spans="1:1" x14ac:dyDescent="0.2">
      <c r="A699" s="2"/>
    </row>
    <row r="700" spans="1:1" x14ac:dyDescent="0.2">
      <c r="A700" s="2"/>
    </row>
    <row r="701" spans="1:1" x14ac:dyDescent="0.2">
      <c r="A701" s="2"/>
    </row>
    <row r="702" spans="1:1" x14ac:dyDescent="0.2">
      <c r="A702" s="2"/>
    </row>
    <row r="703" spans="1:1" x14ac:dyDescent="0.2">
      <c r="A703" s="2"/>
    </row>
    <row r="704" spans="1:1" x14ac:dyDescent="0.2">
      <c r="A704" s="2"/>
    </row>
    <row r="705" spans="1:1" x14ac:dyDescent="0.2">
      <c r="A705" s="2"/>
    </row>
    <row r="706" spans="1:1" x14ac:dyDescent="0.2">
      <c r="A706" s="2"/>
    </row>
    <row r="707" spans="1:1" x14ac:dyDescent="0.2">
      <c r="A707" s="2"/>
    </row>
    <row r="708" spans="1:1" x14ac:dyDescent="0.2">
      <c r="A708" s="2"/>
    </row>
    <row r="709" spans="1:1" x14ac:dyDescent="0.2">
      <c r="A709" s="2"/>
    </row>
    <row r="710" spans="1:1" x14ac:dyDescent="0.2">
      <c r="A710" s="2"/>
    </row>
    <row r="711" spans="1:1" x14ac:dyDescent="0.2">
      <c r="A711" s="2"/>
    </row>
    <row r="712" spans="1:1" x14ac:dyDescent="0.2">
      <c r="A712" s="2"/>
    </row>
    <row r="713" spans="1:1" x14ac:dyDescent="0.2">
      <c r="A713" s="2"/>
    </row>
    <row r="714" spans="1:1" x14ac:dyDescent="0.2">
      <c r="A714" s="2"/>
    </row>
    <row r="715" spans="1:1" x14ac:dyDescent="0.2">
      <c r="A715" s="2"/>
    </row>
    <row r="716" spans="1:1" x14ac:dyDescent="0.2">
      <c r="A716" s="2"/>
    </row>
    <row r="717" spans="1:1" x14ac:dyDescent="0.2">
      <c r="A717" s="2"/>
    </row>
    <row r="718" spans="1:1" x14ac:dyDescent="0.2">
      <c r="A718" s="2"/>
    </row>
    <row r="719" spans="1:1" x14ac:dyDescent="0.2">
      <c r="A719" s="2"/>
    </row>
    <row r="720" spans="1:1" x14ac:dyDescent="0.2">
      <c r="A720" s="2"/>
    </row>
    <row r="721" spans="1:1" x14ac:dyDescent="0.2">
      <c r="A721" s="2"/>
    </row>
    <row r="722" spans="1:1" x14ac:dyDescent="0.2">
      <c r="A722" s="2"/>
    </row>
    <row r="723" spans="1:1" x14ac:dyDescent="0.2">
      <c r="A723" s="2"/>
    </row>
    <row r="724" spans="1:1" x14ac:dyDescent="0.2">
      <c r="A724" s="2"/>
    </row>
    <row r="725" spans="1:1" x14ac:dyDescent="0.2">
      <c r="A725" s="2"/>
    </row>
    <row r="726" spans="1:1" x14ac:dyDescent="0.2">
      <c r="A726" s="2"/>
    </row>
    <row r="727" spans="1:1" x14ac:dyDescent="0.2">
      <c r="A727" s="2"/>
    </row>
    <row r="728" spans="1:1" x14ac:dyDescent="0.2">
      <c r="A728" s="2"/>
    </row>
    <row r="729" spans="1:1" x14ac:dyDescent="0.2">
      <c r="A729" s="2"/>
    </row>
    <row r="730" spans="1:1" x14ac:dyDescent="0.2">
      <c r="A730" s="2"/>
    </row>
    <row r="731" spans="1:1" x14ac:dyDescent="0.2">
      <c r="A731" s="2"/>
    </row>
    <row r="732" spans="1:1" x14ac:dyDescent="0.2">
      <c r="A732" s="2"/>
    </row>
    <row r="733" spans="1:1" x14ac:dyDescent="0.2">
      <c r="A733" s="2"/>
    </row>
    <row r="734" spans="1:1" x14ac:dyDescent="0.2">
      <c r="A734" s="2"/>
    </row>
    <row r="735" spans="1:1" x14ac:dyDescent="0.2">
      <c r="A735" s="2"/>
    </row>
    <row r="736" spans="1:1" x14ac:dyDescent="0.2">
      <c r="A736" s="2"/>
    </row>
    <row r="737" spans="1:1" x14ac:dyDescent="0.2">
      <c r="A737" s="2"/>
    </row>
    <row r="738" spans="1:1" x14ac:dyDescent="0.2">
      <c r="A738" s="2"/>
    </row>
    <row r="739" spans="1:1" x14ac:dyDescent="0.2">
      <c r="A739" s="2"/>
    </row>
    <row r="740" spans="1:1" x14ac:dyDescent="0.2">
      <c r="A740" s="2"/>
    </row>
    <row r="741" spans="1:1" x14ac:dyDescent="0.2">
      <c r="A741" s="2"/>
    </row>
    <row r="742" spans="1:1" x14ac:dyDescent="0.2">
      <c r="A742" s="2"/>
    </row>
    <row r="743" spans="1:1" x14ac:dyDescent="0.2">
      <c r="A743" s="2"/>
    </row>
    <row r="744" spans="1:1" x14ac:dyDescent="0.2">
      <c r="A744" s="2"/>
    </row>
    <row r="745" spans="1:1" x14ac:dyDescent="0.2">
      <c r="A745" s="2"/>
    </row>
    <row r="746" spans="1:1" x14ac:dyDescent="0.2">
      <c r="A746" s="2"/>
    </row>
    <row r="747" spans="1:1" x14ac:dyDescent="0.2">
      <c r="A747" s="2"/>
    </row>
    <row r="748" spans="1:1" x14ac:dyDescent="0.2">
      <c r="A748" s="2"/>
    </row>
    <row r="749" spans="1:1" x14ac:dyDescent="0.2">
      <c r="A749" s="2"/>
    </row>
    <row r="750" spans="1:1" x14ac:dyDescent="0.2">
      <c r="A750" s="2"/>
    </row>
    <row r="751" spans="1:1" x14ac:dyDescent="0.2">
      <c r="A751" s="2"/>
    </row>
    <row r="752" spans="1:1" x14ac:dyDescent="0.2">
      <c r="A752" s="2"/>
    </row>
    <row r="753" spans="1:1" x14ac:dyDescent="0.2">
      <c r="A753" s="2"/>
    </row>
    <row r="754" spans="1:1" x14ac:dyDescent="0.2">
      <c r="A754" s="2"/>
    </row>
    <row r="755" spans="1:1" x14ac:dyDescent="0.2">
      <c r="A755" s="2"/>
    </row>
    <row r="756" spans="1:1" x14ac:dyDescent="0.2">
      <c r="A756" s="2"/>
    </row>
    <row r="757" spans="1:1" x14ac:dyDescent="0.2">
      <c r="A757" s="2"/>
    </row>
    <row r="758" spans="1:1" x14ac:dyDescent="0.2">
      <c r="A758" s="2"/>
    </row>
    <row r="759" spans="1:1" x14ac:dyDescent="0.2">
      <c r="A759" s="2"/>
    </row>
    <row r="760" spans="1:1" x14ac:dyDescent="0.2">
      <c r="A760" s="2"/>
    </row>
    <row r="761" spans="1:1" x14ac:dyDescent="0.2">
      <c r="A761" s="2"/>
    </row>
    <row r="762" spans="1:1" x14ac:dyDescent="0.2">
      <c r="A762" s="2"/>
    </row>
    <row r="763" spans="1:1" x14ac:dyDescent="0.2">
      <c r="A763" s="2"/>
    </row>
    <row r="764" spans="1:1" x14ac:dyDescent="0.2">
      <c r="A764" s="2"/>
    </row>
    <row r="765" spans="1:1" x14ac:dyDescent="0.2">
      <c r="A765" s="2"/>
    </row>
    <row r="766" spans="1:1" x14ac:dyDescent="0.2">
      <c r="A766" s="2"/>
    </row>
    <row r="767" spans="1:1" x14ac:dyDescent="0.2">
      <c r="A767" s="2"/>
    </row>
    <row r="768" spans="1:1" x14ac:dyDescent="0.2">
      <c r="A768" s="2"/>
    </row>
    <row r="769" spans="1:1" x14ac:dyDescent="0.2">
      <c r="A769" s="2"/>
    </row>
    <row r="770" spans="1:1" x14ac:dyDescent="0.2">
      <c r="A770" s="2"/>
    </row>
    <row r="771" spans="1:1" x14ac:dyDescent="0.2">
      <c r="A771" s="2"/>
    </row>
    <row r="772" spans="1:1" x14ac:dyDescent="0.2">
      <c r="A772" s="2"/>
    </row>
    <row r="773" spans="1:1" x14ac:dyDescent="0.2">
      <c r="A773" s="2"/>
    </row>
    <row r="774" spans="1:1" x14ac:dyDescent="0.2">
      <c r="A774" s="2"/>
    </row>
    <row r="775" spans="1:1" x14ac:dyDescent="0.2">
      <c r="A775" s="2"/>
    </row>
    <row r="776" spans="1:1" x14ac:dyDescent="0.2">
      <c r="A776" s="2"/>
    </row>
    <row r="777" spans="1:1" x14ac:dyDescent="0.2">
      <c r="A777" s="2"/>
    </row>
    <row r="778" spans="1:1" x14ac:dyDescent="0.2">
      <c r="A778" s="2"/>
    </row>
    <row r="779" spans="1:1" x14ac:dyDescent="0.2">
      <c r="A779" s="2"/>
    </row>
    <row r="780" spans="1:1" x14ac:dyDescent="0.2">
      <c r="A780" s="2"/>
    </row>
    <row r="781" spans="1:1" x14ac:dyDescent="0.2">
      <c r="A781" s="2"/>
    </row>
    <row r="782" spans="1:1" x14ac:dyDescent="0.2">
      <c r="A782" s="2"/>
    </row>
    <row r="783" spans="1:1" x14ac:dyDescent="0.2">
      <c r="A783" s="2"/>
    </row>
    <row r="784" spans="1:1" x14ac:dyDescent="0.2">
      <c r="A784" s="2"/>
    </row>
    <row r="785" spans="1:1" x14ac:dyDescent="0.2">
      <c r="A785" s="2"/>
    </row>
    <row r="786" spans="1:1" x14ac:dyDescent="0.2">
      <c r="A786" s="2"/>
    </row>
    <row r="787" spans="1:1" x14ac:dyDescent="0.2">
      <c r="A787" s="2"/>
    </row>
    <row r="788" spans="1:1" x14ac:dyDescent="0.2">
      <c r="A788" s="2"/>
    </row>
    <row r="789" spans="1:1" x14ac:dyDescent="0.2">
      <c r="A789" s="2"/>
    </row>
    <row r="790" spans="1:1" x14ac:dyDescent="0.2">
      <c r="A790" s="2"/>
    </row>
    <row r="791" spans="1:1" x14ac:dyDescent="0.2">
      <c r="A791" s="2"/>
    </row>
    <row r="792" spans="1:1" x14ac:dyDescent="0.2">
      <c r="A792" s="2"/>
    </row>
    <row r="793" spans="1:1" x14ac:dyDescent="0.2">
      <c r="A793" s="2"/>
    </row>
    <row r="794" spans="1:1" x14ac:dyDescent="0.2">
      <c r="A794" s="2"/>
    </row>
    <row r="795" spans="1:1" x14ac:dyDescent="0.2">
      <c r="A795" s="2"/>
    </row>
    <row r="796" spans="1:1" x14ac:dyDescent="0.2">
      <c r="A796" s="2"/>
    </row>
    <row r="797" spans="1:1" x14ac:dyDescent="0.2">
      <c r="A797" s="2"/>
    </row>
    <row r="798" spans="1:1" x14ac:dyDescent="0.2">
      <c r="A798" s="2"/>
    </row>
    <row r="799" spans="1:1" x14ac:dyDescent="0.2">
      <c r="A799" s="2"/>
    </row>
    <row r="800" spans="1:1" x14ac:dyDescent="0.2">
      <c r="A800" s="2"/>
    </row>
    <row r="801" spans="1:1" x14ac:dyDescent="0.2">
      <c r="A801" s="2"/>
    </row>
    <row r="802" spans="1:1" x14ac:dyDescent="0.2">
      <c r="A802" s="2"/>
    </row>
    <row r="803" spans="1:1" x14ac:dyDescent="0.2">
      <c r="A803" s="2"/>
    </row>
    <row r="804" spans="1:1" x14ac:dyDescent="0.2">
      <c r="A804" s="2"/>
    </row>
    <row r="805" spans="1:1" x14ac:dyDescent="0.2">
      <c r="A805" s="2"/>
    </row>
    <row r="806" spans="1:1" x14ac:dyDescent="0.2">
      <c r="A806" s="2"/>
    </row>
    <row r="807" spans="1:1" x14ac:dyDescent="0.2">
      <c r="A807" s="2"/>
    </row>
    <row r="808" spans="1:1" x14ac:dyDescent="0.2">
      <c r="A808" s="2"/>
    </row>
    <row r="809" spans="1:1" x14ac:dyDescent="0.2">
      <c r="A809" s="2"/>
    </row>
    <row r="810" spans="1:1" x14ac:dyDescent="0.2">
      <c r="A810" s="2"/>
    </row>
    <row r="811" spans="1:1" x14ac:dyDescent="0.2">
      <c r="A811" s="2"/>
    </row>
    <row r="812" spans="1:1" x14ac:dyDescent="0.2">
      <c r="A812" s="2"/>
    </row>
    <row r="813" spans="1:1" x14ac:dyDescent="0.2">
      <c r="A813" s="2"/>
    </row>
    <row r="814" spans="1:1" x14ac:dyDescent="0.2">
      <c r="A814" s="2"/>
    </row>
    <row r="815" spans="1:1" x14ac:dyDescent="0.2">
      <c r="A815" s="2"/>
    </row>
    <row r="816" spans="1:1" x14ac:dyDescent="0.2">
      <c r="A816" s="2"/>
    </row>
    <row r="817" spans="1:1" x14ac:dyDescent="0.2">
      <c r="A817" s="2"/>
    </row>
    <row r="818" spans="1:1" x14ac:dyDescent="0.2">
      <c r="A818" s="2"/>
    </row>
    <row r="819" spans="1:1" x14ac:dyDescent="0.2">
      <c r="A819" s="2"/>
    </row>
    <row r="820" spans="1:1" x14ac:dyDescent="0.2">
      <c r="A820" s="2"/>
    </row>
    <row r="821" spans="1:1" x14ac:dyDescent="0.2">
      <c r="A821" s="2"/>
    </row>
    <row r="822" spans="1:1" x14ac:dyDescent="0.2">
      <c r="A822" s="2"/>
    </row>
    <row r="823" spans="1:1" x14ac:dyDescent="0.2">
      <c r="A823" s="2"/>
    </row>
    <row r="824" spans="1:1" x14ac:dyDescent="0.2">
      <c r="A824" s="2"/>
    </row>
    <row r="825" spans="1:1" x14ac:dyDescent="0.2">
      <c r="A825" s="2"/>
    </row>
    <row r="826" spans="1:1" x14ac:dyDescent="0.2">
      <c r="A826" s="2"/>
    </row>
    <row r="827" spans="1:1" x14ac:dyDescent="0.2">
      <c r="A827" s="2"/>
    </row>
    <row r="828" spans="1:1" x14ac:dyDescent="0.2">
      <c r="A828" s="2"/>
    </row>
    <row r="829" spans="1:1" x14ac:dyDescent="0.2">
      <c r="A829" s="2"/>
    </row>
    <row r="830" spans="1:1" x14ac:dyDescent="0.2">
      <c r="A830" s="2"/>
    </row>
    <row r="831" spans="1:1" x14ac:dyDescent="0.2">
      <c r="A831" s="2"/>
    </row>
    <row r="832" spans="1:1" x14ac:dyDescent="0.2">
      <c r="A832" s="2"/>
    </row>
    <row r="833" spans="1:1" x14ac:dyDescent="0.2">
      <c r="A833" s="2"/>
    </row>
    <row r="834" spans="1:1" x14ac:dyDescent="0.2">
      <c r="A834" s="2"/>
    </row>
    <row r="835" spans="1:1" x14ac:dyDescent="0.2">
      <c r="A835" s="2"/>
    </row>
    <row r="836" spans="1:1" x14ac:dyDescent="0.2">
      <c r="A836" s="2"/>
    </row>
    <row r="837" spans="1:1" x14ac:dyDescent="0.2">
      <c r="A837" s="2"/>
    </row>
    <row r="838" spans="1:1" x14ac:dyDescent="0.2">
      <c r="A838" s="2"/>
    </row>
    <row r="839" spans="1:1" x14ac:dyDescent="0.2">
      <c r="A839" s="2"/>
    </row>
    <row r="840" spans="1:1" x14ac:dyDescent="0.2">
      <c r="A840" s="2"/>
    </row>
    <row r="841" spans="1:1" x14ac:dyDescent="0.2">
      <c r="A841" s="2"/>
    </row>
    <row r="842" spans="1:1" x14ac:dyDescent="0.2">
      <c r="A842" s="2"/>
    </row>
    <row r="843" spans="1:1" x14ac:dyDescent="0.2">
      <c r="A843" s="2"/>
    </row>
    <row r="844" spans="1:1" x14ac:dyDescent="0.2">
      <c r="A844" s="2"/>
    </row>
    <row r="845" spans="1:1" x14ac:dyDescent="0.2">
      <c r="A845" s="2"/>
    </row>
    <row r="846" spans="1:1" x14ac:dyDescent="0.2">
      <c r="A846" s="2"/>
    </row>
    <row r="847" spans="1:1" x14ac:dyDescent="0.2">
      <c r="A847" s="2"/>
    </row>
    <row r="848" spans="1:1" x14ac:dyDescent="0.2">
      <c r="A848" s="2"/>
    </row>
    <row r="849" spans="1:1" x14ac:dyDescent="0.2">
      <c r="A849" s="2"/>
    </row>
    <row r="850" spans="1:1" x14ac:dyDescent="0.2">
      <c r="A850" s="2"/>
    </row>
    <row r="851" spans="1:1" x14ac:dyDescent="0.2">
      <c r="A851" s="2"/>
    </row>
    <row r="852" spans="1:1" x14ac:dyDescent="0.2">
      <c r="A852" s="2"/>
    </row>
    <row r="853" spans="1:1" x14ac:dyDescent="0.2">
      <c r="A853" s="2"/>
    </row>
    <row r="854" spans="1:1" x14ac:dyDescent="0.2">
      <c r="A854" s="2"/>
    </row>
    <row r="855" spans="1:1" x14ac:dyDescent="0.2">
      <c r="A855" s="2"/>
    </row>
    <row r="856" spans="1:1" x14ac:dyDescent="0.2">
      <c r="A856" s="2"/>
    </row>
    <row r="857" spans="1:1" x14ac:dyDescent="0.2">
      <c r="A857" s="2"/>
    </row>
    <row r="858" spans="1:1" x14ac:dyDescent="0.2">
      <c r="A858" s="2"/>
    </row>
    <row r="859" spans="1:1" x14ac:dyDescent="0.2">
      <c r="A859" s="2"/>
    </row>
    <row r="860" spans="1:1" x14ac:dyDescent="0.2">
      <c r="A860" s="2"/>
    </row>
    <row r="861" spans="1:1" x14ac:dyDescent="0.2">
      <c r="A861" s="2"/>
    </row>
    <row r="862" spans="1:1" x14ac:dyDescent="0.2">
      <c r="A862" s="2"/>
    </row>
    <row r="863" spans="1:1" x14ac:dyDescent="0.2">
      <c r="A863" s="2"/>
    </row>
    <row r="864" spans="1:1" x14ac:dyDescent="0.2">
      <c r="A864" s="2"/>
    </row>
    <row r="865" spans="1:1" x14ac:dyDescent="0.2">
      <c r="A865" s="2"/>
    </row>
    <row r="866" spans="1:1" x14ac:dyDescent="0.2">
      <c r="A866" s="2"/>
    </row>
    <row r="867" spans="1:1" x14ac:dyDescent="0.2">
      <c r="A867" s="2"/>
    </row>
    <row r="868" spans="1:1" x14ac:dyDescent="0.2">
      <c r="A868" s="2"/>
    </row>
    <row r="869" spans="1:1" x14ac:dyDescent="0.2">
      <c r="A869" s="2"/>
    </row>
    <row r="870" spans="1:1" x14ac:dyDescent="0.2">
      <c r="A870" s="2"/>
    </row>
    <row r="871" spans="1:1" x14ac:dyDescent="0.2">
      <c r="A871" s="2"/>
    </row>
    <row r="872" spans="1:1" x14ac:dyDescent="0.2">
      <c r="A872" s="2"/>
    </row>
    <row r="873" spans="1:1" x14ac:dyDescent="0.2">
      <c r="A873" s="2"/>
    </row>
    <row r="874" spans="1:1" x14ac:dyDescent="0.2">
      <c r="A874" s="2"/>
    </row>
    <row r="875" spans="1:1" x14ac:dyDescent="0.2">
      <c r="A875" s="2"/>
    </row>
    <row r="876" spans="1:1" x14ac:dyDescent="0.2">
      <c r="A876" s="2"/>
    </row>
    <row r="877" spans="1:1" x14ac:dyDescent="0.2">
      <c r="A877" s="2"/>
    </row>
    <row r="878" spans="1:1" x14ac:dyDescent="0.2">
      <c r="A878" s="2"/>
    </row>
    <row r="879" spans="1:1" x14ac:dyDescent="0.2">
      <c r="A879" s="2"/>
    </row>
    <row r="880" spans="1:1" x14ac:dyDescent="0.2">
      <c r="A880" s="2"/>
    </row>
    <row r="881" spans="1:1" x14ac:dyDescent="0.2">
      <c r="A881" s="2"/>
    </row>
    <row r="882" spans="1:1" x14ac:dyDescent="0.2">
      <c r="A882" s="2"/>
    </row>
    <row r="883" spans="1:1" x14ac:dyDescent="0.2">
      <c r="A883" s="2"/>
    </row>
    <row r="884" spans="1:1" x14ac:dyDescent="0.2">
      <c r="A884" s="2"/>
    </row>
    <row r="885" spans="1:1" x14ac:dyDescent="0.2">
      <c r="A885" s="2"/>
    </row>
    <row r="886" spans="1:1" x14ac:dyDescent="0.2">
      <c r="A886" s="2"/>
    </row>
    <row r="887" spans="1:1" x14ac:dyDescent="0.2">
      <c r="A887" s="2"/>
    </row>
    <row r="888" spans="1:1" x14ac:dyDescent="0.2">
      <c r="A888" s="2"/>
    </row>
    <row r="889" spans="1:1" x14ac:dyDescent="0.2">
      <c r="A889" s="2"/>
    </row>
    <row r="890" spans="1:1" x14ac:dyDescent="0.2">
      <c r="A890" s="2"/>
    </row>
    <row r="891" spans="1:1" x14ac:dyDescent="0.2">
      <c r="A891" s="2"/>
    </row>
    <row r="892" spans="1:1" x14ac:dyDescent="0.2">
      <c r="A892" s="2"/>
    </row>
    <row r="893" spans="1:1" x14ac:dyDescent="0.2">
      <c r="A893" s="2"/>
    </row>
    <row r="894" spans="1:1" x14ac:dyDescent="0.2">
      <c r="A894" s="2"/>
    </row>
    <row r="895" spans="1:1" x14ac:dyDescent="0.2">
      <c r="A895" s="2"/>
    </row>
    <row r="896" spans="1:1" x14ac:dyDescent="0.2">
      <c r="A896" s="2"/>
    </row>
    <row r="897" spans="1:1" x14ac:dyDescent="0.2">
      <c r="A897" s="2"/>
    </row>
    <row r="898" spans="1:1" x14ac:dyDescent="0.2">
      <c r="A898" s="2"/>
    </row>
    <row r="899" spans="1:1" x14ac:dyDescent="0.2">
      <c r="A899" s="2"/>
    </row>
    <row r="900" spans="1:1" x14ac:dyDescent="0.2">
      <c r="A900" s="2"/>
    </row>
    <row r="901" spans="1:1" x14ac:dyDescent="0.2">
      <c r="A901" s="2"/>
    </row>
    <row r="902" spans="1:1" x14ac:dyDescent="0.2">
      <c r="A902" s="2"/>
    </row>
    <row r="903" spans="1:1" x14ac:dyDescent="0.2">
      <c r="A903" s="2"/>
    </row>
    <row r="904" spans="1:1" x14ac:dyDescent="0.2">
      <c r="A904" s="2"/>
    </row>
    <row r="905" spans="1:1" x14ac:dyDescent="0.2">
      <c r="A905" s="2"/>
    </row>
    <row r="906" spans="1:1" x14ac:dyDescent="0.2">
      <c r="A906" s="2"/>
    </row>
    <row r="907" spans="1:1" x14ac:dyDescent="0.2">
      <c r="A907" s="2"/>
    </row>
    <row r="908" spans="1:1" x14ac:dyDescent="0.2">
      <c r="A908" s="2"/>
    </row>
    <row r="909" spans="1:1" x14ac:dyDescent="0.2">
      <c r="A909" s="2"/>
    </row>
    <row r="910" spans="1:1" x14ac:dyDescent="0.2">
      <c r="A910" s="2"/>
    </row>
    <row r="911" spans="1:1" x14ac:dyDescent="0.2">
      <c r="A911" s="2"/>
    </row>
    <row r="912" spans="1:1" x14ac:dyDescent="0.2">
      <c r="A912" s="2"/>
    </row>
    <row r="913" spans="1:1" x14ac:dyDescent="0.2">
      <c r="A913" s="2"/>
    </row>
    <row r="914" spans="1:1" x14ac:dyDescent="0.2">
      <c r="A914" s="2"/>
    </row>
    <row r="915" spans="1:1" x14ac:dyDescent="0.2">
      <c r="A915" s="2"/>
    </row>
    <row r="916" spans="1:1" x14ac:dyDescent="0.2">
      <c r="A916" s="2"/>
    </row>
    <row r="917" spans="1:1" x14ac:dyDescent="0.2">
      <c r="A917" s="2"/>
    </row>
    <row r="918" spans="1:1" x14ac:dyDescent="0.2">
      <c r="A918" s="2"/>
    </row>
    <row r="919" spans="1:1" x14ac:dyDescent="0.2">
      <c r="A919" s="2"/>
    </row>
    <row r="920" spans="1:1" x14ac:dyDescent="0.2">
      <c r="A920" s="2"/>
    </row>
    <row r="921" spans="1:1" x14ac:dyDescent="0.2">
      <c r="A921" s="2"/>
    </row>
    <row r="922" spans="1:1" x14ac:dyDescent="0.2">
      <c r="A922" s="2"/>
    </row>
    <row r="923" spans="1:1" x14ac:dyDescent="0.2">
      <c r="A923" s="2"/>
    </row>
    <row r="924" spans="1:1" x14ac:dyDescent="0.2">
      <c r="A924" s="2"/>
    </row>
    <row r="925" spans="1:1" x14ac:dyDescent="0.2">
      <c r="A925" s="2"/>
    </row>
    <row r="926" spans="1:1" x14ac:dyDescent="0.2">
      <c r="A926" s="2"/>
    </row>
    <row r="927" spans="1:1" x14ac:dyDescent="0.2">
      <c r="A927" s="2"/>
    </row>
    <row r="928" spans="1:1" x14ac:dyDescent="0.2">
      <c r="A928" s="2"/>
    </row>
    <row r="929" spans="1:1" x14ac:dyDescent="0.2">
      <c r="A929" s="2"/>
    </row>
    <row r="930" spans="1:1" x14ac:dyDescent="0.2">
      <c r="A930" s="2"/>
    </row>
    <row r="931" spans="1:1" x14ac:dyDescent="0.2">
      <c r="A931" s="2"/>
    </row>
    <row r="932" spans="1:1" x14ac:dyDescent="0.2">
      <c r="A932" s="2"/>
    </row>
    <row r="933" spans="1:1" x14ac:dyDescent="0.2">
      <c r="A933" s="2"/>
    </row>
    <row r="934" spans="1:1" x14ac:dyDescent="0.2">
      <c r="A934" s="2"/>
    </row>
    <row r="935" spans="1:1" x14ac:dyDescent="0.2">
      <c r="A935" s="2"/>
    </row>
    <row r="936" spans="1:1" x14ac:dyDescent="0.2">
      <c r="A936" s="2"/>
    </row>
    <row r="937" spans="1:1" x14ac:dyDescent="0.2">
      <c r="A937" s="2"/>
    </row>
    <row r="938" spans="1:1" x14ac:dyDescent="0.2">
      <c r="A938" s="2"/>
    </row>
    <row r="939" spans="1:1" x14ac:dyDescent="0.2">
      <c r="A939" s="2"/>
    </row>
    <row r="940" spans="1:1" x14ac:dyDescent="0.2">
      <c r="A940" s="2"/>
    </row>
    <row r="941" spans="1:1" x14ac:dyDescent="0.2">
      <c r="A941" s="2"/>
    </row>
    <row r="942" spans="1:1" x14ac:dyDescent="0.2">
      <c r="A942" s="2"/>
    </row>
    <row r="943" spans="1:1" x14ac:dyDescent="0.2">
      <c r="A943" s="2"/>
    </row>
    <row r="944" spans="1:1" x14ac:dyDescent="0.2">
      <c r="A944" s="2"/>
    </row>
    <row r="945" spans="1:1" x14ac:dyDescent="0.2">
      <c r="A945" s="2"/>
    </row>
    <row r="946" spans="1:1" x14ac:dyDescent="0.2">
      <c r="A946" s="2"/>
    </row>
    <row r="947" spans="1:1" x14ac:dyDescent="0.2">
      <c r="A947" s="2"/>
    </row>
    <row r="948" spans="1:1" x14ac:dyDescent="0.2">
      <c r="A948" s="2"/>
    </row>
    <row r="949" spans="1:1" x14ac:dyDescent="0.2">
      <c r="A949" s="2"/>
    </row>
    <row r="950" spans="1:1" x14ac:dyDescent="0.2">
      <c r="A950" s="2"/>
    </row>
    <row r="951" spans="1:1" x14ac:dyDescent="0.2">
      <c r="A951" s="2"/>
    </row>
    <row r="952" spans="1:1" x14ac:dyDescent="0.2">
      <c r="A952" s="2"/>
    </row>
    <row r="953" spans="1:1" x14ac:dyDescent="0.2">
      <c r="A953" s="2"/>
    </row>
    <row r="954" spans="1:1" x14ac:dyDescent="0.2">
      <c r="A954" s="2"/>
    </row>
    <row r="955" spans="1:1" x14ac:dyDescent="0.2">
      <c r="A955" s="2"/>
    </row>
    <row r="956" spans="1:1" x14ac:dyDescent="0.2">
      <c r="A956" s="2"/>
    </row>
    <row r="957" spans="1:1" x14ac:dyDescent="0.2">
      <c r="A957" s="2"/>
    </row>
    <row r="958" spans="1:1" x14ac:dyDescent="0.2">
      <c r="A958" s="2"/>
    </row>
    <row r="959" spans="1:1" x14ac:dyDescent="0.2">
      <c r="A959" s="2"/>
    </row>
    <row r="960" spans="1:1" x14ac:dyDescent="0.2">
      <c r="A960" s="2"/>
    </row>
    <row r="961" spans="1:1" x14ac:dyDescent="0.2">
      <c r="A961" s="2"/>
    </row>
    <row r="962" spans="1:1" x14ac:dyDescent="0.2">
      <c r="A962" s="2"/>
    </row>
    <row r="963" spans="1:1" x14ac:dyDescent="0.2">
      <c r="A963" s="2"/>
    </row>
    <row r="964" spans="1:1" x14ac:dyDescent="0.2">
      <c r="A964" s="2"/>
    </row>
    <row r="965" spans="1:1" x14ac:dyDescent="0.2">
      <c r="A965" s="2"/>
    </row>
    <row r="966" spans="1:1" x14ac:dyDescent="0.2">
      <c r="A966" s="2"/>
    </row>
    <row r="967" spans="1:1" x14ac:dyDescent="0.2">
      <c r="A967" s="2"/>
    </row>
    <row r="968" spans="1:1" x14ac:dyDescent="0.2">
      <c r="A968" s="2"/>
    </row>
    <row r="969" spans="1:1" x14ac:dyDescent="0.2">
      <c r="A969" s="2"/>
    </row>
    <row r="970" spans="1:1" x14ac:dyDescent="0.2">
      <c r="A970" s="2"/>
    </row>
    <row r="971" spans="1:1" x14ac:dyDescent="0.2">
      <c r="A971" s="2"/>
    </row>
    <row r="972" spans="1:1" x14ac:dyDescent="0.2">
      <c r="A972" s="2"/>
    </row>
    <row r="973" spans="1:1" x14ac:dyDescent="0.2">
      <c r="A973" s="2"/>
    </row>
    <row r="974" spans="1:1" x14ac:dyDescent="0.2">
      <c r="A974" s="2"/>
    </row>
    <row r="975" spans="1:1" x14ac:dyDescent="0.2">
      <c r="A975" s="2"/>
    </row>
    <row r="976" spans="1:1" x14ac:dyDescent="0.2">
      <c r="A976" s="2"/>
    </row>
    <row r="977" spans="1:1" x14ac:dyDescent="0.2">
      <c r="A977" s="2"/>
    </row>
    <row r="978" spans="1:1" x14ac:dyDescent="0.2">
      <c r="A978" s="2"/>
    </row>
    <row r="979" spans="1:1" x14ac:dyDescent="0.2">
      <c r="A979" s="2"/>
    </row>
    <row r="980" spans="1:1" x14ac:dyDescent="0.2">
      <c r="A980" s="2"/>
    </row>
    <row r="981" spans="1:1" x14ac:dyDescent="0.2">
      <c r="A981" s="2"/>
    </row>
    <row r="982" spans="1:1" x14ac:dyDescent="0.2">
      <c r="A982" s="2"/>
    </row>
    <row r="983" spans="1:1" x14ac:dyDescent="0.2">
      <c r="A983" s="2"/>
    </row>
    <row r="984" spans="1:1" x14ac:dyDescent="0.2">
      <c r="A984" s="2"/>
    </row>
    <row r="985" spans="1:1" x14ac:dyDescent="0.2">
      <c r="A985" s="2"/>
    </row>
    <row r="986" spans="1:1" x14ac:dyDescent="0.2">
      <c r="A986" s="2"/>
    </row>
    <row r="987" spans="1:1" x14ac:dyDescent="0.2">
      <c r="A987" s="2"/>
    </row>
    <row r="988" spans="1:1" x14ac:dyDescent="0.2">
      <c r="A988" s="2"/>
    </row>
    <row r="989" spans="1:1" x14ac:dyDescent="0.2">
      <c r="A989" s="2"/>
    </row>
    <row r="990" spans="1:1" x14ac:dyDescent="0.2">
      <c r="A990" s="2"/>
    </row>
    <row r="991" spans="1:1" x14ac:dyDescent="0.2">
      <c r="A991" s="2"/>
    </row>
    <row r="992" spans="1:1" x14ac:dyDescent="0.2">
      <c r="A992" s="2"/>
    </row>
    <row r="993" spans="1:1" x14ac:dyDescent="0.2">
      <c r="A993" s="2"/>
    </row>
    <row r="994" spans="1:1" x14ac:dyDescent="0.2">
      <c r="A994" s="2"/>
    </row>
    <row r="995" spans="1:1" x14ac:dyDescent="0.2">
      <c r="A995" s="2"/>
    </row>
    <row r="996" spans="1:1" x14ac:dyDescent="0.2">
      <c r="A996" s="2"/>
    </row>
    <row r="997" spans="1:1" x14ac:dyDescent="0.2">
      <c r="A997" s="2"/>
    </row>
    <row r="998" spans="1:1" x14ac:dyDescent="0.2">
      <c r="A998" s="2"/>
    </row>
    <row r="999" spans="1:1" x14ac:dyDescent="0.2">
      <c r="A999" s="2"/>
    </row>
    <row r="1000" spans="1:1" x14ac:dyDescent="0.2">
      <c r="A1000" s="2"/>
    </row>
    <row r="1001" spans="1:1" x14ac:dyDescent="0.2">
      <c r="A1001" s="2"/>
    </row>
    <row r="1002" spans="1:1" x14ac:dyDescent="0.2">
      <c r="A1002" s="2"/>
    </row>
    <row r="1003" spans="1:1" x14ac:dyDescent="0.2">
      <c r="A1003" s="2"/>
    </row>
    <row r="1004" spans="1:1" x14ac:dyDescent="0.2">
      <c r="A1004" s="2"/>
    </row>
    <row r="1005" spans="1:1" x14ac:dyDescent="0.2">
      <c r="A1005" s="2"/>
    </row>
    <row r="1006" spans="1:1" x14ac:dyDescent="0.2">
      <c r="A1006" s="2"/>
    </row>
    <row r="1007" spans="1:1" x14ac:dyDescent="0.2">
      <c r="A1007" s="2"/>
    </row>
    <row r="1008" spans="1:1" x14ac:dyDescent="0.2">
      <c r="A1008" s="2"/>
    </row>
    <row r="1009" spans="1:1" x14ac:dyDescent="0.2">
      <c r="A1009" s="2"/>
    </row>
    <row r="1010" spans="1:1" x14ac:dyDescent="0.2">
      <c r="A1010" s="2"/>
    </row>
    <row r="1011" spans="1:1" x14ac:dyDescent="0.2">
      <c r="A1011" s="2"/>
    </row>
    <row r="1012" spans="1:1" x14ac:dyDescent="0.2">
      <c r="A1012" s="2"/>
    </row>
    <row r="1013" spans="1:1" x14ac:dyDescent="0.2">
      <c r="A1013" s="2"/>
    </row>
    <row r="1014" spans="1:1" x14ac:dyDescent="0.2">
      <c r="A1014" s="2"/>
    </row>
    <row r="1015" spans="1:1" x14ac:dyDescent="0.2">
      <c r="A1015" s="2"/>
    </row>
    <row r="1016" spans="1:1" x14ac:dyDescent="0.2">
      <c r="A1016" s="2"/>
    </row>
    <row r="1017" spans="1:1" x14ac:dyDescent="0.2">
      <c r="A1017" s="2"/>
    </row>
    <row r="1018" spans="1:1" x14ac:dyDescent="0.2">
      <c r="A1018" s="2"/>
    </row>
    <row r="1019" spans="1:1" x14ac:dyDescent="0.2">
      <c r="A1019" s="2"/>
    </row>
    <row r="1020" spans="1:1" x14ac:dyDescent="0.2">
      <c r="A1020" s="2"/>
    </row>
    <row r="1021" spans="1:1" x14ac:dyDescent="0.2">
      <c r="A1021" s="2"/>
    </row>
    <row r="1022" spans="1:1" x14ac:dyDescent="0.2">
      <c r="A1022" s="2"/>
    </row>
    <row r="1023" spans="1:1" x14ac:dyDescent="0.2">
      <c r="A1023" s="2"/>
    </row>
    <row r="1024" spans="1:1" x14ac:dyDescent="0.2">
      <c r="A1024" s="2"/>
    </row>
    <row r="1025" spans="1:1" x14ac:dyDescent="0.2">
      <c r="A1025" s="2"/>
    </row>
    <row r="1026" spans="1:1" x14ac:dyDescent="0.2">
      <c r="A1026" s="2"/>
    </row>
    <row r="1027" spans="1:1" x14ac:dyDescent="0.2">
      <c r="A1027" s="2"/>
    </row>
    <row r="1028" spans="1:1" x14ac:dyDescent="0.2">
      <c r="A1028" s="2"/>
    </row>
    <row r="1029" spans="1:1" x14ac:dyDescent="0.2">
      <c r="A1029" s="2"/>
    </row>
    <row r="1030" spans="1:1" x14ac:dyDescent="0.2">
      <c r="A1030" s="2"/>
    </row>
    <row r="1031" spans="1:1" x14ac:dyDescent="0.2">
      <c r="A1031" s="2"/>
    </row>
    <row r="1032" spans="1:1" x14ac:dyDescent="0.2">
      <c r="A1032" s="2"/>
    </row>
    <row r="1033" spans="1:1" x14ac:dyDescent="0.2">
      <c r="A1033" s="2"/>
    </row>
    <row r="1034" spans="1:1" x14ac:dyDescent="0.2">
      <c r="A1034" s="2"/>
    </row>
    <row r="1035" spans="1:1" x14ac:dyDescent="0.2">
      <c r="A1035" s="2"/>
    </row>
    <row r="1036" spans="1:1" x14ac:dyDescent="0.2">
      <c r="A1036" s="2"/>
    </row>
    <row r="1037" spans="1:1" x14ac:dyDescent="0.2">
      <c r="A1037" s="2"/>
    </row>
    <row r="1038" spans="1:1" x14ac:dyDescent="0.2">
      <c r="A1038" s="2"/>
    </row>
    <row r="1039" spans="1:1" x14ac:dyDescent="0.2">
      <c r="A1039" s="2"/>
    </row>
    <row r="1040" spans="1:1" x14ac:dyDescent="0.2">
      <c r="A1040" s="2"/>
    </row>
    <row r="1041" spans="1:1" x14ac:dyDescent="0.2">
      <c r="A1041" s="2"/>
    </row>
    <row r="1042" spans="1:1" x14ac:dyDescent="0.2">
      <c r="A1042" s="2"/>
    </row>
    <row r="1043" spans="1:1" x14ac:dyDescent="0.2">
      <c r="A1043" s="2"/>
    </row>
    <row r="1044" spans="1:1" x14ac:dyDescent="0.2">
      <c r="A1044" s="2"/>
    </row>
    <row r="1045" spans="1:1" x14ac:dyDescent="0.2">
      <c r="A1045" s="2"/>
    </row>
    <row r="1046" spans="1:1" x14ac:dyDescent="0.2">
      <c r="A1046" s="2"/>
    </row>
    <row r="1047" spans="1:1" x14ac:dyDescent="0.2">
      <c r="A1047" s="2"/>
    </row>
    <row r="1048" spans="1:1" x14ac:dyDescent="0.2">
      <c r="A1048" s="2"/>
    </row>
    <row r="1049" spans="1:1" x14ac:dyDescent="0.2">
      <c r="A1049" s="2"/>
    </row>
    <row r="1050" spans="1:1" x14ac:dyDescent="0.2">
      <c r="A1050" s="2"/>
    </row>
    <row r="1051" spans="1:1" x14ac:dyDescent="0.2">
      <c r="A1051" s="2"/>
    </row>
    <row r="1052" spans="1:1" x14ac:dyDescent="0.2">
      <c r="A1052" s="2"/>
    </row>
    <row r="1053" spans="1:1" x14ac:dyDescent="0.2">
      <c r="A1053" s="2"/>
    </row>
    <row r="1054" spans="1:1" x14ac:dyDescent="0.2">
      <c r="A1054" s="2"/>
    </row>
    <row r="1055" spans="1:1" x14ac:dyDescent="0.2">
      <c r="A1055" s="2"/>
    </row>
    <row r="1056" spans="1:1" x14ac:dyDescent="0.2">
      <c r="A1056" s="2"/>
    </row>
    <row r="1057" spans="1:1" x14ac:dyDescent="0.2">
      <c r="A1057" s="2"/>
    </row>
    <row r="1058" spans="1:1" x14ac:dyDescent="0.2">
      <c r="A1058" s="2"/>
    </row>
    <row r="1059" spans="1:1" x14ac:dyDescent="0.2">
      <c r="A1059" s="2"/>
    </row>
    <row r="1060" spans="1:1" x14ac:dyDescent="0.2">
      <c r="A1060" s="2"/>
    </row>
    <row r="1061" spans="1:1" x14ac:dyDescent="0.2">
      <c r="A1061" s="2"/>
    </row>
    <row r="1062" spans="1:1" x14ac:dyDescent="0.2">
      <c r="A1062" s="2"/>
    </row>
    <row r="1063" spans="1:1" x14ac:dyDescent="0.2">
      <c r="A1063" s="2"/>
    </row>
    <row r="1064" spans="1:1" x14ac:dyDescent="0.2">
      <c r="A1064" s="2"/>
    </row>
    <row r="1065" spans="1:1" x14ac:dyDescent="0.2">
      <c r="A1065" s="2"/>
    </row>
    <row r="1066" spans="1:1" x14ac:dyDescent="0.2">
      <c r="A1066" s="2"/>
    </row>
    <row r="1067" spans="1:1" x14ac:dyDescent="0.2">
      <c r="A1067" s="2"/>
    </row>
    <row r="1068" spans="1:1" x14ac:dyDescent="0.2">
      <c r="A1068" s="2"/>
    </row>
    <row r="1069" spans="1:1" x14ac:dyDescent="0.2">
      <c r="A1069" s="2"/>
    </row>
    <row r="1070" spans="1:1" x14ac:dyDescent="0.2">
      <c r="A1070" s="2"/>
    </row>
    <row r="1071" spans="1:1" x14ac:dyDescent="0.2">
      <c r="A1071" s="2"/>
    </row>
    <row r="1072" spans="1:1" x14ac:dyDescent="0.2">
      <c r="A1072" s="2"/>
    </row>
    <row r="1073" spans="1:1" x14ac:dyDescent="0.2">
      <c r="A1073" s="2"/>
    </row>
    <row r="1074" spans="1:1" x14ac:dyDescent="0.2">
      <c r="A1074" s="2"/>
    </row>
    <row r="1075" spans="1:1" x14ac:dyDescent="0.2">
      <c r="A1075" s="2"/>
    </row>
    <row r="1076" spans="1:1" x14ac:dyDescent="0.2">
      <c r="A1076" s="2"/>
    </row>
    <row r="1077" spans="1:1" x14ac:dyDescent="0.2">
      <c r="A1077" s="2"/>
    </row>
    <row r="1078" spans="1:1" x14ac:dyDescent="0.2">
      <c r="A1078" s="2"/>
    </row>
    <row r="1079" spans="1:1" x14ac:dyDescent="0.2">
      <c r="A1079" s="2"/>
    </row>
    <row r="1080" spans="1:1" x14ac:dyDescent="0.2">
      <c r="A1080" s="2"/>
    </row>
    <row r="1081" spans="1:1" x14ac:dyDescent="0.2">
      <c r="A1081" s="2"/>
    </row>
    <row r="1082" spans="1:1" x14ac:dyDescent="0.2">
      <c r="A1082" s="2"/>
    </row>
    <row r="1083" spans="1:1" x14ac:dyDescent="0.2">
      <c r="A1083" s="2"/>
    </row>
    <row r="1084" spans="1:1" x14ac:dyDescent="0.2">
      <c r="A1084" s="2"/>
    </row>
    <row r="1085" spans="1:1" x14ac:dyDescent="0.2">
      <c r="A1085" s="2"/>
    </row>
    <row r="1086" spans="1:1" x14ac:dyDescent="0.2">
      <c r="A1086" s="2"/>
    </row>
    <row r="1087" spans="1:1" x14ac:dyDescent="0.2">
      <c r="A1087" s="2"/>
    </row>
    <row r="1088" spans="1:1" x14ac:dyDescent="0.2">
      <c r="A1088" s="2"/>
    </row>
    <row r="1089" spans="1:1" x14ac:dyDescent="0.2">
      <c r="A1089" s="2"/>
    </row>
    <row r="1090" spans="1:1" x14ac:dyDescent="0.2">
      <c r="A1090" s="2"/>
    </row>
    <row r="1091" spans="1:1" x14ac:dyDescent="0.2">
      <c r="A1091" s="2"/>
    </row>
    <row r="1092" spans="1:1" x14ac:dyDescent="0.2">
      <c r="A1092" s="2"/>
    </row>
    <row r="1093" spans="1:1" x14ac:dyDescent="0.2">
      <c r="A1093" s="2"/>
    </row>
    <row r="1094" spans="1:1" x14ac:dyDescent="0.2">
      <c r="A1094" s="2"/>
    </row>
    <row r="1095" spans="1:1" x14ac:dyDescent="0.2">
      <c r="A1095" s="2"/>
    </row>
    <row r="1096" spans="1:1" x14ac:dyDescent="0.2">
      <c r="A1096" s="2"/>
    </row>
    <row r="1097" spans="1:1" x14ac:dyDescent="0.2">
      <c r="A1097" s="2"/>
    </row>
    <row r="1098" spans="1:1" x14ac:dyDescent="0.2">
      <c r="A1098" s="2"/>
    </row>
    <row r="1099" spans="1:1" x14ac:dyDescent="0.2">
      <c r="A1099" s="2"/>
    </row>
    <row r="1100" spans="1:1" x14ac:dyDescent="0.2">
      <c r="A1100" s="2"/>
    </row>
    <row r="1101" spans="1:1" x14ac:dyDescent="0.2">
      <c r="A1101" s="2"/>
    </row>
    <row r="1102" spans="1:1" x14ac:dyDescent="0.2">
      <c r="A1102" s="2"/>
    </row>
    <row r="1103" spans="1:1" x14ac:dyDescent="0.2">
      <c r="A1103" s="2"/>
    </row>
    <row r="1104" spans="1:1" x14ac:dyDescent="0.2">
      <c r="A1104" s="2"/>
    </row>
    <row r="1105" spans="1:1" x14ac:dyDescent="0.2">
      <c r="A1105" s="2"/>
    </row>
    <row r="1106" spans="1:1" x14ac:dyDescent="0.2">
      <c r="A1106" s="2"/>
    </row>
    <row r="1107" spans="1:1" x14ac:dyDescent="0.2">
      <c r="A1107" s="2"/>
    </row>
    <row r="1108" spans="1:1" x14ac:dyDescent="0.2">
      <c r="A1108" s="2"/>
    </row>
    <row r="1109" spans="1:1" x14ac:dyDescent="0.2">
      <c r="A1109" s="2"/>
    </row>
    <row r="1110" spans="1:1" x14ac:dyDescent="0.2">
      <c r="A1110" s="2"/>
    </row>
    <row r="1111" spans="1:1" x14ac:dyDescent="0.2">
      <c r="A1111" s="2"/>
    </row>
    <row r="1112" spans="1:1" x14ac:dyDescent="0.2">
      <c r="A1112" s="2"/>
    </row>
    <row r="1113" spans="1:1" x14ac:dyDescent="0.2">
      <c r="A1113" s="2"/>
    </row>
    <row r="1114" spans="1:1" x14ac:dyDescent="0.2">
      <c r="A1114" s="2"/>
    </row>
    <row r="1115" spans="1:1" x14ac:dyDescent="0.2">
      <c r="A1115" s="2"/>
    </row>
    <row r="1116" spans="1:1" x14ac:dyDescent="0.2">
      <c r="A1116" s="2"/>
    </row>
    <row r="1117" spans="1:1" x14ac:dyDescent="0.2">
      <c r="A1117" s="2"/>
    </row>
    <row r="1118" spans="1:1" x14ac:dyDescent="0.2">
      <c r="A1118" s="2"/>
    </row>
    <row r="1119" spans="1:1" x14ac:dyDescent="0.2">
      <c r="A1119" s="2"/>
    </row>
    <row r="1120" spans="1:1" x14ac:dyDescent="0.2">
      <c r="A1120" s="2"/>
    </row>
    <row r="1121" spans="1:1" x14ac:dyDescent="0.2">
      <c r="A1121" s="2"/>
    </row>
    <row r="1122" spans="1:1" x14ac:dyDescent="0.2">
      <c r="A1122" s="2"/>
    </row>
    <row r="1123" spans="1:1" x14ac:dyDescent="0.2">
      <c r="A1123" s="2"/>
    </row>
    <row r="1124" spans="1:1" x14ac:dyDescent="0.2">
      <c r="A1124" s="2"/>
    </row>
    <row r="1125" spans="1:1" x14ac:dyDescent="0.2">
      <c r="A1125" s="2"/>
    </row>
    <row r="1126" spans="1:1" x14ac:dyDescent="0.2">
      <c r="A1126" s="2"/>
    </row>
    <row r="1127" spans="1:1" x14ac:dyDescent="0.2">
      <c r="A1127" s="2"/>
    </row>
    <row r="1128" spans="1:1" x14ac:dyDescent="0.2">
      <c r="A1128" s="2"/>
    </row>
    <row r="1129" spans="1:1" x14ac:dyDescent="0.2">
      <c r="A1129" s="2"/>
    </row>
    <row r="1130" spans="1:1" x14ac:dyDescent="0.2">
      <c r="A1130" s="2"/>
    </row>
    <row r="1131" spans="1:1" x14ac:dyDescent="0.2">
      <c r="A1131" s="2"/>
    </row>
    <row r="1132" spans="1:1" x14ac:dyDescent="0.2">
      <c r="A1132" s="2"/>
    </row>
    <row r="1133" spans="1:1" x14ac:dyDescent="0.2">
      <c r="A1133" s="2"/>
    </row>
    <row r="1134" spans="1:1" x14ac:dyDescent="0.2">
      <c r="A1134" s="2"/>
    </row>
    <row r="1135" spans="1:1" x14ac:dyDescent="0.2">
      <c r="A1135" s="2"/>
    </row>
    <row r="1136" spans="1:1" x14ac:dyDescent="0.2">
      <c r="A1136" s="2"/>
    </row>
    <row r="1137" spans="1:1" x14ac:dyDescent="0.2">
      <c r="A1137" s="2"/>
    </row>
    <row r="1138" spans="1:1" x14ac:dyDescent="0.2">
      <c r="A1138" s="2"/>
    </row>
    <row r="1139" spans="1:1" x14ac:dyDescent="0.2">
      <c r="A1139" s="2"/>
    </row>
    <row r="1140" spans="1:1" x14ac:dyDescent="0.2">
      <c r="A1140" s="2"/>
    </row>
    <row r="1141" spans="1:1" x14ac:dyDescent="0.2">
      <c r="A1141" s="2"/>
    </row>
    <row r="1142" spans="1:1" x14ac:dyDescent="0.2">
      <c r="A1142" s="2"/>
    </row>
    <row r="1143" spans="1:1" x14ac:dyDescent="0.2">
      <c r="A1143" s="2"/>
    </row>
    <row r="1144" spans="1:1" x14ac:dyDescent="0.2">
      <c r="A1144" s="2"/>
    </row>
    <row r="1145" spans="1:1" x14ac:dyDescent="0.2">
      <c r="A1145" s="2"/>
    </row>
    <row r="1146" spans="1:1" x14ac:dyDescent="0.2">
      <c r="A1146" s="2"/>
    </row>
    <row r="1147" spans="1:1" x14ac:dyDescent="0.2">
      <c r="A1147" s="2"/>
    </row>
    <row r="1148" spans="1:1" x14ac:dyDescent="0.2">
      <c r="A1148" s="2"/>
    </row>
    <row r="1149" spans="1:1" x14ac:dyDescent="0.2">
      <c r="A1149" s="2"/>
    </row>
    <row r="1150" spans="1:1" x14ac:dyDescent="0.2">
      <c r="A1150" s="2"/>
    </row>
    <row r="1151" spans="1:1" x14ac:dyDescent="0.2">
      <c r="A1151" s="2"/>
    </row>
    <row r="1152" spans="1:1" x14ac:dyDescent="0.2">
      <c r="A1152" s="2"/>
    </row>
    <row r="1153" spans="1:1" x14ac:dyDescent="0.2">
      <c r="A1153" s="2"/>
    </row>
    <row r="1154" spans="1:1" x14ac:dyDescent="0.2">
      <c r="A1154" s="2"/>
    </row>
    <row r="1155" spans="1:1" x14ac:dyDescent="0.2">
      <c r="A1155" s="2"/>
    </row>
    <row r="1156" spans="1:1" x14ac:dyDescent="0.2">
      <c r="A1156" s="2"/>
    </row>
    <row r="1157" spans="1:1" x14ac:dyDescent="0.2">
      <c r="A1157" s="2"/>
    </row>
    <row r="1158" spans="1:1" x14ac:dyDescent="0.2">
      <c r="A1158" s="2"/>
    </row>
    <row r="1159" spans="1:1" x14ac:dyDescent="0.2">
      <c r="A1159" s="2"/>
    </row>
    <row r="1160" spans="1:1" x14ac:dyDescent="0.2">
      <c r="A1160" s="2"/>
    </row>
    <row r="1161" spans="1:1" x14ac:dyDescent="0.2">
      <c r="A1161" s="2"/>
    </row>
    <row r="1162" spans="1:1" x14ac:dyDescent="0.2">
      <c r="A1162" s="2"/>
    </row>
    <row r="1163" spans="1:1" x14ac:dyDescent="0.2">
      <c r="A1163" s="2"/>
    </row>
    <row r="1164" spans="1:1" x14ac:dyDescent="0.2">
      <c r="A1164" s="2"/>
    </row>
    <row r="1165" spans="1:1" x14ac:dyDescent="0.2">
      <c r="A1165" s="2"/>
    </row>
    <row r="1166" spans="1:1" x14ac:dyDescent="0.2">
      <c r="A1166" s="2"/>
    </row>
    <row r="1167" spans="1:1" x14ac:dyDescent="0.2">
      <c r="A1167" s="2"/>
    </row>
    <row r="1168" spans="1:1" x14ac:dyDescent="0.2">
      <c r="A1168" s="2"/>
    </row>
    <row r="1169" spans="1:1" x14ac:dyDescent="0.2">
      <c r="A1169" s="2"/>
    </row>
    <row r="1170" spans="1:1" x14ac:dyDescent="0.2">
      <c r="A1170" s="2"/>
    </row>
    <row r="1171" spans="1:1" x14ac:dyDescent="0.2">
      <c r="A1171" s="2"/>
    </row>
    <row r="1172" spans="1:1" x14ac:dyDescent="0.2">
      <c r="A1172" s="2"/>
    </row>
    <row r="1173" spans="1:1" x14ac:dyDescent="0.2">
      <c r="A1173" s="2"/>
    </row>
    <row r="1174" spans="1:1" x14ac:dyDescent="0.2">
      <c r="A1174" s="2"/>
    </row>
    <row r="1175" spans="1:1" x14ac:dyDescent="0.2">
      <c r="A1175" s="2"/>
    </row>
    <row r="1176" spans="1:1" x14ac:dyDescent="0.2">
      <c r="A1176" s="2"/>
    </row>
    <row r="1177" spans="1:1" x14ac:dyDescent="0.2">
      <c r="A1177" s="2"/>
    </row>
    <row r="1178" spans="1:1" x14ac:dyDescent="0.2">
      <c r="A1178" s="2"/>
    </row>
    <row r="1179" spans="1:1" x14ac:dyDescent="0.2">
      <c r="A1179" s="2"/>
    </row>
    <row r="1180" spans="1:1" x14ac:dyDescent="0.2">
      <c r="A1180" s="2"/>
    </row>
    <row r="1181" spans="1:1" x14ac:dyDescent="0.2">
      <c r="A1181" s="2"/>
    </row>
    <row r="1182" spans="1:1" x14ac:dyDescent="0.2">
      <c r="A1182" s="2"/>
    </row>
    <row r="1183" spans="1:1" x14ac:dyDescent="0.2">
      <c r="A1183" s="2"/>
    </row>
    <row r="1184" spans="1:1" x14ac:dyDescent="0.2">
      <c r="A1184" s="2"/>
    </row>
    <row r="1185" spans="1:1" x14ac:dyDescent="0.2">
      <c r="A1185" s="2"/>
    </row>
    <row r="1186" spans="1:1" x14ac:dyDescent="0.2">
      <c r="A1186" s="2"/>
    </row>
    <row r="1187" spans="1:1" x14ac:dyDescent="0.2">
      <c r="A1187" s="2"/>
    </row>
    <row r="1188" spans="1:1" x14ac:dyDescent="0.2">
      <c r="A1188" s="2"/>
    </row>
    <row r="1189" spans="1:1" x14ac:dyDescent="0.2">
      <c r="A1189" s="2"/>
    </row>
    <row r="1190" spans="1:1" x14ac:dyDescent="0.2">
      <c r="A1190" s="2"/>
    </row>
    <row r="1191" spans="1:1" x14ac:dyDescent="0.2">
      <c r="A1191" s="2"/>
    </row>
    <row r="1192" spans="1:1" x14ac:dyDescent="0.2">
      <c r="A1192" s="2"/>
    </row>
    <row r="1193" spans="1:1" x14ac:dyDescent="0.2">
      <c r="A1193" s="2"/>
    </row>
    <row r="1194" spans="1:1" x14ac:dyDescent="0.2">
      <c r="A1194" s="2"/>
    </row>
    <row r="1195" spans="1:1" x14ac:dyDescent="0.2">
      <c r="A1195" s="2"/>
    </row>
    <row r="1196" spans="1:1" x14ac:dyDescent="0.2">
      <c r="A1196" s="2"/>
    </row>
    <row r="1197" spans="1:1" x14ac:dyDescent="0.2">
      <c r="A1197" s="2"/>
    </row>
    <row r="1198" spans="1:1" x14ac:dyDescent="0.2">
      <c r="A1198" s="2"/>
    </row>
    <row r="1199" spans="1:1" x14ac:dyDescent="0.2">
      <c r="A1199" s="2"/>
    </row>
    <row r="1200" spans="1:1" x14ac:dyDescent="0.2">
      <c r="A1200" s="2"/>
    </row>
    <row r="1201" spans="1:1" x14ac:dyDescent="0.2">
      <c r="A1201" s="2"/>
    </row>
    <row r="1202" spans="1:1" x14ac:dyDescent="0.2">
      <c r="A1202" s="2"/>
    </row>
    <row r="1203" spans="1:1" x14ac:dyDescent="0.2">
      <c r="A1203" s="2"/>
    </row>
    <row r="1204" spans="1:1" x14ac:dyDescent="0.2">
      <c r="A1204" s="2"/>
    </row>
    <row r="1205" spans="1:1" x14ac:dyDescent="0.2">
      <c r="A1205" s="2"/>
    </row>
    <row r="1206" spans="1:1" x14ac:dyDescent="0.2">
      <c r="A1206" s="2"/>
    </row>
    <row r="1207" spans="1:1" x14ac:dyDescent="0.2">
      <c r="A1207" s="2"/>
    </row>
    <row r="1208" spans="1:1" x14ac:dyDescent="0.2">
      <c r="A1208" s="2"/>
    </row>
    <row r="1209" spans="1:1" x14ac:dyDescent="0.2">
      <c r="A1209" s="2"/>
    </row>
    <row r="1210" spans="1:1" x14ac:dyDescent="0.2">
      <c r="A1210" s="2"/>
    </row>
    <row r="1211" spans="1:1" x14ac:dyDescent="0.2">
      <c r="A1211" s="2"/>
    </row>
    <row r="1212" spans="1:1" x14ac:dyDescent="0.2">
      <c r="A1212" s="2"/>
    </row>
    <row r="1213" spans="1:1" x14ac:dyDescent="0.2">
      <c r="A1213" s="2"/>
    </row>
    <row r="1214" spans="1:1" x14ac:dyDescent="0.2">
      <c r="A1214" s="2"/>
    </row>
    <row r="1215" spans="1:1" x14ac:dyDescent="0.2">
      <c r="A1215" s="2"/>
    </row>
    <row r="1216" spans="1:1" x14ac:dyDescent="0.2">
      <c r="A1216" s="2"/>
    </row>
    <row r="1217" spans="1:1" x14ac:dyDescent="0.2">
      <c r="A1217" s="2"/>
    </row>
    <row r="1218" spans="1:1" x14ac:dyDescent="0.2">
      <c r="A1218" s="2"/>
    </row>
    <row r="1219" spans="1:1" x14ac:dyDescent="0.2">
      <c r="A1219" s="2"/>
    </row>
    <row r="1220" spans="1:1" x14ac:dyDescent="0.2">
      <c r="A1220" s="2"/>
    </row>
    <row r="1221" spans="1:1" x14ac:dyDescent="0.2">
      <c r="A1221" s="2"/>
    </row>
    <row r="1222" spans="1:1" x14ac:dyDescent="0.2">
      <c r="A1222" s="2"/>
    </row>
    <row r="1223" spans="1:1" x14ac:dyDescent="0.2">
      <c r="A1223" s="2"/>
    </row>
    <row r="1224" spans="1:1" x14ac:dyDescent="0.2">
      <c r="A1224" s="2"/>
    </row>
    <row r="1225" spans="1:1" x14ac:dyDescent="0.2">
      <c r="A1225" s="2"/>
    </row>
    <row r="1226" spans="1:1" x14ac:dyDescent="0.2">
      <c r="A1226" s="2"/>
    </row>
    <row r="1227" spans="1:1" x14ac:dyDescent="0.2">
      <c r="A1227" s="2"/>
    </row>
    <row r="1228" spans="1:1" x14ac:dyDescent="0.2">
      <c r="A1228" s="2"/>
    </row>
    <row r="1229" spans="1:1" x14ac:dyDescent="0.2">
      <c r="A1229" s="2"/>
    </row>
    <row r="1230" spans="1:1" x14ac:dyDescent="0.2">
      <c r="A1230" s="2"/>
    </row>
    <row r="1231" spans="1:1" x14ac:dyDescent="0.2">
      <c r="A1231" s="2"/>
    </row>
    <row r="1232" spans="1:1" x14ac:dyDescent="0.2">
      <c r="A1232" s="2"/>
    </row>
    <row r="1233" spans="1:1" x14ac:dyDescent="0.2">
      <c r="A1233" s="2"/>
    </row>
    <row r="1234" spans="1:1" x14ac:dyDescent="0.2">
      <c r="A1234" s="2"/>
    </row>
    <row r="1235" spans="1:1" x14ac:dyDescent="0.2">
      <c r="A1235" s="2"/>
    </row>
    <row r="1236" spans="1:1" x14ac:dyDescent="0.2">
      <c r="A1236" s="2"/>
    </row>
    <row r="1237" spans="1:1" x14ac:dyDescent="0.2">
      <c r="A1237" s="2"/>
    </row>
    <row r="1238" spans="1:1" x14ac:dyDescent="0.2">
      <c r="A1238" s="2"/>
    </row>
    <row r="1239" spans="1:1" x14ac:dyDescent="0.2">
      <c r="A1239" s="2"/>
    </row>
    <row r="1240" spans="1:1" x14ac:dyDescent="0.2">
      <c r="A1240" s="2"/>
    </row>
    <row r="1241" spans="1:1" x14ac:dyDescent="0.2">
      <c r="A1241" s="2"/>
    </row>
    <row r="1242" spans="1:1" x14ac:dyDescent="0.2">
      <c r="A1242" s="2"/>
    </row>
    <row r="1243" spans="1:1" x14ac:dyDescent="0.2">
      <c r="A1243" s="2"/>
    </row>
    <row r="1244" spans="1:1" x14ac:dyDescent="0.2">
      <c r="A1244" s="2"/>
    </row>
    <row r="1245" spans="1:1" x14ac:dyDescent="0.2">
      <c r="A1245" s="2"/>
    </row>
    <row r="1246" spans="1:1" x14ac:dyDescent="0.2">
      <c r="A1246" s="2"/>
    </row>
    <row r="1247" spans="1:1" x14ac:dyDescent="0.2">
      <c r="A1247" s="2"/>
    </row>
    <row r="1248" spans="1:1" x14ac:dyDescent="0.2">
      <c r="A1248" s="2"/>
    </row>
    <row r="1249" spans="1:1" x14ac:dyDescent="0.2">
      <c r="A1249" s="2"/>
    </row>
    <row r="1250" spans="1:1" x14ac:dyDescent="0.2">
      <c r="A1250" s="2"/>
    </row>
    <row r="1251" spans="1:1" x14ac:dyDescent="0.2">
      <c r="A1251" s="2"/>
    </row>
    <row r="1252" spans="1:1" x14ac:dyDescent="0.2">
      <c r="A1252" s="2"/>
    </row>
    <row r="1253" spans="1:1" x14ac:dyDescent="0.2">
      <c r="A1253" s="2"/>
    </row>
    <row r="1254" spans="1:1" x14ac:dyDescent="0.2">
      <c r="A1254" s="2"/>
    </row>
    <row r="1255" spans="1:1" x14ac:dyDescent="0.2">
      <c r="A1255" s="2"/>
    </row>
    <row r="1256" spans="1:1" x14ac:dyDescent="0.2">
      <c r="A1256" s="2"/>
    </row>
    <row r="1257" spans="1:1" x14ac:dyDescent="0.2">
      <c r="A1257" s="2"/>
    </row>
    <row r="1258" spans="1:1" x14ac:dyDescent="0.2">
      <c r="A1258" s="2"/>
    </row>
    <row r="1259" spans="1:1" x14ac:dyDescent="0.2">
      <c r="A1259" s="2"/>
    </row>
    <row r="1260" spans="1:1" x14ac:dyDescent="0.2">
      <c r="A1260" s="2"/>
    </row>
    <row r="1261" spans="1:1" x14ac:dyDescent="0.2">
      <c r="A1261" s="2"/>
    </row>
    <row r="1262" spans="1:1" x14ac:dyDescent="0.2">
      <c r="A1262" s="2"/>
    </row>
    <row r="1263" spans="1:1" x14ac:dyDescent="0.2">
      <c r="A1263" s="2"/>
    </row>
    <row r="1264" spans="1:1" x14ac:dyDescent="0.2">
      <c r="A1264" s="2"/>
    </row>
    <row r="1265" spans="1:1" x14ac:dyDescent="0.2">
      <c r="A1265" s="2"/>
    </row>
    <row r="1266" spans="1:1" x14ac:dyDescent="0.2">
      <c r="A1266" s="2"/>
    </row>
    <row r="1267" spans="1:1" x14ac:dyDescent="0.2">
      <c r="A1267" s="2"/>
    </row>
    <row r="1268" spans="1:1" x14ac:dyDescent="0.2">
      <c r="A1268" s="2"/>
    </row>
    <row r="1269" spans="1:1" x14ac:dyDescent="0.2">
      <c r="A1269" s="2"/>
    </row>
    <row r="1270" spans="1:1" x14ac:dyDescent="0.2">
      <c r="A1270" s="2"/>
    </row>
    <row r="1271" spans="1:1" x14ac:dyDescent="0.2">
      <c r="A1271" s="2"/>
    </row>
    <row r="1272" spans="1:1" x14ac:dyDescent="0.2">
      <c r="A1272" s="2"/>
    </row>
    <row r="1273" spans="1:1" x14ac:dyDescent="0.2">
      <c r="A1273" s="2"/>
    </row>
    <row r="1274" spans="1:1" x14ac:dyDescent="0.2">
      <c r="A1274" s="2"/>
    </row>
    <row r="1275" spans="1:1" x14ac:dyDescent="0.2">
      <c r="A1275" s="2"/>
    </row>
    <row r="1276" spans="1:1" x14ac:dyDescent="0.2">
      <c r="A1276" s="2"/>
    </row>
    <row r="1277" spans="1:1" x14ac:dyDescent="0.2">
      <c r="A1277" s="2"/>
    </row>
    <row r="1278" spans="1:1" x14ac:dyDescent="0.2">
      <c r="A1278" s="2"/>
    </row>
    <row r="1279" spans="1:1" x14ac:dyDescent="0.2">
      <c r="A1279" s="2"/>
    </row>
    <row r="1280" spans="1:1" x14ac:dyDescent="0.2">
      <c r="A1280" s="2"/>
    </row>
    <row r="1281" spans="1:1" x14ac:dyDescent="0.2">
      <c r="A1281" s="2"/>
    </row>
    <row r="1282" spans="1:1" x14ac:dyDescent="0.2">
      <c r="A1282" s="2"/>
    </row>
    <row r="1283" spans="1:1" x14ac:dyDescent="0.2">
      <c r="A1283" s="2"/>
    </row>
    <row r="1284" spans="1:1" x14ac:dyDescent="0.2">
      <c r="A1284" s="2"/>
    </row>
    <row r="1285" spans="1:1" x14ac:dyDescent="0.2">
      <c r="A1285" s="2"/>
    </row>
    <row r="1286" spans="1:1" x14ac:dyDescent="0.2">
      <c r="A1286" s="2"/>
    </row>
    <row r="1287" spans="1:1" x14ac:dyDescent="0.2">
      <c r="A1287" s="2"/>
    </row>
    <row r="1288" spans="1:1" x14ac:dyDescent="0.2">
      <c r="A1288" s="2"/>
    </row>
    <row r="1289" spans="1:1" x14ac:dyDescent="0.2">
      <c r="A1289" s="2"/>
    </row>
    <row r="1290" spans="1:1" x14ac:dyDescent="0.2">
      <c r="A1290" s="2"/>
    </row>
    <row r="1291" spans="1:1" x14ac:dyDescent="0.2">
      <c r="A1291" s="2"/>
    </row>
    <row r="1292" spans="1:1" x14ac:dyDescent="0.2">
      <c r="A1292" s="2"/>
    </row>
    <row r="1293" spans="1:1" x14ac:dyDescent="0.2">
      <c r="A1293" s="2"/>
    </row>
    <row r="1294" spans="1:1" x14ac:dyDescent="0.2">
      <c r="A1294" s="2"/>
    </row>
    <row r="1295" spans="1:1" x14ac:dyDescent="0.2">
      <c r="A1295" s="2"/>
    </row>
    <row r="1296" spans="1:1" x14ac:dyDescent="0.2">
      <c r="A1296" s="2"/>
    </row>
    <row r="1297" spans="1:1" x14ac:dyDescent="0.2">
      <c r="A1297" s="2"/>
    </row>
    <row r="1298" spans="1:1" x14ac:dyDescent="0.2">
      <c r="A1298" s="2"/>
    </row>
    <row r="1299" spans="1:1" x14ac:dyDescent="0.2">
      <c r="A1299" s="2"/>
    </row>
    <row r="1300" spans="1:1" x14ac:dyDescent="0.2">
      <c r="A1300" s="2"/>
    </row>
    <row r="1301" spans="1:1" x14ac:dyDescent="0.2">
      <c r="A1301" s="2"/>
    </row>
    <row r="1302" spans="1:1" x14ac:dyDescent="0.2">
      <c r="A1302" s="2"/>
    </row>
    <row r="1303" spans="1:1" x14ac:dyDescent="0.2">
      <c r="A1303" s="2"/>
    </row>
    <row r="1304" spans="1:1" x14ac:dyDescent="0.2">
      <c r="A1304" s="2"/>
    </row>
    <row r="1305" spans="1:1" x14ac:dyDescent="0.2">
      <c r="A1305" s="2"/>
    </row>
    <row r="1306" spans="1:1" x14ac:dyDescent="0.2">
      <c r="A1306" s="2"/>
    </row>
    <row r="1307" spans="1:1" x14ac:dyDescent="0.2">
      <c r="A1307" s="2"/>
    </row>
    <row r="1308" spans="1:1" x14ac:dyDescent="0.2">
      <c r="A1308" s="2"/>
    </row>
    <row r="1309" spans="1:1" x14ac:dyDescent="0.2">
      <c r="A1309" s="2"/>
    </row>
    <row r="1310" spans="1:1" x14ac:dyDescent="0.2">
      <c r="A1310" s="2"/>
    </row>
    <row r="1311" spans="1:1" x14ac:dyDescent="0.2">
      <c r="A1311" s="2"/>
    </row>
    <row r="1312" spans="1:1" x14ac:dyDescent="0.2">
      <c r="A1312" s="2"/>
    </row>
    <row r="1313" spans="1:1" x14ac:dyDescent="0.2">
      <c r="A1313" s="2"/>
    </row>
    <row r="1314" spans="1:1" x14ac:dyDescent="0.2">
      <c r="A1314" s="2"/>
    </row>
    <row r="1315" spans="1:1" x14ac:dyDescent="0.2">
      <c r="A1315" s="2"/>
    </row>
    <row r="1316" spans="1:1" x14ac:dyDescent="0.2">
      <c r="A1316" s="2"/>
    </row>
    <row r="1317" spans="1:1" x14ac:dyDescent="0.2">
      <c r="A1317" s="2"/>
    </row>
    <row r="1318" spans="1:1" x14ac:dyDescent="0.2">
      <c r="A1318" s="2"/>
    </row>
    <row r="1319" spans="1:1" x14ac:dyDescent="0.2">
      <c r="A1319" s="2"/>
    </row>
    <row r="1320" spans="1:1" x14ac:dyDescent="0.2">
      <c r="A1320" s="2"/>
    </row>
    <row r="1321" spans="1:1" x14ac:dyDescent="0.2">
      <c r="A1321" s="2"/>
    </row>
    <row r="1322" spans="1:1" x14ac:dyDescent="0.2">
      <c r="A1322" s="2"/>
    </row>
    <row r="1323" spans="1:1" x14ac:dyDescent="0.2">
      <c r="A1323" s="2"/>
    </row>
    <row r="1324" spans="1:1" x14ac:dyDescent="0.2">
      <c r="A1324" s="2"/>
    </row>
    <row r="1325" spans="1:1" x14ac:dyDescent="0.2">
      <c r="A1325" s="2"/>
    </row>
    <row r="1326" spans="1:1" x14ac:dyDescent="0.2">
      <c r="A1326" s="2"/>
    </row>
    <row r="1327" spans="1:1" x14ac:dyDescent="0.2">
      <c r="A1327" s="2"/>
    </row>
    <row r="1328" spans="1:1" x14ac:dyDescent="0.2">
      <c r="A1328" s="2"/>
    </row>
    <row r="1329" spans="1:1" x14ac:dyDescent="0.2">
      <c r="A1329" s="2"/>
    </row>
    <row r="1330" spans="1:1" x14ac:dyDescent="0.2">
      <c r="A1330" s="2"/>
    </row>
    <row r="1331" spans="1:1" x14ac:dyDescent="0.2">
      <c r="A1331" s="2"/>
    </row>
    <row r="1332" spans="1:1" x14ac:dyDescent="0.2">
      <c r="A1332" s="2"/>
    </row>
    <row r="1333" spans="1:1" x14ac:dyDescent="0.2">
      <c r="A1333" s="2"/>
    </row>
    <row r="1334" spans="1:1" x14ac:dyDescent="0.2">
      <c r="A1334" s="2"/>
    </row>
    <row r="1335" spans="1:1" x14ac:dyDescent="0.2">
      <c r="A1335" s="2"/>
    </row>
    <row r="1336" spans="1:1" x14ac:dyDescent="0.2">
      <c r="A1336" s="2"/>
    </row>
    <row r="1337" spans="1:1" x14ac:dyDescent="0.2">
      <c r="A1337" s="2"/>
    </row>
    <row r="1338" spans="1:1" x14ac:dyDescent="0.2">
      <c r="A1338" s="2"/>
    </row>
    <row r="1339" spans="1:1" x14ac:dyDescent="0.2">
      <c r="A1339" s="2"/>
    </row>
    <row r="1340" spans="1:1" x14ac:dyDescent="0.2">
      <c r="A1340" s="2"/>
    </row>
    <row r="1341" spans="1:1" x14ac:dyDescent="0.2">
      <c r="A1341" s="2"/>
    </row>
    <row r="1342" spans="1:1" x14ac:dyDescent="0.2">
      <c r="A1342" s="2"/>
    </row>
    <row r="1343" spans="1:1" x14ac:dyDescent="0.2">
      <c r="A1343" s="2"/>
    </row>
    <row r="1344" spans="1:1" x14ac:dyDescent="0.2">
      <c r="A1344" s="2"/>
    </row>
    <row r="1345" spans="1:1" x14ac:dyDescent="0.2">
      <c r="A1345" s="2"/>
    </row>
    <row r="1346" spans="1:1" x14ac:dyDescent="0.2">
      <c r="A1346" s="2"/>
    </row>
    <row r="1347" spans="1:1" x14ac:dyDescent="0.2">
      <c r="A1347" s="2"/>
    </row>
    <row r="1348" spans="1:1" x14ac:dyDescent="0.2">
      <c r="A1348" s="2"/>
    </row>
    <row r="1349" spans="1:1" x14ac:dyDescent="0.2">
      <c r="A1349" s="2"/>
    </row>
    <row r="1350" spans="1:1" x14ac:dyDescent="0.2">
      <c r="A1350" s="2"/>
    </row>
    <row r="1351" spans="1:1" x14ac:dyDescent="0.2">
      <c r="A1351" s="2"/>
    </row>
    <row r="1352" spans="1:1" x14ac:dyDescent="0.2">
      <c r="A1352" s="2"/>
    </row>
    <row r="1353" spans="1:1" x14ac:dyDescent="0.2">
      <c r="A1353" s="2"/>
    </row>
    <row r="1354" spans="1:1" x14ac:dyDescent="0.2">
      <c r="A1354" s="2"/>
    </row>
    <row r="1355" spans="1:1" x14ac:dyDescent="0.2">
      <c r="A1355" s="2"/>
    </row>
    <row r="1356" spans="1:1" x14ac:dyDescent="0.2">
      <c r="A1356" s="2"/>
    </row>
    <row r="1357" spans="1:1" x14ac:dyDescent="0.2">
      <c r="A1357" s="2"/>
    </row>
    <row r="1358" spans="1:1" x14ac:dyDescent="0.2">
      <c r="A1358" s="2"/>
    </row>
    <row r="1359" spans="1:1" x14ac:dyDescent="0.2">
      <c r="A1359" s="2"/>
    </row>
    <row r="1360" spans="1:1" x14ac:dyDescent="0.2">
      <c r="A1360" s="2"/>
    </row>
    <row r="1361" spans="1:1" x14ac:dyDescent="0.2">
      <c r="A1361" s="2"/>
    </row>
    <row r="1362" spans="1:1" x14ac:dyDescent="0.2">
      <c r="A1362" s="2"/>
    </row>
    <row r="1363" spans="1:1" x14ac:dyDescent="0.2">
      <c r="A1363" s="2"/>
    </row>
    <row r="1364" spans="1:1" x14ac:dyDescent="0.2">
      <c r="A1364" s="2"/>
    </row>
    <row r="1365" spans="1:1" x14ac:dyDescent="0.2">
      <c r="A1365" s="2"/>
    </row>
    <row r="1366" spans="1:1" x14ac:dyDescent="0.2">
      <c r="A1366" s="2"/>
    </row>
    <row r="1367" spans="1:1" x14ac:dyDescent="0.2">
      <c r="A1367" s="2"/>
    </row>
    <row r="1368" spans="1:1" x14ac:dyDescent="0.2">
      <c r="A1368" s="2"/>
    </row>
    <row r="1369" spans="1:1" x14ac:dyDescent="0.2">
      <c r="A1369" s="2"/>
    </row>
    <row r="1370" spans="1:1" x14ac:dyDescent="0.2">
      <c r="A1370" s="2"/>
    </row>
    <row r="1371" spans="1:1" x14ac:dyDescent="0.2">
      <c r="A1371" s="2"/>
    </row>
    <row r="1372" spans="1:1" x14ac:dyDescent="0.2">
      <c r="A1372" s="2"/>
    </row>
    <row r="1373" spans="1:1" x14ac:dyDescent="0.2">
      <c r="A1373" s="2"/>
    </row>
    <row r="1374" spans="1:1" x14ac:dyDescent="0.2">
      <c r="A1374" s="2"/>
    </row>
    <row r="1375" spans="1:1" x14ac:dyDescent="0.2">
      <c r="A1375" s="2"/>
    </row>
    <row r="1376" spans="1:1" x14ac:dyDescent="0.2">
      <c r="A1376" s="2"/>
    </row>
    <row r="1377" spans="1:1" x14ac:dyDescent="0.2">
      <c r="A1377" s="2"/>
    </row>
    <row r="1378" spans="1:1" x14ac:dyDescent="0.2">
      <c r="A1378" s="2"/>
    </row>
    <row r="1379" spans="1:1" x14ac:dyDescent="0.2">
      <c r="A1379" s="2"/>
    </row>
    <row r="1380" spans="1:1" x14ac:dyDescent="0.2">
      <c r="A1380" s="2"/>
    </row>
    <row r="1381" spans="1:1" x14ac:dyDescent="0.2">
      <c r="A1381" s="2"/>
    </row>
    <row r="1382" spans="1:1" x14ac:dyDescent="0.2">
      <c r="A1382" s="2"/>
    </row>
    <row r="1383" spans="1:1" x14ac:dyDescent="0.2">
      <c r="A1383" s="2"/>
    </row>
    <row r="1384" spans="1:1" x14ac:dyDescent="0.2">
      <c r="A1384" s="2"/>
    </row>
    <row r="1385" spans="1:1" x14ac:dyDescent="0.2">
      <c r="A1385" s="2"/>
    </row>
    <row r="1386" spans="1:1" x14ac:dyDescent="0.2">
      <c r="A1386" s="2"/>
    </row>
    <row r="1387" spans="1:1" x14ac:dyDescent="0.2">
      <c r="A1387" s="2"/>
    </row>
    <row r="1388" spans="1:1" x14ac:dyDescent="0.2">
      <c r="A1388" s="2"/>
    </row>
    <row r="1389" spans="1:1" x14ac:dyDescent="0.2">
      <c r="A1389" s="2"/>
    </row>
    <row r="1390" spans="1:1" x14ac:dyDescent="0.2">
      <c r="A1390" s="2"/>
    </row>
    <row r="1391" spans="1:1" x14ac:dyDescent="0.2">
      <c r="A1391" s="2"/>
    </row>
    <row r="1392" spans="1:1" x14ac:dyDescent="0.2">
      <c r="A1392" s="2"/>
    </row>
    <row r="1393" spans="1:1" x14ac:dyDescent="0.2">
      <c r="A1393" s="2"/>
    </row>
    <row r="1394" spans="1:1" x14ac:dyDescent="0.2">
      <c r="A1394" s="2"/>
    </row>
    <row r="1395" spans="1:1" x14ac:dyDescent="0.2">
      <c r="A1395" s="2"/>
    </row>
    <row r="1396" spans="1:1" x14ac:dyDescent="0.2">
      <c r="A1396" s="2"/>
    </row>
    <row r="1397" spans="1:1" x14ac:dyDescent="0.2">
      <c r="A1397" s="2"/>
    </row>
    <row r="1398" spans="1:1" x14ac:dyDescent="0.2">
      <c r="A1398" s="2"/>
    </row>
    <row r="1399" spans="1:1" x14ac:dyDescent="0.2">
      <c r="A1399" s="2"/>
    </row>
    <row r="1400" spans="1:1" x14ac:dyDescent="0.2">
      <c r="A1400" s="2"/>
    </row>
    <row r="1401" spans="1:1" x14ac:dyDescent="0.2">
      <c r="A1401" s="2"/>
    </row>
    <row r="1402" spans="1:1" x14ac:dyDescent="0.2">
      <c r="A1402" s="2"/>
    </row>
    <row r="1403" spans="1:1" x14ac:dyDescent="0.2">
      <c r="A1403" s="2"/>
    </row>
    <row r="1404" spans="1:1" x14ac:dyDescent="0.2">
      <c r="A1404" s="2"/>
    </row>
    <row r="1405" spans="1:1" x14ac:dyDescent="0.2">
      <c r="A1405" s="2"/>
    </row>
    <row r="1406" spans="1:1" x14ac:dyDescent="0.2">
      <c r="A1406" s="2"/>
    </row>
    <row r="1407" spans="1:1" x14ac:dyDescent="0.2">
      <c r="A1407" s="2"/>
    </row>
    <row r="1408" spans="1:1" x14ac:dyDescent="0.2">
      <c r="A1408" s="2"/>
    </row>
    <row r="1409" spans="1:1" x14ac:dyDescent="0.2">
      <c r="A1409" s="2"/>
    </row>
    <row r="1410" spans="1:1" x14ac:dyDescent="0.2">
      <c r="A1410" s="2"/>
    </row>
    <row r="1411" spans="1:1" x14ac:dyDescent="0.2">
      <c r="A1411" s="2"/>
    </row>
    <row r="1412" spans="1:1" x14ac:dyDescent="0.2">
      <c r="A1412" s="2"/>
    </row>
    <row r="1413" spans="1:1" x14ac:dyDescent="0.2">
      <c r="A1413" s="2"/>
    </row>
    <row r="1414" spans="1:1" x14ac:dyDescent="0.2">
      <c r="A1414" s="2"/>
    </row>
    <row r="1415" spans="1:1" x14ac:dyDescent="0.2">
      <c r="A1415" s="2"/>
    </row>
    <row r="1416" spans="1:1" x14ac:dyDescent="0.2">
      <c r="A1416" s="2"/>
    </row>
    <row r="1417" spans="1:1" x14ac:dyDescent="0.2">
      <c r="A1417" s="2"/>
    </row>
    <row r="1418" spans="1:1" x14ac:dyDescent="0.2">
      <c r="A1418" s="2"/>
    </row>
    <row r="1419" spans="1:1" x14ac:dyDescent="0.2">
      <c r="A1419" s="2"/>
    </row>
    <row r="1420" spans="1:1" x14ac:dyDescent="0.2">
      <c r="A1420" s="2"/>
    </row>
    <row r="1421" spans="1:1" x14ac:dyDescent="0.2">
      <c r="A1421" s="2"/>
    </row>
    <row r="1422" spans="1:1" x14ac:dyDescent="0.2">
      <c r="A1422" s="2"/>
    </row>
    <row r="1423" spans="1:1" x14ac:dyDescent="0.2">
      <c r="A1423" s="2"/>
    </row>
    <row r="1424" spans="1:1" x14ac:dyDescent="0.2">
      <c r="A1424" s="2"/>
    </row>
    <row r="1425" spans="1:1" x14ac:dyDescent="0.2">
      <c r="A1425" s="2"/>
    </row>
    <row r="1426" spans="1:1" x14ac:dyDescent="0.2">
      <c r="A1426" s="2"/>
    </row>
    <row r="1427" spans="1:1" x14ac:dyDescent="0.2">
      <c r="A1427" s="2"/>
    </row>
    <row r="1428" spans="1:1" x14ac:dyDescent="0.2">
      <c r="A1428" s="2"/>
    </row>
    <row r="1429" spans="1:1" x14ac:dyDescent="0.2">
      <c r="A1429" s="2"/>
    </row>
    <row r="1430" spans="1:1" x14ac:dyDescent="0.2">
      <c r="A1430" s="2"/>
    </row>
    <row r="1431" spans="1:1" x14ac:dyDescent="0.2">
      <c r="A1431" s="2"/>
    </row>
    <row r="1432" spans="1:1" x14ac:dyDescent="0.2">
      <c r="A1432" s="2"/>
    </row>
    <row r="1433" spans="1:1" x14ac:dyDescent="0.2">
      <c r="A1433" s="2"/>
    </row>
    <row r="1434" spans="1:1" x14ac:dyDescent="0.2">
      <c r="A1434" s="2"/>
    </row>
    <row r="1435" spans="1:1" x14ac:dyDescent="0.2">
      <c r="A1435" s="2"/>
    </row>
    <row r="1436" spans="1:1" x14ac:dyDescent="0.2">
      <c r="A1436" s="2"/>
    </row>
    <row r="1437" spans="1:1" x14ac:dyDescent="0.2">
      <c r="A1437" s="2"/>
    </row>
    <row r="1438" spans="1:1" x14ac:dyDescent="0.2">
      <c r="A1438" s="2"/>
    </row>
    <row r="1439" spans="1:1" x14ac:dyDescent="0.2">
      <c r="A1439" s="2"/>
    </row>
    <row r="1440" spans="1:1" x14ac:dyDescent="0.2">
      <c r="A1440" s="2"/>
    </row>
    <row r="1441" spans="1:1" x14ac:dyDescent="0.2">
      <c r="A1441" s="2"/>
    </row>
    <row r="1442" spans="1:1" x14ac:dyDescent="0.2">
      <c r="A1442" s="2"/>
    </row>
    <row r="1443" spans="1:1" x14ac:dyDescent="0.2">
      <c r="A1443" s="2"/>
    </row>
    <row r="1444" spans="1:1" x14ac:dyDescent="0.2">
      <c r="A1444" s="2"/>
    </row>
    <row r="1445" spans="1:1" x14ac:dyDescent="0.2">
      <c r="A1445" s="2"/>
    </row>
    <row r="1446" spans="1:1" x14ac:dyDescent="0.2">
      <c r="A1446" s="2"/>
    </row>
    <row r="1447" spans="1:1" x14ac:dyDescent="0.2">
      <c r="A1447" s="2"/>
    </row>
    <row r="1448" spans="1:1" x14ac:dyDescent="0.2">
      <c r="A1448" s="2"/>
    </row>
    <row r="1449" spans="1:1" x14ac:dyDescent="0.2">
      <c r="A1449" s="2"/>
    </row>
    <row r="1450" spans="1:1" x14ac:dyDescent="0.2">
      <c r="A1450" s="2"/>
    </row>
    <row r="1451" spans="1:1" x14ac:dyDescent="0.2">
      <c r="A1451" s="2"/>
    </row>
    <row r="1452" spans="1:1" x14ac:dyDescent="0.2">
      <c r="A1452" s="2"/>
    </row>
    <row r="1453" spans="1:1" x14ac:dyDescent="0.2">
      <c r="A1453" s="2"/>
    </row>
    <row r="1454" spans="1:1" x14ac:dyDescent="0.2">
      <c r="A1454" s="2"/>
    </row>
    <row r="1455" spans="1:1" x14ac:dyDescent="0.2">
      <c r="A1455" s="2"/>
    </row>
    <row r="1456" spans="1:1" x14ac:dyDescent="0.2">
      <c r="A1456" s="2"/>
    </row>
    <row r="1457" spans="1:1" x14ac:dyDescent="0.2">
      <c r="A1457" s="2"/>
    </row>
    <row r="1458" spans="1:1" x14ac:dyDescent="0.2">
      <c r="A1458" s="2"/>
    </row>
    <row r="1459" spans="1:1" x14ac:dyDescent="0.2">
      <c r="A1459" s="2"/>
    </row>
    <row r="1460" spans="1:1" x14ac:dyDescent="0.2">
      <c r="A1460" s="2"/>
    </row>
    <row r="1461" spans="1:1" x14ac:dyDescent="0.2">
      <c r="A1461" s="2"/>
    </row>
    <row r="1462" spans="1:1" x14ac:dyDescent="0.2">
      <c r="A1462" s="2"/>
    </row>
    <row r="1463" spans="1:1" x14ac:dyDescent="0.2">
      <c r="A1463" s="2"/>
    </row>
    <row r="1464" spans="1:1" x14ac:dyDescent="0.2">
      <c r="A1464" s="2"/>
    </row>
    <row r="1465" spans="1:1" x14ac:dyDescent="0.2">
      <c r="A1465" s="2"/>
    </row>
    <row r="1466" spans="1:1" x14ac:dyDescent="0.2">
      <c r="A1466" s="2"/>
    </row>
    <row r="1467" spans="1:1" x14ac:dyDescent="0.2">
      <c r="A1467" s="2"/>
    </row>
    <row r="1468" spans="1:1" x14ac:dyDescent="0.2">
      <c r="A1468" s="2"/>
    </row>
    <row r="1469" spans="1:1" x14ac:dyDescent="0.2">
      <c r="A1469" s="2"/>
    </row>
    <row r="1470" spans="1:1" x14ac:dyDescent="0.2">
      <c r="A1470" s="2"/>
    </row>
    <row r="1471" spans="1:1" x14ac:dyDescent="0.2">
      <c r="A1471" s="2"/>
    </row>
    <row r="1472" spans="1:1" x14ac:dyDescent="0.2">
      <c r="A1472" s="2"/>
    </row>
    <row r="1473" spans="1:1" x14ac:dyDescent="0.2">
      <c r="A1473" s="2"/>
    </row>
    <row r="1474" spans="1:1" x14ac:dyDescent="0.2">
      <c r="A1474" s="2"/>
    </row>
    <row r="1475" spans="1:1" x14ac:dyDescent="0.2">
      <c r="A1475" s="2"/>
    </row>
    <row r="1476" spans="1:1" x14ac:dyDescent="0.2">
      <c r="A1476" s="2"/>
    </row>
    <row r="1477" spans="1:1" x14ac:dyDescent="0.2">
      <c r="A1477" s="2"/>
    </row>
    <row r="1478" spans="1:1" x14ac:dyDescent="0.2">
      <c r="A1478" s="2"/>
    </row>
    <row r="1479" spans="1:1" x14ac:dyDescent="0.2">
      <c r="A1479" s="2"/>
    </row>
    <row r="1480" spans="1:1" x14ac:dyDescent="0.2">
      <c r="A1480" s="2"/>
    </row>
    <row r="1481" spans="1:1" x14ac:dyDescent="0.2">
      <c r="A1481" s="2"/>
    </row>
    <row r="1482" spans="1:1" x14ac:dyDescent="0.2">
      <c r="A1482" s="2"/>
    </row>
    <row r="1483" spans="1:1" x14ac:dyDescent="0.2">
      <c r="A1483" s="2"/>
    </row>
    <row r="1484" spans="1:1" x14ac:dyDescent="0.2">
      <c r="A1484" s="2"/>
    </row>
    <row r="1485" spans="1:1" x14ac:dyDescent="0.2">
      <c r="A1485" s="2"/>
    </row>
    <row r="1486" spans="1:1" x14ac:dyDescent="0.2">
      <c r="A1486" s="2"/>
    </row>
    <row r="1487" spans="1:1" x14ac:dyDescent="0.2">
      <c r="A1487" s="2"/>
    </row>
    <row r="1488" spans="1:1" x14ac:dyDescent="0.2">
      <c r="A1488" s="2"/>
    </row>
    <row r="1489" spans="1:1" x14ac:dyDescent="0.2">
      <c r="A1489" s="2"/>
    </row>
    <row r="1490" spans="1:1" x14ac:dyDescent="0.2">
      <c r="A1490" s="2"/>
    </row>
    <row r="1491" spans="1:1" x14ac:dyDescent="0.2">
      <c r="A1491" s="2"/>
    </row>
    <row r="1492" spans="1:1" x14ac:dyDescent="0.2">
      <c r="A1492" s="2"/>
    </row>
    <row r="1493" spans="1:1" x14ac:dyDescent="0.2">
      <c r="A1493" s="2"/>
    </row>
    <row r="1494" spans="1:1" x14ac:dyDescent="0.2">
      <c r="A1494" s="2"/>
    </row>
    <row r="1495" spans="1:1" x14ac:dyDescent="0.2">
      <c r="A1495" s="2"/>
    </row>
    <row r="1496" spans="1:1" x14ac:dyDescent="0.2">
      <c r="A1496" s="2"/>
    </row>
    <row r="1497" spans="1:1" x14ac:dyDescent="0.2">
      <c r="A1497" s="2"/>
    </row>
    <row r="1498" spans="1:1" x14ac:dyDescent="0.2">
      <c r="A1498" s="2"/>
    </row>
    <row r="1499" spans="1:1" x14ac:dyDescent="0.2">
      <c r="A1499" s="2"/>
    </row>
    <row r="1500" spans="1:1" x14ac:dyDescent="0.2">
      <c r="A1500" s="2"/>
    </row>
    <row r="1501" spans="1:1" x14ac:dyDescent="0.2">
      <c r="A1501" s="2"/>
    </row>
    <row r="1502" spans="1:1" x14ac:dyDescent="0.2">
      <c r="A1502" s="2"/>
    </row>
    <row r="1503" spans="1:1" x14ac:dyDescent="0.2">
      <c r="A1503" s="2"/>
    </row>
    <row r="1504" spans="1:1" x14ac:dyDescent="0.2">
      <c r="A1504" s="2"/>
    </row>
    <row r="1505" spans="1:1" x14ac:dyDescent="0.2">
      <c r="A1505" s="2"/>
    </row>
    <row r="1506" spans="1:1" x14ac:dyDescent="0.2">
      <c r="A1506" s="2"/>
    </row>
    <row r="1507" spans="1:1" x14ac:dyDescent="0.2">
      <c r="A1507" s="2"/>
    </row>
    <row r="1508" spans="1:1" x14ac:dyDescent="0.2">
      <c r="A1508" s="2"/>
    </row>
    <row r="1509" spans="1:1" x14ac:dyDescent="0.2">
      <c r="A1509" s="2"/>
    </row>
    <row r="1510" spans="1:1" x14ac:dyDescent="0.2">
      <c r="A1510" s="2"/>
    </row>
    <row r="1511" spans="1:1" x14ac:dyDescent="0.2">
      <c r="A1511" s="2"/>
    </row>
    <row r="1512" spans="1:1" x14ac:dyDescent="0.2">
      <c r="A1512" s="2"/>
    </row>
    <row r="1513" spans="1:1" x14ac:dyDescent="0.2">
      <c r="A1513" s="2"/>
    </row>
    <row r="1514" spans="1:1" x14ac:dyDescent="0.2">
      <c r="A1514" s="2"/>
    </row>
    <row r="1515" spans="1:1" x14ac:dyDescent="0.2">
      <c r="A1515" s="2"/>
    </row>
    <row r="1516" spans="1:1" x14ac:dyDescent="0.2">
      <c r="A1516" s="2"/>
    </row>
    <row r="1517" spans="1:1" x14ac:dyDescent="0.2">
      <c r="A1517" s="2"/>
    </row>
    <row r="1518" spans="1:1" x14ac:dyDescent="0.2">
      <c r="A1518" s="2"/>
    </row>
    <row r="1519" spans="1:1" x14ac:dyDescent="0.2">
      <c r="A1519" s="2"/>
    </row>
    <row r="1520" spans="1:1" x14ac:dyDescent="0.2">
      <c r="A1520" s="2"/>
    </row>
    <row r="1521" spans="1:1" x14ac:dyDescent="0.2">
      <c r="A1521" s="2"/>
    </row>
    <row r="1522" spans="1:1" x14ac:dyDescent="0.2">
      <c r="A1522" s="2"/>
    </row>
    <row r="1523" spans="1:1" x14ac:dyDescent="0.2">
      <c r="A1523" s="2"/>
    </row>
    <row r="1524" spans="1:1" x14ac:dyDescent="0.2">
      <c r="A1524" s="2"/>
    </row>
    <row r="1525" spans="1:1" x14ac:dyDescent="0.2">
      <c r="A1525" s="2"/>
    </row>
    <row r="1526" spans="1:1" x14ac:dyDescent="0.2">
      <c r="A1526" s="2"/>
    </row>
    <row r="1527" spans="1:1" x14ac:dyDescent="0.2">
      <c r="A1527" s="2"/>
    </row>
    <row r="1528" spans="1:1" x14ac:dyDescent="0.2">
      <c r="A1528" s="2"/>
    </row>
    <row r="1529" spans="1:1" x14ac:dyDescent="0.2">
      <c r="A1529" s="2"/>
    </row>
    <row r="1530" spans="1:1" x14ac:dyDescent="0.2">
      <c r="A1530" s="2"/>
    </row>
    <row r="1531" spans="1:1" x14ac:dyDescent="0.2">
      <c r="A1531" s="2"/>
    </row>
    <row r="1532" spans="1:1" x14ac:dyDescent="0.2">
      <c r="A1532" s="2"/>
    </row>
    <row r="1533" spans="1:1" x14ac:dyDescent="0.2">
      <c r="A1533" s="2"/>
    </row>
    <row r="1534" spans="1:1" x14ac:dyDescent="0.2">
      <c r="A1534" s="2"/>
    </row>
    <row r="1535" spans="1:1" x14ac:dyDescent="0.2">
      <c r="A1535" s="2"/>
    </row>
    <row r="1536" spans="1:1" x14ac:dyDescent="0.2">
      <c r="A1536" s="2"/>
    </row>
    <row r="1537" spans="1:1" x14ac:dyDescent="0.2">
      <c r="A1537" s="2"/>
    </row>
    <row r="1538" spans="1:1" x14ac:dyDescent="0.2">
      <c r="A1538" s="2"/>
    </row>
    <row r="1539" spans="1:1" x14ac:dyDescent="0.2">
      <c r="A1539" s="2"/>
    </row>
    <row r="1540" spans="1:1" x14ac:dyDescent="0.2">
      <c r="A1540" s="2"/>
    </row>
    <row r="1541" spans="1:1" x14ac:dyDescent="0.2">
      <c r="A1541" s="2"/>
    </row>
    <row r="1542" spans="1:1" x14ac:dyDescent="0.2">
      <c r="A1542" s="2"/>
    </row>
    <row r="1543" spans="1:1" x14ac:dyDescent="0.2">
      <c r="A1543" s="2"/>
    </row>
    <row r="1544" spans="1:1" x14ac:dyDescent="0.2">
      <c r="A1544" s="2"/>
    </row>
    <row r="1545" spans="1:1" x14ac:dyDescent="0.2">
      <c r="A1545" s="2"/>
    </row>
    <row r="1546" spans="1:1" x14ac:dyDescent="0.2">
      <c r="A1546" s="2"/>
    </row>
    <row r="1547" spans="1:1" x14ac:dyDescent="0.2">
      <c r="A1547" s="2"/>
    </row>
    <row r="1548" spans="1:1" x14ac:dyDescent="0.2">
      <c r="A1548" s="2"/>
    </row>
    <row r="1549" spans="1:1" x14ac:dyDescent="0.2">
      <c r="A1549" s="2"/>
    </row>
    <row r="1550" spans="1:1" x14ac:dyDescent="0.2">
      <c r="A1550" s="2"/>
    </row>
    <row r="1551" spans="1:1" x14ac:dyDescent="0.2">
      <c r="A1551" s="2"/>
    </row>
    <row r="1552" spans="1:1" x14ac:dyDescent="0.2">
      <c r="A1552" s="2"/>
    </row>
    <row r="1553" spans="1:1" x14ac:dyDescent="0.2">
      <c r="A1553" s="2"/>
    </row>
    <row r="1554" spans="1:1" x14ac:dyDescent="0.2">
      <c r="A1554" s="2"/>
    </row>
    <row r="1555" spans="1:1" x14ac:dyDescent="0.2">
      <c r="A1555" s="2"/>
    </row>
    <row r="1556" spans="1:1" x14ac:dyDescent="0.2">
      <c r="A1556" s="2"/>
    </row>
    <row r="1557" spans="1:1" x14ac:dyDescent="0.2">
      <c r="A1557" s="2"/>
    </row>
    <row r="1558" spans="1:1" x14ac:dyDescent="0.2">
      <c r="A1558" s="2"/>
    </row>
    <row r="1559" spans="1:1" x14ac:dyDescent="0.2">
      <c r="A1559" s="2"/>
    </row>
    <row r="1560" spans="1:1" x14ac:dyDescent="0.2">
      <c r="A1560" s="2"/>
    </row>
    <row r="1561" spans="1:1" x14ac:dyDescent="0.2">
      <c r="A1561" s="2"/>
    </row>
    <row r="1562" spans="1:1" x14ac:dyDescent="0.2">
      <c r="A1562" s="2"/>
    </row>
    <row r="1563" spans="1:1" x14ac:dyDescent="0.2">
      <c r="A1563" s="2"/>
    </row>
    <row r="1564" spans="1:1" x14ac:dyDescent="0.2">
      <c r="A1564" s="2"/>
    </row>
    <row r="1565" spans="1:1" x14ac:dyDescent="0.2">
      <c r="A1565" s="2"/>
    </row>
    <row r="1566" spans="1:1" x14ac:dyDescent="0.2">
      <c r="A1566" s="2"/>
    </row>
    <row r="1567" spans="1:1" x14ac:dyDescent="0.2">
      <c r="A1567" s="2"/>
    </row>
    <row r="1568" spans="1:1" x14ac:dyDescent="0.2">
      <c r="A1568" s="2"/>
    </row>
    <row r="1569" spans="1:1" x14ac:dyDescent="0.2">
      <c r="A1569" s="2"/>
    </row>
    <row r="1570" spans="1:1" x14ac:dyDescent="0.2">
      <c r="A1570" s="2"/>
    </row>
    <row r="1571" spans="1:1" x14ac:dyDescent="0.2">
      <c r="A1571" s="2"/>
    </row>
    <row r="1572" spans="1:1" x14ac:dyDescent="0.2">
      <c r="A1572" s="2"/>
    </row>
    <row r="1573" spans="1:1" x14ac:dyDescent="0.2">
      <c r="A1573" s="2"/>
    </row>
    <row r="1574" spans="1:1" x14ac:dyDescent="0.2">
      <c r="A1574" s="2"/>
    </row>
    <row r="1575" spans="1:1" x14ac:dyDescent="0.2">
      <c r="A1575" s="2"/>
    </row>
    <row r="1576" spans="1:1" x14ac:dyDescent="0.2">
      <c r="A1576" s="2"/>
    </row>
    <row r="1577" spans="1:1" x14ac:dyDescent="0.2">
      <c r="A1577" s="2"/>
    </row>
    <row r="1578" spans="1:1" x14ac:dyDescent="0.2">
      <c r="A1578" s="2"/>
    </row>
    <row r="1579" spans="1:1" x14ac:dyDescent="0.2">
      <c r="A1579" s="2"/>
    </row>
    <row r="1580" spans="1:1" x14ac:dyDescent="0.2">
      <c r="A1580" s="2"/>
    </row>
    <row r="1581" spans="1:1" x14ac:dyDescent="0.2">
      <c r="A1581" s="2"/>
    </row>
    <row r="1582" spans="1:1" x14ac:dyDescent="0.2">
      <c r="A1582" s="2"/>
    </row>
    <row r="1583" spans="1:1" x14ac:dyDescent="0.2">
      <c r="A1583" s="2"/>
    </row>
    <row r="1584" spans="1:1" x14ac:dyDescent="0.2">
      <c r="A1584" s="2"/>
    </row>
    <row r="1585" spans="1:1" x14ac:dyDescent="0.2">
      <c r="A1585" s="2"/>
    </row>
    <row r="1586" spans="1:1" x14ac:dyDescent="0.2">
      <c r="A1586" s="2"/>
    </row>
    <row r="1587" spans="1:1" x14ac:dyDescent="0.2">
      <c r="A1587" s="2"/>
    </row>
    <row r="1588" spans="1:1" x14ac:dyDescent="0.2">
      <c r="A1588" s="2"/>
    </row>
    <row r="1589" spans="1:1" x14ac:dyDescent="0.2">
      <c r="A1589" s="2"/>
    </row>
    <row r="1590" spans="1:1" x14ac:dyDescent="0.2">
      <c r="A1590" s="2"/>
    </row>
    <row r="1591" spans="1:1" x14ac:dyDescent="0.2">
      <c r="A1591" s="2"/>
    </row>
    <row r="1592" spans="1:1" x14ac:dyDescent="0.2">
      <c r="A1592" s="2"/>
    </row>
    <row r="1593" spans="1:1" x14ac:dyDescent="0.2">
      <c r="A1593" s="2"/>
    </row>
    <row r="1594" spans="1:1" x14ac:dyDescent="0.2">
      <c r="A1594" s="2"/>
    </row>
    <row r="1595" spans="1:1" x14ac:dyDescent="0.2">
      <c r="A1595" s="2"/>
    </row>
    <row r="1596" spans="1:1" x14ac:dyDescent="0.2">
      <c r="A1596" s="2"/>
    </row>
    <row r="1597" spans="1:1" x14ac:dyDescent="0.2">
      <c r="A1597" s="2"/>
    </row>
    <row r="1598" spans="1:1" x14ac:dyDescent="0.2">
      <c r="A1598" s="2"/>
    </row>
    <row r="1599" spans="1:1" x14ac:dyDescent="0.2">
      <c r="A1599" s="2"/>
    </row>
    <row r="1600" spans="1:1" x14ac:dyDescent="0.2">
      <c r="A1600" s="2"/>
    </row>
    <row r="1601" spans="1:1" x14ac:dyDescent="0.2">
      <c r="A1601" s="2"/>
    </row>
    <row r="1602" spans="1:1" x14ac:dyDescent="0.2">
      <c r="A1602" s="2"/>
    </row>
    <row r="1603" spans="1:1" x14ac:dyDescent="0.2">
      <c r="A1603" s="2"/>
    </row>
    <row r="1604" spans="1:1" x14ac:dyDescent="0.2">
      <c r="A1604" s="2"/>
    </row>
    <row r="1605" spans="1:1" x14ac:dyDescent="0.2">
      <c r="A1605" s="2"/>
    </row>
    <row r="1606" spans="1:1" x14ac:dyDescent="0.2">
      <c r="A1606" s="2"/>
    </row>
    <row r="1607" spans="1:1" x14ac:dyDescent="0.2">
      <c r="A1607" s="2"/>
    </row>
    <row r="1608" spans="1:1" x14ac:dyDescent="0.2">
      <c r="A1608" s="2"/>
    </row>
    <row r="1609" spans="1:1" x14ac:dyDescent="0.2">
      <c r="A1609" s="2"/>
    </row>
    <row r="1610" spans="1:1" x14ac:dyDescent="0.2">
      <c r="A1610" s="2"/>
    </row>
    <row r="1611" spans="1:1" x14ac:dyDescent="0.2">
      <c r="A1611" s="2"/>
    </row>
    <row r="1612" spans="1:1" x14ac:dyDescent="0.2">
      <c r="A1612" s="2"/>
    </row>
    <row r="1613" spans="1:1" x14ac:dyDescent="0.2">
      <c r="A1613" s="2"/>
    </row>
    <row r="1614" spans="1:1" x14ac:dyDescent="0.2">
      <c r="A1614" s="2"/>
    </row>
    <row r="1615" spans="1:1" x14ac:dyDescent="0.2">
      <c r="A1615" s="2"/>
    </row>
    <row r="1616" spans="1:1" x14ac:dyDescent="0.2">
      <c r="A1616" s="2"/>
    </row>
    <row r="1617" spans="1:1" x14ac:dyDescent="0.2">
      <c r="A1617" s="2"/>
    </row>
    <row r="1618" spans="1:1" x14ac:dyDescent="0.2">
      <c r="A1618" s="2"/>
    </row>
    <row r="1619" spans="1:1" x14ac:dyDescent="0.2">
      <c r="A1619" s="2"/>
    </row>
    <row r="1620" spans="1:1" x14ac:dyDescent="0.2">
      <c r="A1620" s="2"/>
    </row>
    <row r="1621" spans="1:1" x14ac:dyDescent="0.2">
      <c r="A1621" s="2"/>
    </row>
    <row r="1622" spans="1:1" x14ac:dyDescent="0.2">
      <c r="A1622" s="2"/>
    </row>
    <row r="1623" spans="1:1" x14ac:dyDescent="0.2">
      <c r="A1623" s="2"/>
    </row>
    <row r="1624" spans="1:1" x14ac:dyDescent="0.2">
      <c r="A1624" s="2"/>
    </row>
    <row r="1625" spans="1:1" x14ac:dyDescent="0.2">
      <c r="A1625" s="2"/>
    </row>
    <row r="1626" spans="1:1" x14ac:dyDescent="0.2">
      <c r="A1626" s="2"/>
    </row>
    <row r="1627" spans="1:1" x14ac:dyDescent="0.2">
      <c r="A1627" s="2"/>
    </row>
    <row r="1628" spans="1:1" x14ac:dyDescent="0.2">
      <c r="A1628" s="2"/>
    </row>
    <row r="1629" spans="1:1" x14ac:dyDescent="0.2">
      <c r="A1629" s="2"/>
    </row>
    <row r="1630" spans="1:1" x14ac:dyDescent="0.2">
      <c r="A1630" s="2"/>
    </row>
    <row r="1631" spans="1:1" x14ac:dyDescent="0.2">
      <c r="A1631" s="2"/>
    </row>
    <row r="1632" spans="1:1" x14ac:dyDescent="0.2">
      <c r="A1632" s="2"/>
    </row>
    <row r="1633" spans="1:1" x14ac:dyDescent="0.2">
      <c r="A1633" s="2"/>
    </row>
    <row r="1634" spans="1:1" x14ac:dyDescent="0.2">
      <c r="A1634" s="2"/>
    </row>
    <row r="1635" spans="1:1" x14ac:dyDescent="0.2">
      <c r="A1635" s="2"/>
    </row>
    <row r="1636" spans="1:1" x14ac:dyDescent="0.2">
      <c r="A1636" s="2"/>
    </row>
    <row r="1637" spans="1:1" x14ac:dyDescent="0.2">
      <c r="A1637" s="2"/>
    </row>
    <row r="1638" spans="1:1" x14ac:dyDescent="0.2">
      <c r="A1638" s="2"/>
    </row>
    <row r="1639" spans="1:1" x14ac:dyDescent="0.2">
      <c r="A1639" s="2"/>
    </row>
    <row r="1640" spans="1:1" x14ac:dyDescent="0.2">
      <c r="A1640" s="2"/>
    </row>
    <row r="1641" spans="1:1" x14ac:dyDescent="0.2">
      <c r="A1641" s="2"/>
    </row>
    <row r="1642" spans="1:1" x14ac:dyDescent="0.2">
      <c r="A1642" s="2"/>
    </row>
    <row r="1643" spans="1:1" x14ac:dyDescent="0.2">
      <c r="A1643" s="2"/>
    </row>
    <row r="1644" spans="1:1" x14ac:dyDescent="0.2">
      <c r="A1644" s="2"/>
    </row>
    <row r="1645" spans="1:1" x14ac:dyDescent="0.2">
      <c r="A1645" s="2"/>
    </row>
    <row r="1646" spans="1:1" x14ac:dyDescent="0.2">
      <c r="A1646" s="2"/>
    </row>
    <row r="1647" spans="1:1" x14ac:dyDescent="0.2">
      <c r="A1647" s="2"/>
    </row>
    <row r="1648" spans="1:1" x14ac:dyDescent="0.2">
      <c r="A1648" s="2"/>
    </row>
    <row r="1649" spans="1:1" x14ac:dyDescent="0.2">
      <c r="A1649" s="2"/>
    </row>
    <row r="1650" spans="1:1" x14ac:dyDescent="0.2">
      <c r="A1650" s="2"/>
    </row>
    <row r="1651" spans="1:1" x14ac:dyDescent="0.2">
      <c r="A1651" s="2"/>
    </row>
    <row r="1652" spans="1:1" x14ac:dyDescent="0.2">
      <c r="A1652" s="2"/>
    </row>
    <row r="1653" spans="1:1" x14ac:dyDescent="0.2">
      <c r="A1653" s="2"/>
    </row>
    <row r="1654" spans="1:1" x14ac:dyDescent="0.2">
      <c r="A1654" s="2"/>
    </row>
    <row r="1655" spans="1:1" x14ac:dyDescent="0.2">
      <c r="A1655" s="2"/>
    </row>
    <row r="1656" spans="1:1" x14ac:dyDescent="0.2">
      <c r="A1656" s="2"/>
    </row>
    <row r="1657" spans="1:1" x14ac:dyDescent="0.2">
      <c r="A1657" s="2"/>
    </row>
    <row r="1658" spans="1:1" x14ac:dyDescent="0.2">
      <c r="A1658" s="2"/>
    </row>
    <row r="1659" spans="1:1" x14ac:dyDescent="0.2">
      <c r="A1659" s="2"/>
    </row>
    <row r="1660" spans="1:1" x14ac:dyDescent="0.2">
      <c r="A1660" s="2"/>
    </row>
    <row r="1661" spans="1:1" x14ac:dyDescent="0.2">
      <c r="A1661" s="2"/>
    </row>
    <row r="1662" spans="1:1" x14ac:dyDescent="0.2">
      <c r="A1662" s="2"/>
    </row>
    <row r="1663" spans="1:1" x14ac:dyDescent="0.2">
      <c r="A1663" s="2"/>
    </row>
    <row r="1664" spans="1:1" x14ac:dyDescent="0.2">
      <c r="A1664" s="2"/>
    </row>
    <row r="1665" spans="1:1" x14ac:dyDescent="0.2">
      <c r="A1665" s="2"/>
    </row>
    <row r="1666" spans="1:1" x14ac:dyDescent="0.2">
      <c r="A1666" s="2"/>
    </row>
    <row r="1667" spans="1:1" x14ac:dyDescent="0.2">
      <c r="A1667" s="2"/>
    </row>
    <row r="1668" spans="1:1" x14ac:dyDescent="0.2">
      <c r="A1668" s="2"/>
    </row>
    <row r="1669" spans="1:1" x14ac:dyDescent="0.2">
      <c r="A1669" s="2"/>
    </row>
    <row r="1670" spans="1:1" x14ac:dyDescent="0.2">
      <c r="A1670" s="2"/>
    </row>
    <row r="1671" spans="1:1" x14ac:dyDescent="0.2">
      <c r="A1671" s="2"/>
    </row>
    <row r="1672" spans="1:1" x14ac:dyDescent="0.2">
      <c r="A1672" s="2"/>
    </row>
    <row r="1673" spans="1:1" x14ac:dyDescent="0.2">
      <c r="A1673" s="2"/>
    </row>
    <row r="1674" spans="1:1" x14ac:dyDescent="0.2">
      <c r="A1674" s="2"/>
    </row>
    <row r="1675" spans="1:1" x14ac:dyDescent="0.2">
      <c r="A1675" s="2"/>
    </row>
    <row r="1676" spans="1:1" x14ac:dyDescent="0.2">
      <c r="A1676" s="2"/>
    </row>
    <row r="1677" spans="1:1" x14ac:dyDescent="0.2">
      <c r="A1677" s="2"/>
    </row>
    <row r="1678" spans="1:1" x14ac:dyDescent="0.2">
      <c r="A1678" s="2"/>
    </row>
    <row r="1679" spans="1:1" x14ac:dyDescent="0.2">
      <c r="A1679" s="2"/>
    </row>
    <row r="1680" spans="1:1" x14ac:dyDescent="0.2">
      <c r="A1680" s="2"/>
    </row>
    <row r="1681" spans="1:1" x14ac:dyDescent="0.2">
      <c r="A1681" s="2"/>
    </row>
    <row r="1682" spans="1:1" x14ac:dyDescent="0.2">
      <c r="A1682" s="2"/>
    </row>
    <row r="1683" spans="1:1" x14ac:dyDescent="0.2">
      <c r="A1683" s="2"/>
    </row>
    <row r="1684" spans="1:1" x14ac:dyDescent="0.2">
      <c r="A1684" s="2"/>
    </row>
    <row r="1685" spans="1:1" x14ac:dyDescent="0.2">
      <c r="A1685" s="2"/>
    </row>
    <row r="1686" spans="1:1" x14ac:dyDescent="0.2">
      <c r="A1686" s="2"/>
    </row>
    <row r="1687" spans="1:1" x14ac:dyDescent="0.2">
      <c r="A1687" s="2"/>
    </row>
    <row r="1688" spans="1:1" x14ac:dyDescent="0.2">
      <c r="A1688" s="2"/>
    </row>
    <row r="1689" spans="1:1" x14ac:dyDescent="0.2">
      <c r="A1689" s="2"/>
    </row>
    <row r="1690" spans="1:1" x14ac:dyDescent="0.2">
      <c r="A1690" s="2"/>
    </row>
    <row r="1691" spans="1:1" x14ac:dyDescent="0.2">
      <c r="A1691" s="2"/>
    </row>
    <row r="1692" spans="1:1" x14ac:dyDescent="0.2">
      <c r="A1692" s="2"/>
    </row>
    <row r="1693" spans="1:1" x14ac:dyDescent="0.2">
      <c r="A1693" s="2"/>
    </row>
    <row r="1694" spans="1:1" x14ac:dyDescent="0.2">
      <c r="A1694" s="2"/>
    </row>
    <row r="1695" spans="1:1" x14ac:dyDescent="0.2">
      <c r="A1695" s="2"/>
    </row>
    <row r="1696" spans="1:1" x14ac:dyDescent="0.2">
      <c r="A1696" s="2"/>
    </row>
    <row r="1697" spans="1:1" x14ac:dyDescent="0.2">
      <c r="A1697" s="2"/>
    </row>
    <row r="1698" spans="1:1" x14ac:dyDescent="0.2">
      <c r="A1698" s="2"/>
    </row>
    <row r="1699" spans="1:1" x14ac:dyDescent="0.2">
      <c r="A1699" s="2"/>
    </row>
    <row r="1700" spans="1:1" x14ac:dyDescent="0.2">
      <c r="A1700" s="2"/>
    </row>
    <row r="1701" spans="1:1" x14ac:dyDescent="0.2">
      <c r="A1701" s="2"/>
    </row>
    <row r="1702" spans="1:1" x14ac:dyDescent="0.2">
      <c r="A1702" s="2"/>
    </row>
    <row r="1703" spans="1:1" x14ac:dyDescent="0.2">
      <c r="A1703" s="2"/>
    </row>
    <row r="1704" spans="1:1" x14ac:dyDescent="0.2">
      <c r="A1704" s="2"/>
    </row>
    <row r="1705" spans="1:1" x14ac:dyDescent="0.2">
      <c r="A1705" s="2"/>
    </row>
    <row r="1706" spans="1:1" x14ac:dyDescent="0.2">
      <c r="A1706" s="2"/>
    </row>
    <row r="1707" spans="1:1" x14ac:dyDescent="0.2">
      <c r="A1707" s="2"/>
    </row>
    <row r="1708" spans="1:1" x14ac:dyDescent="0.2">
      <c r="A1708" s="2"/>
    </row>
    <row r="1709" spans="1:1" x14ac:dyDescent="0.2">
      <c r="A1709" s="2"/>
    </row>
    <row r="1710" spans="1:1" x14ac:dyDescent="0.2">
      <c r="A1710" s="2"/>
    </row>
    <row r="1711" spans="1:1" x14ac:dyDescent="0.2">
      <c r="A1711" s="2"/>
    </row>
    <row r="1712" spans="1:1" x14ac:dyDescent="0.2">
      <c r="A1712" s="2"/>
    </row>
    <row r="1713" spans="1:1" x14ac:dyDescent="0.2">
      <c r="A1713" s="2"/>
    </row>
    <row r="1714" spans="1:1" x14ac:dyDescent="0.2">
      <c r="A1714" s="2"/>
    </row>
    <row r="1715" spans="1:1" x14ac:dyDescent="0.2">
      <c r="A1715" s="2"/>
    </row>
    <row r="1716" spans="1:1" x14ac:dyDescent="0.2">
      <c r="A1716" s="2"/>
    </row>
    <row r="1717" spans="1:1" x14ac:dyDescent="0.2">
      <c r="A1717" s="2"/>
    </row>
    <row r="1718" spans="1:1" x14ac:dyDescent="0.2">
      <c r="A1718" s="2"/>
    </row>
    <row r="1719" spans="1:1" x14ac:dyDescent="0.2">
      <c r="A1719" s="2"/>
    </row>
    <row r="1720" spans="1:1" x14ac:dyDescent="0.2">
      <c r="A1720" s="2"/>
    </row>
    <row r="1721" spans="1:1" x14ac:dyDescent="0.2">
      <c r="A1721" s="2"/>
    </row>
    <row r="1722" spans="1:1" x14ac:dyDescent="0.2">
      <c r="A1722" s="2"/>
    </row>
    <row r="1723" spans="1:1" x14ac:dyDescent="0.2">
      <c r="A1723" s="2"/>
    </row>
    <row r="1724" spans="1:1" x14ac:dyDescent="0.2">
      <c r="A1724" s="2"/>
    </row>
    <row r="1725" spans="1:1" x14ac:dyDescent="0.2">
      <c r="A1725" s="2"/>
    </row>
    <row r="1726" spans="1:1" x14ac:dyDescent="0.2">
      <c r="A1726" s="2"/>
    </row>
    <row r="1727" spans="1:1" x14ac:dyDescent="0.2">
      <c r="A1727" s="2"/>
    </row>
    <row r="1728" spans="1:1" x14ac:dyDescent="0.2">
      <c r="A1728" s="2"/>
    </row>
    <row r="1729" spans="1:1" x14ac:dyDescent="0.2">
      <c r="A1729" s="2"/>
    </row>
    <row r="1730" spans="1:1" x14ac:dyDescent="0.2">
      <c r="A1730" s="2"/>
    </row>
    <row r="1731" spans="1:1" x14ac:dyDescent="0.2">
      <c r="A1731" s="2"/>
    </row>
    <row r="1732" spans="1:1" x14ac:dyDescent="0.2">
      <c r="A1732" s="2"/>
    </row>
    <row r="1733" spans="1:1" x14ac:dyDescent="0.2">
      <c r="A1733" s="2"/>
    </row>
    <row r="1734" spans="1:1" x14ac:dyDescent="0.2">
      <c r="A1734" s="2"/>
    </row>
    <row r="1735" spans="1:1" x14ac:dyDescent="0.2">
      <c r="A1735" s="2"/>
    </row>
    <row r="1736" spans="1:1" x14ac:dyDescent="0.2">
      <c r="A1736" s="2"/>
    </row>
    <row r="1737" spans="1:1" x14ac:dyDescent="0.2">
      <c r="A1737" s="2"/>
    </row>
    <row r="1738" spans="1:1" x14ac:dyDescent="0.2">
      <c r="A1738" s="2"/>
    </row>
    <row r="1739" spans="1:1" x14ac:dyDescent="0.2">
      <c r="A1739" s="2"/>
    </row>
    <row r="1740" spans="1:1" x14ac:dyDescent="0.2">
      <c r="A1740" s="2"/>
    </row>
    <row r="1741" spans="1:1" x14ac:dyDescent="0.2">
      <c r="A1741" s="2"/>
    </row>
    <row r="1742" spans="1:1" x14ac:dyDescent="0.2">
      <c r="A1742" s="2"/>
    </row>
    <row r="1743" spans="1:1" x14ac:dyDescent="0.2">
      <c r="A1743" s="2"/>
    </row>
    <row r="1744" spans="1:1" x14ac:dyDescent="0.2">
      <c r="A1744" s="2"/>
    </row>
    <row r="1745" spans="1:1" x14ac:dyDescent="0.2">
      <c r="A1745" s="2"/>
    </row>
    <row r="1746" spans="1:1" x14ac:dyDescent="0.2">
      <c r="A1746" s="2"/>
    </row>
    <row r="1747" spans="1:1" x14ac:dyDescent="0.2">
      <c r="A1747" s="2"/>
    </row>
    <row r="1748" spans="1:1" x14ac:dyDescent="0.2">
      <c r="A1748" s="2"/>
    </row>
    <row r="1749" spans="1:1" x14ac:dyDescent="0.2">
      <c r="A1749" s="2"/>
    </row>
    <row r="1750" spans="1:1" x14ac:dyDescent="0.2">
      <c r="A1750" s="2"/>
    </row>
    <row r="1751" spans="1:1" x14ac:dyDescent="0.2">
      <c r="A1751" s="2"/>
    </row>
    <row r="1752" spans="1:1" x14ac:dyDescent="0.2">
      <c r="A1752" s="2"/>
    </row>
    <row r="1753" spans="1:1" x14ac:dyDescent="0.2">
      <c r="A1753" s="2"/>
    </row>
    <row r="1754" spans="1:1" x14ac:dyDescent="0.2">
      <c r="A1754" s="2"/>
    </row>
    <row r="1755" spans="1:1" x14ac:dyDescent="0.2">
      <c r="A1755" s="2"/>
    </row>
    <row r="1756" spans="1:1" x14ac:dyDescent="0.2">
      <c r="A1756" s="2"/>
    </row>
    <row r="1757" spans="1:1" x14ac:dyDescent="0.2">
      <c r="A1757" s="2"/>
    </row>
    <row r="1758" spans="1:1" x14ac:dyDescent="0.2">
      <c r="A1758" s="2"/>
    </row>
    <row r="1759" spans="1:1" x14ac:dyDescent="0.2">
      <c r="A1759" s="2"/>
    </row>
    <row r="1760" spans="1:1" x14ac:dyDescent="0.2">
      <c r="A1760" s="2"/>
    </row>
    <row r="1761" spans="1:1" x14ac:dyDescent="0.2">
      <c r="A1761" s="2"/>
    </row>
    <row r="1762" spans="1:1" x14ac:dyDescent="0.2">
      <c r="A1762" s="2"/>
    </row>
    <row r="1763" spans="1:1" x14ac:dyDescent="0.2">
      <c r="A1763" s="2"/>
    </row>
    <row r="1764" spans="1:1" x14ac:dyDescent="0.2">
      <c r="A1764" s="2"/>
    </row>
    <row r="1765" spans="1:1" x14ac:dyDescent="0.2">
      <c r="A1765" s="2"/>
    </row>
    <row r="1766" spans="1:1" x14ac:dyDescent="0.2">
      <c r="A1766" s="2"/>
    </row>
    <row r="1767" spans="1:1" x14ac:dyDescent="0.2">
      <c r="A1767" s="2"/>
    </row>
    <row r="1768" spans="1:1" x14ac:dyDescent="0.2">
      <c r="A1768" s="2"/>
    </row>
    <row r="1769" spans="1:1" x14ac:dyDescent="0.2">
      <c r="A1769" s="2"/>
    </row>
    <row r="1770" spans="1:1" x14ac:dyDescent="0.2">
      <c r="A1770" s="2"/>
    </row>
    <row r="1771" spans="1:1" x14ac:dyDescent="0.2">
      <c r="A1771" s="2"/>
    </row>
    <row r="1772" spans="1:1" x14ac:dyDescent="0.2">
      <c r="A1772" s="2"/>
    </row>
    <row r="1773" spans="1:1" x14ac:dyDescent="0.2">
      <c r="A1773" s="2"/>
    </row>
    <row r="1774" spans="1:1" x14ac:dyDescent="0.2">
      <c r="A1774" s="2"/>
    </row>
    <row r="1775" spans="1:1" x14ac:dyDescent="0.2">
      <c r="A1775" s="2"/>
    </row>
    <row r="1776" spans="1:1" x14ac:dyDescent="0.2">
      <c r="A1776" s="2"/>
    </row>
    <row r="1777" spans="1:1" x14ac:dyDescent="0.2">
      <c r="A1777" s="2"/>
    </row>
    <row r="1778" spans="1:1" x14ac:dyDescent="0.2">
      <c r="A1778" s="2"/>
    </row>
    <row r="1779" spans="1:1" x14ac:dyDescent="0.2">
      <c r="A1779" s="2"/>
    </row>
    <row r="1780" spans="1:1" x14ac:dyDescent="0.2">
      <c r="A1780" s="2"/>
    </row>
    <row r="1781" spans="1:1" x14ac:dyDescent="0.2">
      <c r="A1781" s="2"/>
    </row>
    <row r="1782" spans="1:1" x14ac:dyDescent="0.2">
      <c r="A1782" s="2"/>
    </row>
    <row r="1783" spans="1:1" x14ac:dyDescent="0.2">
      <c r="A1783" s="2"/>
    </row>
    <row r="1784" spans="1:1" x14ac:dyDescent="0.2">
      <c r="A1784" s="2"/>
    </row>
    <row r="1785" spans="1:1" x14ac:dyDescent="0.2">
      <c r="A1785" s="2"/>
    </row>
    <row r="1786" spans="1:1" x14ac:dyDescent="0.2">
      <c r="A1786" s="2"/>
    </row>
    <row r="1787" spans="1:1" x14ac:dyDescent="0.2">
      <c r="A1787" s="2"/>
    </row>
    <row r="1788" spans="1:1" x14ac:dyDescent="0.2">
      <c r="A1788" s="2"/>
    </row>
    <row r="1789" spans="1:1" x14ac:dyDescent="0.2">
      <c r="A1789" s="2"/>
    </row>
    <row r="1790" spans="1:1" x14ac:dyDescent="0.2">
      <c r="A1790" s="2"/>
    </row>
    <row r="1791" spans="1:1" x14ac:dyDescent="0.2">
      <c r="A1791" s="2"/>
    </row>
    <row r="1792" spans="1:1" x14ac:dyDescent="0.2">
      <c r="A1792" s="2"/>
    </row>
    <row r="1793" spans="1:1" x14ac:dyDescent="0.2">
      <c r="A1793" s="2"/>
    </row>
    <row r="1794" spans="1:1" x14ac:dyDescent="0.2">
      <c r="A1794" s="2"/>
    </row>
    <row r="1795" spans="1:1" x14ac:dyDescent="0.2">
      <c r="A1795" s="2"/>
    </row>
    <row r="1796" spans="1:1" x14ac:dyDescent="0.2">
      <c r="A1796" s="2"/>
    </row>
    <row r="1797" spans="1:1" x14ac:dyDescent="0.2">
      <c r="A1797" s="2"/>
    </row>
    <row r="1798" spans="1:1" x14ac:dyDescent="0.2">
      <c r="A1798" s="2"/>
    </row>
    <row r="1799" spans="1:1" x14ac:dyDescent="0.2">
      <c r="A1799" s="2"/>
    </row>
    <row r="1800" spans="1:1" x14ac:dyDescent="0.2">
      <c r="A1800" s="2"/>
    </row>
    <row r="1801" spans="1:1" x14ac:dyDescent="0.2">
      <c r="A1801" s="2"/>
    </row>
    <row r="1802" spans="1:1" x14ac:dyDescent="0.2">
      <c r="A1802" s="2"/>
    </row>
    <row r="1803" spans="1:1" x14ac:dyDescent="0.2">
      <c r="A1803" s="2"/>
    </row>
    <row r="1804" spans="1:1" x14ac:dyDescent="0.2">
      <c r="A1804" s="2"/>
    </row>
    <row r="1805" spans="1:1" x14ac:dyDescent="0.2">
      <c r="A1805" s="2"/>
    </row>
    <row r="1806" spans="1:1" x14ac:dyDescent="0.2">
      <c r="A1806" s="2"/>
    </row>
    <row r="1807" spans="1:1" x14ac:dyDescent="0.2">
      <c r="A1807" s="2"/>
    </row>
    <row r="1808" spans="1:1" x14ac:dyDescent="0.2">
      <c r="A1808" s="2"/>
    </row>
    <row r="1809" spans="1:1" x14ac:dyDescent="0.2">
      <c r="A1809" s="2"/>
    </row>
    <row r="1810" spans="1:1" x14ac:dyDescent="0.2">
      <c r="A1810" s="2"/>
    </row>
    <row r="1811" spans="1:1" x14ac:dyDescent="0.2">
      <c r="A1811" s="2"/>
    </row>
    <row r="1812" spans="1:1" x14ac:dyDescent="0.2">
      <c r="A1812" s="2"/>
    </row>
    <row r="1813" spans="1:1" x14ac:dyDescent="0.2">
      <c r="A1813" s="2"/>
    </row>
    <row r="1814" spans="1:1" x14ac:dyDescent="0.2">
      <c r="A1814" s="2"/>
    </row>
    <row r="1815" spans="1:1" x14ac:dyDescent="0.2">
      <c r="A1815" s="2"/>
    </row>
    <row r="1816" spans="1:1" x14ac:dyDescent="0.2">
      <c r="A1816" s="2"/>
    </row>
    <row r="1817" spans="1:1" x14ac:dyDescent="0.2">
      <c r="A1817" s="2"/>
    </row>
    <row r="1818" spans="1:1" x14ac:dyDescent="0.2">
      <c r="A1818" s="2"/>
    </row>
    <row r="1819" spans="1:1" x14ac:dyDescent="0.2">
      <c r="A1819" s="2"/>
    </row>
    <row r="1820" spans="1:1" x14ac:dyDescent="0.2">
      <c r="A1820" s="2"/>
    </row>
    <row r="1821" spans="1:1" x14ac:dyDescent="0.2">
      <c r="A1821" s="2"/>
    </row>
    <row r="1822" spans="1:1" x14ac:dyDescent="0.2">
      <c r="A1822" s="2"/>
    </row>
    <row r="1823" spans="1:1" x14ac:dyDescent="0.2">
      <c r="A1823" s="2"/>
    </row>
    <row r="1824" spans="1:1" x14ac:dyDescent="0.2">
      <c r="A1824" s="2"/>
    </row>
    <row r="1825" spans="1:1" x14ac:dyDescent="0.2">
      <c r="A1825" s="2"/>
    </row>
    <row r="1826" spans="1:1" x14ac:dyDescent="0.2">
      <c r="A1826" s="2"/>
    </row>
    <row r="1827" spans="1:1" x14ac:dyDescent="0.2">
      <c r="A1827" s="2"/>
    </row>
    <row r="1828" spans="1:1" x14ac:dyDescent="0.2">
      <c r="A1828" s="2"/>
    </row>
    <row r="1829" spans="1:1" x14ac:dyDescent="0.2">
      <c r="A1829" s="2"/>
    </row>
    <row r="1830" spans="1:1" x14ac:dyDescent="0.2">
      <c r="A1830" s="2"/>
    </row>
    <row r="1831" spans="1:1" x14ac:dyDescent="0.2">
      <c r="A1831" s="2"/>
    </row>
    <row r="1832" spans="1:1" x14ac:dyDescent="0.2">
      <c r="A1832" s="2"/>
    </row>
    <row r="1833" spans="1:1" x14ac:dyDescent="0.2">
      <c r="A1833" s="2"/>
    </row>
    <row r="1834" spans="1:1" x14ac:dyDescent="0.2">
      <c r="A1834" s="2"/>
    </row>
    <row r="1835" spans="1:1" x14ac:dyDescent="0.2">
      <c r="A1835" s="2"/>
    </row>
    <row r="1836" spans="1:1" x14ac:dyDescent="0.2">
      <c r="A1836" s="2"/>
    </row>
    <row r="1837" spans="1:1" x14ac:dyDescent="0.2">
      <c r="A1837" s="2"/>
    </row>
    <row r="1838" spans="1:1" x14ac:dyDescent="0.2">
      <c r="A1838" s="2"/>
    </row>
    <row r="1839" spans="1:1" x14ac:dyDescent="0.2">
      <c r="A1839" s="2"/>
    </row>
    <row r="1840" spans="1:1" x14ac:dyDescent="0.2">
      <c r="A1840" s="2"/>
    </row>
    <row r="1841" spans="1:1" x14ac:dyDescent="0.2">
      <c r="A1841" s="2"/>
    </row>
    <row r="1842" spans="1:1" x14ac:dyDescent="0.2">
      <c r="A1842" s="2"/>
    </row>
    <row r="1843" spans="1:1" x14ac:dyDescent="0.2">
      <c r="A1843" s="2"/>
    </row>
    <row r="1844" spans="1:1" x14ac:dyDescent="0.2">
      <c r="A1844" s="2"/>
    </row>
    <row r="1845" spans="1:1" x14ac:dyDescent="0.2">
      <c r="A1845" s="2"/>
    </row>
    <row r="1846" spans="1:1" x14ac:dyDescent="0.2">
      <c r="A1846" s="2"/>
    </row>
    <row r="1847" spans="1:1" x14ac:dyDescent="0.2">
      <c r="A1847" s="2"/>
    </row>
    <row r="1848" spans="1:1" x14ac:dyDescent="0.2">
      <c r="A1848" s="2"/>
    </row>
    <row r="1849" spans="1:1" x14ac:dyDescent="0.2">
      <c r="A1849" s="2"/>
    </row>
    <row r="1850" spans="1:1" x14ac:dyDescent="0.2">
      <c r="A1850" s="2"/>
    </row>
    <row r="1851" spans="1:1" x14ac:dyDescent="0.2">
      <c r="A1851" s="2"/>
    </row>
    <row r="1852" spans="1:1" x14ac:dyDescent="0.2">
      <c r="A1852" s="2"/>
    </row>
    <row r="1853" spans="1:1" x14ac:dyDescent="0.2">
      <c r="A1853" s="2"/>
    </row>
    <row r="1854" spans="1:1" x14ac:dyDescent="0.2">
      <c r="A1854" s="2"/>
    </row>
    <row r="1855" spans="1:1" x14ac:dyDescent="0.2">
      <c r="A1855" s="2"/>
    </row>
    <row r="1856" spans="1:1" x14ac:dyDescent="0.2">
      <c r="A1856" s="2"/>
    </row>
    <row r="1857" spans="1:1" x14ac:dyDescent="0.2">
      <c r="A1857" s="2"/>
    </row>
    <row r="1858" spans="1:1" x14ac:dyDescent="0.2">
      <c r="A1858" s="2"/>
    </row>
    <row r="1859" spans="1:1" x14ac:dyDescent="0.2">
      <c r="A1859" s="2"/>
    </row>
    <row r="1860" spans="1:1" x14ac:dyDescent="0.2">
      <c r="A1860" s="2"/>
    </row>
    <row r="1861" spans="1:1" x14ac:dyDescent="0.2">
      <c r="A1861" s="2"/>
    </row>
    <row r="1862" spans="1:1" x14ac:dyDescent="0.2">
      <c r="A1862" s="2"/>
    </row>
    <row r="1863" spans="1:1" x14ac:dyDescent="0.2">
      <c r="A1863" s="2"/>
    </row>
    <row r="1864" spans="1:1" x14ac:dyDescent="0.2">
      <c r="A1864" s="2"/>
    </row>
    <row r="1865" spans="1:1" x14ac:dyDescent="0.2">
      <c r="A1865" s="2"/>
    </row>
    <row r="1866" spans="1:1" x14ac:dyDescent="0.2">
      <c r="A1866" s="2"/>
    </row>
    <row r="1867" spans="1:1" x14ac:dyDescent="0.2">
      <c r="A1867" s="2"/>
    </row>
    <row r="1868" spans="1:1" x14ac:dyDescent="0.2">
      <c r="A1868" s="2"/>
    </row>
    <row r="1869" spans="1:1" x14ac:dyDescent="0.2">
      <c r="A1869" s="2"/>
    </row>
    <row r="1870" spans="1:1" x14ac:dyDescent="0.2">
      <c r="A1870" s="2"/>
    </row>
    <row r="1871" spans="1:1" x14ac:dyDescent="0.2">
      <c r="A1871" s="2"/>
    </row>
    <row r="1872" spans="1:1" x14ac:dyDescent="0.2">
      <c r="A1872" s="2"/>
    </row>
    <row r="1873" spans="1:1" x14ac:dyDescent="0.2">
      <c r="A1873" s="2"/>
    </row>
    <row r="1874" spans="1:1" x14ac:dyDescent="0.2">
      <c r="A1874" s="2"/>
    </row>
    <row r="1875" spans="1:1" x14ac:dyDescent="0.2">
      <c r="A1875" s="2"/>
    </row>
    <row r="1876" spans="1:1" x14ac:dyDescent="0.2">
      <c r="A1876" s="2"/>
    </row>
    <row r="1877" spans="1:1" x14ac:dyDescent="0.2">
      <c r="A1877" s="2"/>
    </row>
    <row r="1878" spans="1:1" x14ac:dyDescent="0.2">
      <c r="A1878" s="2"/>
    </row>
    <row r="1879" spans="1:1" x14ac:dyDescent="0.2">
      <c r="A1879" s="2"/>
    </row>
    <row r="1880" spans="1:1" x14ac:dyDescent="0.2">
      <c r="A1880" s="2"/>
    </row>
    <row r="1881" spans="1:1" x14ac:dyDescent="0.2">
      <c r="A1881" s="2"/>
    </row>
    <row r="1882" spans="1:1" x14ac:dyDescent="0.2">
      <c r="A1882" s="2"/>
    </row>
    <row r="1883" spans="1:1" x14ac:dyDescent="0.2">
      <c r="A1883" s="2"/>
    </row>
    <row r="1884" spans="1:1" x14ac:dyDescent="0.2">
      <c r="A1884" s="2"/>
    </row>
    <row r="1885" spans="1:1" x14ac:dyDescent="0.2">
      <c r="A1885" s="2"/>
    </row>
    <row r="1886" spans="1:1" x14ac:dyDescent="0.2">
      <c r="A1886" s="2"/>
    </row>
    <row r="1887" spans="1:1" x14ac:dyDescent="0.2">
      <c r="A1887" s="2"/>
    </row>
    <row r="1888" spans="1:1" x14ac:dyDescent="0.2">
      <c r="A1888" s="2"/>
    </row>
    <row r="1889" spans="1:1" x14ac:dyDescent="0.2">
      <c r="A1889" s="2"/>
    </row>
    <row r="1890" spans="1:1" x14ac:dyDescent="0.2">
      <c r="A1890" s="2"/>
    </row>
    <row r="1891" spans="1:1" x14ac:dyDescent="0.2">
      <c r="A1891" s="2"/>
    </row>
    <row r="1892" spans="1:1" x14ac:dyDescent="0.2">
      <c r="A1892" s="2"/>
    </row>
    <row r="1893" spans="1:1" x14ac:dyDescent="0.2">
      <c r="A1893" s="2"/>
    </row>
    <row r="1894" spans="1:1" x14ac:dyDescent="0.2">
      <c r="A1894" s="2"/>
    </row>
    <row r="1895" spans="1:1" x14ac:dyDescent="0.2">
      <c r="A1895" s="2"/>
    </row>
    <row r="1896" spans="1:1" x14ac:dyDescent="0.2">
      <c r="A1896" s="2"/>
    </row>
    <row r="1897" spans="1:1" x14ac:dyDescent="0.2">
      <c r="A1897" s="2"/>
    </row>
    <row r="1898" spans="1:1" x14ac:dyDescent="0.2">
      <c r="A1898" s="2"/>
    </row>
    <row r="1899" spans="1:1" x14ac:dyDescent="0.2">
      <c r="A1899" s="2"/>
    </row>
    <row r="1900" spans="1:1" x14ac:dyDescent="0.2">
      <c r="A1900" s="2"/>
    </row>
    <row r="1901" spans="1:1" x14ac:dyDescent="0.2">
      <c r="A1901" s="2"/>
    </row>
    <row r="1902" spans="1:1" x14ac:dyDescent="0.2">
      <c r="A1902" s="2"/>
    </row>
    <row r="1903" spans="1:1" x14ac:dyDescent="0.2">
      <c r="A1903" s="2"/>
    </row>
    <row r="1904" spans="1:1" x14ac:dyDescent="0.2">
      <c r="A1904" s="2"/>
    </row>
    <row r="1905" spans="1:1" x14ac:dyDescent="0.2">
      <c r="A1905" s="2"/>
    </row>
    <row r="1906" spans="1:1" x14ac:dyDescent="0.2">
      <c r="A1906" s="2"/>
    </row>
    <row r="1907" spans="1:1" x14ac:dyDescent="0.2">
      <c r="A1907" s="2"/>
    </row>
    <row r="1908" spans="1:1" x14ac:dyDescent="0.2">
      <c r="A1908" s="2"/>
    </row>
    <row r="1909" spans="1:1" x14ac:dyDescent="0.2">
      <c r="A1909" s="2"/>
    </row>
    <row r="1910" spans="1:1" x14ac:dyDescent="0.2">
      <c r="A1910" s="2"/>
    </row>
    <row r="1911" spans="1:1" x14ac:dyDescent="0.2">
      <c r="A1911" s="2"/>
    </row>
    <row r="1912" spans="1:1" x14ac:dyDescent="0.2">
      <c r="A1912" s="2"/>
    </row>
    <row r="1913" spans="1:1" x14ac:dyDescent="0.2">
      <c r="A1913" s="2"/>
    </row>
    <row r="1914" spans="1:1" x14ac:dyDescent="0.2">
      <c r="A1914" s="2"/>
    </row>
    <row r="1915" spans="1:1" x14ac:dyDescent="0.2">
      <c r="A1915" s="2"/>
    </row>
    <row r="1916" spans="1:1" x14ac:dyDescent="0.2">
      <c r="A1916" s="2"/>
    </row>
    <row r="1917" spans="1:1" x14ac:dyDescent="0.2">
      <c r="A1917" s="2"/>
    </row>
    <row r="1918" spans="1:1" x14ac:dyDescent="0.2">
      <c r="A1918" s="2"/>
    </row>
    <row r="1919" spans="1:1" x14ac:dyDescent="0.2">
      <c r="A1919" s="2"/>
    </row>
    <row r="1920" spans="1:1" x14ac:dyDescent="0.2">
      <c r="A1920" s="2"/>
    </row>
    <row r="1921" spans="1:1" x14ac:dyDescent="0.2">
      <c r="A1921" s="2"/>
    </row>
    <row r="1922" spans="1:1" x14ac:dyDescent="0.2">
      <c r="A1922" s="2"/>
    </row>
    <row r="1923" spans="1:1" x14ac:dyDescent="0.2">
      <c r="A1923" s="2"/>
    </row>
    <row r="1924" spans="1:1" x14ac:dyDescent="0.2">
      <c r="A1924" s="2"/>
    </row>
    <row r="1925" spans="1:1" x14ac:dyDescent="0.2">
      <c r="A1925" s="2"/>
    </row>
    <row r="1926" spans="1:1" x14ac:dyDescent="0.2">
      <c r="A1926" s="2"/>
    </row>
    <row r="1927" spans="1:1" x14ac:dyDescent="0.2">
      <c r="A1927" s="2"/>
    </row>
    <row r="1928" spans="1:1" x14ac:dyDescent="0.2">
      <c r="A1928" s="2"/>
    </row>
    <row r="1929" spans="1:1" x14ac:dyDescent="0.2">
      <c r="A1929" s="2"/>
    </row>
    <row r="1930" spans="1:1" x14ac:dyDescent="0.2">
      <c r="A1930" s="2"/>
    </row>
    <row r="1931" spans="1:1" x14ac:dyDescent="0.2">
      <c r="A1931" s="2"/>
    </row>
    <row r="1932" spans="1:1" x14ac:dyDescent="0.2">
      <c r="A1932" s="2"/>
    </row>
    <row r="1933" spans="1:1" x14ac:dyDescent="0.2">
      <c r="A1933" s="2"/>
    </row>
    <row r="1934" spans="1:1" x14ac:dyDescent="0.2">
      <c r="A1934" s="2"/>
    </row>
    <row r="1935" spans="1:1" x14ac:dyDescent="0.2">
      <c r="A1935" s="2"/>
    </row>
    <row r="1936" spans="1:1" x14ac:dyDescent="0.2">
      <c r="A1936" s="2"/>
    </row>
    <row r="1937" spans="1:1" x14ac:dyDescent="0.2">
      <c r="A1937" s="2"/>
    </row>
    <row r="1938" spans="1:1" x14ac:dyDescent="0.2">
      <c r="A1938" s="2"/>
    </row>
    <row r="1939" spans="1:1" x14ac:dyDescent="0.2">
      <c r="A1939" s="2"/>
    </row>
    <row r="1940" spans="1:1" x14ac:dyDescent="0.2">
      <c r="A1940" s="2"/>
    </row>
    <row r="1941" spans="1:1" x14ac:dyDescent="0.2">
      <c r="A1941" s="2"/>
    </row>
    <row r="1942" spans="1:1" x14ac:dyDescent="0.2">
      <c r="A1942" s="2"/>
    </row>
    <row r="1943" spans="1:1" x14ac:dyDescent="0.2">
      <c r="A1943" s="2"/>
    </row>
    <row r="1944" spans="1:1" x14ac:dyDescent="0.2">
      <c r="A1944" s="2"/>
    </row>
    <row r="1945" spans="1:1" x14ac:dyDescent="0.2">
      <c r="A1945" s="2"/>
    </row>
    <row r="1946" spans="1:1" x14ac:dyDescent="0.2">
      <c r="A1946" s="2"/>
    </row>
    <row r="1947" spans="1:1" x14ac:dyDescent="0.2">
      <c r="A1947" s="2"/>
    </row>
    <row r="1948" spans="1:1" x14ac:dyDescent="0.2">
      <c r="A1948" s="2"/>
    </row>
    <row r="1949" spans="1:1" x14ac:dyDescent="0.2">
      <c r="A1949" s="2"/>
    </row>
    <row r="1950" spans="1:1" x14ac:dyDescent="0.2">
      <c r="A1950" s="2"/>
    </row>
    <row r="1951" spans="1:1" x14ac:dyDescent="0.2">
      <c r="A1951" s="2"/>
    </row>
    <row r="1952" spans="1:1" x14ac:dyDescent="0.2">
      <c r="A1952" s="2"/>
    </row>
    <row r="1953" spans="1:1" x14ac:dyDescent="0.2">
      <c r="A1953" s="2"/>
    </row>
    <row r="1954" spans="1:1" x14ac:dyDescent="0.2">
      <c r="A1954" s="2"/>
    </row>
    <row r="1955" spans="1:1" x14ac:dyDescent="0.2">
      <c r="A1955" s="2"/>
    </row>
    <row r="1956" spans="1:1" x14ac:dyDescent="0.2">
      <c r="A1956" s="2"/>
    </row>
    <row r="1957" spans="1:1" x14ac:dyDescent="0.2">
      <c r="A1957" s="2"/>
    </row>
    <row r="1958" spans="1:1" x14ac:dyDescent="0.2">
      <c r="A1958" s="2"/>
    </row>
    <row r="1959" spans="1:1" x14ac:dyDescent="0.2">
      <c r="A1959" s="2"/>
    </row>
    <row r="1960" spans="1:1" x14ac:dyDescent="0.2">
      <c r="A1960" s="2"/>
    </row>
    <row r="1961" spans="1:1" x14ac:dyDescent="0.2">
      <c r="A1961" s="2"/>
    </row>
    <row r="1962" spans="1:1" x14ac:dyDescent="0.2">
      <c r="A1962" s="2"/>
    </row>
    <row r="1963" spans="1:1" x14ac:dyDescent="0.2">
      <c r="A1963" s="2"/>
    </row>
    <row r="1964" spans="1:1" x14ac:dyDescent="0.2">
      <c r="A1964" s="2"/>
    </row>
    <row r="1965" spans="1:1" x14ac:dyDescent="0.2">
      <c r="A1965" s="2"/>
    </row>
    <row r="1966" spans="1:1" x14ac:dyDescent="0.2">
      <c r="A1966" s="2"/>
    </row>
    <row r="1967" spans="1:1" x14ac:dyDescent="0.2">
      <c r="A1967" s="2"/>
    </row>
    <row r="1968" spans="1:1" x14ac:dyDescent="0.2">
      <c r="A1968" s="2"/>
    </row>
    <row r="1969" spans="1:1" x14ac:dyDescent="0.2">
      <c r="A1969" s="2"/>
    </row>
    <row r="1970" spans="1:1" x14ac:dyDescent="0.2">
      <c r="A1970" s="2"/>
    </row>
    <row r="1971" spans="1:1" x14ac:dyDescent="0.2">
      <c r="A1971" s="2"/>
    </row>
    <row r="1972" spans="1:1" x14ac:dyDescent="0.2">
      <c r="A1972" s="2"/>
    </row>
    <row r="1973" spans="1:1" x14ac:dyDescent="0.2">
      <c r="A1973" s="2"/>
    </row>
    <row r="1974" spans="1:1" x14ac:dyDescent="0.2">
      <c r="A1974" s="2"/>
    </row>
    <row r="1975" spans="1:1" x14ac:dyDescent="0.2">
      <c r="A1975" s="2"/>
    </row>
    <row r="1976" spans="1:1" x14ac:dyDescent="0.2">
      <c r="A1976" s="2"/>
    </row>
    <row r="1977" spans="1:1" x14ac:dyDescent="0.2">
      <c r="A1977" s="2"/>
    </row>
    <row r="1978" spans="1:1" x14ac:dyDescent="0.2">
      <c r="A1978" s="2"/>
    </row>
    <row r="1979" spans="1:1" x14ac:dyDescent="0.2">
      <c r="A1979" s="2"/>
    </row>
    <row r="1980" spans="1:1" x14ac:dyDescent="0.2">
      <c r="A1980" s="2"/>
    </row>
    <row r="1981" spans="1:1" x14ac:dyDescent="0.2">
      <c r="A1981" s="2"/>
    </row>
    <row r="1982" spans="1:1" x14ac:dyDescent="0.2">
      <c r="A1982" s="2"/>
    </row>
    <row r="1983" spans="1:1" x14ac:dyDescent="0.2">
      <c r="A1983" s="2"/>
    </row>
    <row r="1984" spans="1:1" x14ac:dyDescent="0.2">
      <c r="A1984" s="2"/>
    </row>
    <row r="1985" spans="1:1" x14ac:dyDescent="0.2">
      <c r="A1985" s="2"/>
    </row>
    <row r="1986" spans="1:1" x14ac:dyDescent="0.2">
      <c r="A1986" s="2"/>
    </row>
    <row r="1987" spans="1:1" x14ac:dyDescent="0.2">
      <c r="A1987" s="2"/>
    </row>
    <row r="1988" spans="1:1" x14ac:dyDescent="0.2">
      <c r="A1988" s="2"/>
    </row>
    <row r="1989" spans="1:1" x14ac:dyDescent="0.2">
      <c r="A1989" s="2"/>
    </row>
    <row r="1990" spans="1:1" x14ac:dyDescent="0.2">
      <c r="A1990" s="2"/>
    </row>
    <row r="1991" spans="1:1" x14ac:dyDescent="0.2">
      <c r="A1991" s="2"/>
    </row>
    <row r="1992" spans="1:1" x14ac:dyDescent="0.2">
      <c r="A1992" s="2"/>
    </row>
    <row r="1993" spans="1:1" x14ac:dyDescent="0.2">
      <c r="A1993" s="2"/>
    </row>
    <row r="1994" spans="1:1" x14ac:dyDescent="0.2">
      <c r="A1994" s="2"/>
    </row>
    <row r="1995" spans="1:1" x14ac:dyDescent="0.2">
      <c r="A1995" s="2"/>
    </row>
    <row r="1996" spans="1:1" x14ac:dyDescent="0.2">
      <c r="A1996" s="2"/>
    </row>
    <row r="1997" spans="1:1" x14ac:dyDescent="0.2">
      <c r="A1997" s="2"/>
    </row>
    <row r="1998" spans="1:1" x14ac:dyDescent="0.2">
      <c r="A1998" s="2"/>
    </row>
    <row r="1999" spans="1:1" x14ac:dyDescent="0.2">
      <c r="A1999" s="2"/>
    </row>
    <row r="2000" spans="1:1" x14ac:dyDescent="0.2">
      <c r="A2000" s="2"/>
    </row>
    <row r="2001" spans="1:1" x14ac:dyDescent="0.2">
      <c r="A2001" s="2"/>
    </row>
    <row r="2002" spans="1:1" x14ac:dyDescent="0.2">
      <c r="A2002" s="2"/>
    </row>
    <row r="2003" spans="1:1" x14ac:dyDescent="0.2">
      <c r="A2003" s="2"/>
    </row>
    <row r="2004" spans="1:1" x14ac:dyDescent="0.2">
      <c r="A2004" s="2"/>
    </row>
    <row r="2005" spans="1:1" x14ac:dyDescent="0.2">
      <c r="A2005" s="2"/>
    </row>
    <row r="2006" spans="1:1" x14ac:dyDescent="0.2">
      <c r="A2006" s="2"/>
    </row>
    <row r="2007" spans="1:1" x14ac:dyDescent="0.2">
      <c r="A2007" s="2"/>
    </row>
    <row r="2008" spans="1:1" x14ac:dyDescent="0.2">
      <c r="A2008" s="2"/>
    </row>
    <row r="2009" spans="1:1" x14ac:dyDescent="0.2">
      <c r="A2009" s="2"/>
    </row>
    <row r="2010" spans="1:1" x14ac:dyDescent="0.2">
      <c r="A2010" s="2"/>
    </row>
    <row r="2011" spans="1:1" x14ac:dyDescent="0.2">
      <c r="A2011" s="2"/>
    </row>
    <row r="2012" spans="1:1" x14ac:dyDescent="0.2">
      <c r="A2012" s="2"/>
    </row>
    <row r="2013" spans="1:1" x14ac:dyDescent="0.2">
      <c r="A2013" s="2"/>
    </row>
    <row r="2014" spans="1:1" x14ac:dyDescent="0.2">
      <c r="A2014" s="2"/>
    </row>
    <row r="2015" spans="1:1" x14ac:dyDescent="0.2">
      <c r="A2015" s="2"/>
    </row>
    <row r="2016" spans="1:1" x14ac:dyDescent="0.2">
      <c r="A2016" s="2"/>
    </row>
    <row r="2017" spans="1:1" x14ac:dyDescent="0.2">
      <c r="A2017" s="2"/>
    </row>
    <row r="2018" spans="1:1" x14ac:dyDescent="0.2">
      <c r="A2018" s="2"/>
    </row>
    <row r="2019" spans="1:1" x14ac:dyDescent="0.2">
      <c r="A2019" s="2"/>
    </row>
    <row r="2020" spans="1:1" x14ac:dyDescent="0.2">
      <c r="A2020" s="2"/>
    </row>
    <row r="2021" spans="1:1" x14ac:dyDescent="0.2">
      <c r="A2021" s="2"/>
    </row>
    <row r="2022" spans="1:1" x14ac:dyDescent="0.2">
      <c r="A2022" s="2"/>
    </row>
    <row r="2023" spans="1:1" x14ac:dyDescent="0.2">
      <c r="A2023" s="2"/>
    </row>
    <row r="2024" spans="1:1" x14ac:dyDescent="0.2">
      <c r="A2024" s="2"/>
    </row>
    <row r="2025" spans="1:1" x14ac:dyDescent="0.2">
      <c r="A2025" s="2"/>
    </row>
    <row r="2026" spans="1:1" x14ac:dyDescent="0.2">
      <c r="A2026" s="2"/>
    </row>
    <row r="2027" spans="1:1" x14ac:dyDescent="0.2">
      <c r="A2027" s="2"/>
    </row>
    <row r="2028" spans="1:1" x14ac:dyDescent="0.2">
      <c r="A2028" s="2"/>
    </row>
    <row r="2029" spans="1:1" x14ac:dyDescent="0.2">
      <c r="A2029" s="2"/>
    </row>
    <row r="2030" spans="1:1" x14ac:dyDescent="0.2">
      <c r="A2030" s="2"/>
    </row>
    <row r="2031" spans="1:1" x14ac:dyDescent="0.2">
      <c r="A2031" s="2"/>
    </row>
    <row r="2032" spans="1:1" x14ac:dyDescent="0.2">
      <c r="A2032" s="2"/>
    </row>
    <row r="2033" spans="1:1" x14ac:dyDescent="0.2">
      <c r="A2033" s="2"/>
    </row>
    <row r="2034" spans="1:1" x14ac:dyDescent="0.2">
      <c r="A2034" s="2"/>
    </row>
    <row r="2035" spans="1:1" x14ac:dyDescent="0.2">
      <c r="A2035" s="2"/>
    </row>
    <row r="2036" spans="1:1" x14ac:dyDescent="0.2">
      <c r="A2036" s="2"/>
    </row>
    <row r="2037" spans="1:1" x14ac:dyDescent="0.2">
      <c r="A2037" s="2"/>
    </row>
    <row r="2038" spans="1:1" x14ac:dyDescent="0.2">
      <c r="A2038" s="2"/>
    </row>
    <row r="2039" spans="1:1" x14ac:dyDescent="0.2">
      <c r="A2039" s="2"/>
    </row>
    <row r="2040" spans="1:1" x14ac:dyDescent="0.2">
      <c r="A2040" s="2"/>
    </row>
    <row r="2041" spans="1:1" x14ac:dyDescent="0.2">
      <c r="A2041" s="2"/>
    </row>
    <row r="2042" spans="1:1" x14ac:dyDescent="0.2">
      <c r="A2042" s="2"/>
    </row>
    <row r="2043" spans="1:1" x14ac:dyDescent="0.2">
      <c r="A2043" s="2"/>
    </row>
    <row r="2044" spans="1:1" x14ac:dyDescent="0.2">
      <c r="A2044" s="2"/>
    </row>
    <row r="2045" spans="1:1" x14ac:dyDescent="0.2">
      <c r="A2045" s="2"/>
    </row>
    <row r="2046" spans="1:1" x14ac:dyDescent="0.2">
      <c r="A2046" s="2"/>
    </row>
    <row r="2047" spans="1:1" x14ac:dyDescent="0.2">
      <c r="A2047" s="2"/>
    </row>
    <row r="2048" spans="1:1" x14ac:dyDescent="0.2">
      <c r="A2048" s="2"/>
    </row>
    <row r="2049" spans="1:1" x14ac:dyDescent="0.2">
      <c r="A2049" s="2"/>
    </row>
    <row r="2050" spans="1:1" x14ac:dyDescent="0.2">
      <c r="A2050" s="2"/>
    </row>
    <row r="2051" spans="1:1" x14ac:dyDescent="0.2">
      <c r="A2051" s="2"/>
    </row>
    <row r="2052" spans="1:1" x14ac:dyDescent="0.2">
      <c r="A2052" s="2"/>
    </row>
    <row r="2053" spans="1:1" x14ac:dyDescent="0.2">
      <c r="A2053" s="2"/>
    </row>
    <row r="2054" spans="1:1" x14ac:dyDescent="0.2">
      <c r="A2054" s="2"/>
    </row>
    <row r="2055" spans="1:1" x14ac:dyDescent="0.2">
      <c r="A2055" s="2"/>
    </row>
    <row r="2056" spans="1:1" x14ac:dyDescent="0.2">
      <c r="A2056" s="2"/>
    </row>
    <row r="2057" spans="1:1" x14ac:dyDescent="0.2">
      <c r="A2057" s="2"/>
    </row>
    <row r="2058" spans="1:1" x14ac:dyDescent="0.2">
      <c r="A2058" s="2"/>
    </row>
    <row r="2059" spans="1:1" x14ac:dyDescent="0.2">
      <c r="A2059" s="2"/>
    </row>
    <row r="2060" spans="1:1" x14ac:dyDescent="0.2">
      <c r="A2060" s="2"/>
    </row>
    <row r="2061" spans="1:1" x14ac:dyDescent="0.2">
      <c r="A2061" s="2"/>
    </row>
    <row r="2062" spans="1:1" x14ac:dyDescent="0.2">
      <c r="A2062" s="2"/>
    </row>
    <row r="2063" spans="1:1" x14ac:dyDescent="0.2">
      <c r="A2063" s="2"/>
    </row>
    <row r="2064" spans="1:1" x14ac:dyDescent="0.2">
      <c r="A2064" s="2"/>
    </row>
    <row r="2065" spans="1:1" x14ac:dyDescent="0.2">
      <c r="A2065" s="2"/>
    </row>
    <row r="2066" spans="1:1" x14ac:dyDescent="0.2">
      <c r="A2066" s="2"/>
    </row>
    <row r="2067" spans="1:1" x14ac:dyDescent="0.2">
      <c r="A2067" s="2"/>
    </row>
    <row r="2068" spans="1:1" x14ac:dyDescent="0.2">
      <c r="A2068" s="2"/>
    </row>
    <row r="2069" spans="1:1" x14ac:dyDescent="0.2">
      <c r="A2069" s="2"/>
    </row>
    <row r="2070" spans="1:1" x14ac:dyDescent="0.2">
      <c r="A2070" s="2"/>
    </row>
    <row r="2071" spans="1:1" x14ac:dyDescent="0.2">
      <c r="A2071" s="2"/>
    </row>
    <row r="2072" spans="1:1" x14ac:dyDescent="0.2">
      <c r="A2072" s="2"/>
    </row>
    <row r="2073" spans="1:1" x14ac:dyDescent="0.2">
      <c r="A2073" s="2"/>
    </row>
    <row r="2074" spans="1:1" x14ac:dyDescent="0.2">
      <c r="A2074" s="2"/>
    </row>
    <row r="2075" spans="1:1" x14ac:dyDescent="0.2">
      <c r="A2075" s="2"/>
    </row>
    <row r="2076" spans="1:1" x14ac:dyDescent="0.2">
      <c r="A2076" s="2"/>
    </row>
    <row r="2077" spans="1:1" x14ac:dyDescent="0.2">
      <c r="A2077" s="2"/>
    </row>
    <row r="2078" spans="1:1" x14ac:dyDescent="0.2">
      <c r="A2078" s="2"/>
    </row>
    <row r="2079" spans="1:1" x14ac:dyDescent="0.2">
      <c r="A2079" s="2"/>
    </row>
    <row r="2080" spans="1:1" x14ac:dyDescent="0.2">
      <c r="A2080" s="2"/>
    </row>
    <row r="2081" spans="1:1" x14ac:dyDescent="0.2">
      <c r="A2081" s="2"/>
    </row>
    <row r="2082" spans="1:1" x14ac:dyDescent="0.2">
      <c r="A2082" s="2"/>
    </row>
    <row r="2083" spans="1:1" x14ac:dyDescent="0.2">
      <c r="A2083" s="2"/>
    </row>
    <row r="2084" spans="1:1" x14ac:dyDescent="0.2">
      <c r="A2084" s="2"/>
    </row>
    <row r="2085" spans="1:1" x14ac:dyDescent="0.2">
      <c r="A2085" s="2"/>
    </row>
    <row r="2086" spans="1:1" x14ac:dyDescent="0.2">
      <c r="A2086" s="2"/>
    </row>
    <row r="2087" spans="1:1" x14ac:dyDescent="0.2">
      <c r="A2087" s="2"/>
    </row>
    <row r="2088" spans="1:1" x14ac:dyDescent="0.2">
      <c r="A2088" s="2"/>
    </row>
    <row r="2089" spans="1:1" x14ac:dyDescent="0.2">
      <c r="A2089" s="2"/>
    </row>
    <row r="2090" spans="1:1" x14ac:dyDescent="0.2">
      <c r="A2090" s="2"/>
    </row>
    <row r="2091" spans="1:1" x14ac:dyDescent="0.2">
      <c r="A2091" s="2"/>
    </row>
    <row r="2092" spans="1:1" x14ac:dyDescent="0.2">
      <c r="A2092" s="2"/>
    </row>
    <row r="2093" spans="1:1" x14ac:dyDescent="0.2">
      <c r="A2093" s="2"/>
    </row>
    <row r="2094" spans="1:1" x14ac:dyDescent="0.2">
      <c r="A2094" s="2"/>
    </row>
    <row r="2095" spans="1:1" x14ac:dyDescent="0.2">
      <c r="A2095" s="2"/>
    </row>
    <row r="2096" spans="1:1" x14ac:dyDescent="0.2">
      <c r="A2096" s="2"/>
    </row>
    <row r="2097" spans="1:1" x14ac:dyDescent="0.2">
      <c r="A2097" s="2"/>
    </row>
    <row r="2098" spans="1:1" x14ac:dyDescent="0.2">
      <c r="A2098" s="2"/>
    </row>
    <row r="2099" spans="1:1" x14ac:dyDescent="0.2">
      <c r="A2099" s="2"/>
    </row>
    <row r="2100" spans="1:1" x14ac:dyDescent="0.2">
      <c r="A2100" s="2"/>
    </row>
    <row r="2101" spans="1:1" x14ac:dyDescent="0.2">
      <c r="A2101" s="2"/>
    </row>
    <row r="2102" spans="1:1" x14ac:dyDescent="0.2">
      <c r="A2102" s="2"/>
    </row>
    <row r="2103" spans="1:1" x14ac:dyDescent="0.2">
      <c r="A2103" s="2"/>
    </row>
    <row r="2104" spans="1:1" x14ac:dyDescent="0.2">
      <c r="A2104" s="2"/>
    </row>
    <row r="2105" spans="1:1" x14ac:dyDescent="0.2">
      <c r="A2105" s="2"/>
    </row>
    <row r="2106" spans="1:1" x14ac:dyDescent="0.2">
      <c r="A2106" s="2"/>
    </row>
    <row r="2107" spans="1:1" x14ac:dyDescent="0.2">
      <c r="A2107" s="2"/>
    </row>
    <row r="2108" spans="1:1" x14ac:dyDescent="0.2">
      <c r="A2108" s="2"/>
    </row>
    <row r="2109" spans="1:1" x14ac:dyDescent="0.2">
      <c r="A2109" s="2"/>
    </row>
    <row r="2110" spans="1:1" x14ac:dyDescent="0.2">
      <c r="A2110" s="2"/>
    </row>
    <row r="2111" spans="1:1" x14ac:dyDescent="0.2">
      <c r="A2111" s="2"/>
    </row>
    <row r="2112" spans="1:1" x14ac:dyDescent="0.2">
      <c r="A2112" s="2"/>
    </row>
    <row r="2113" spans="1:1" x14ac:dyDescent="0.2">
      <c r="A2113" s="2"/>
    </row>
    <row r="2114" spans="1:1" x14ac:dyDescent="0.2">
      <c r="A2114" s="2"/>
    </row>
    <row r="2115" spans="1:1" x14ac:dyDescent="0.2">
      <c r="A2115" s="2"/>
    </row>
    <row r="2116" spans="1:1" x14ac:dyDescent="0.2">
      <c r="A2116" s="2"/>
    </row>
    <row r="2117" spans="1:1" x14ac:dyDescent="0.2">
      <c r="A2117" s="2"/>
    </row>
    <row r="2118" spans="1:1" x14ac:dyDescent="0.2">
      <c r="A2118" s="2"/>
    </row>
    <row r="2119" spans="1:1" x14ac:dyDescent="0.2">
      <c r="A2119" s="2"/>
    </row>
    <row r="2120" spans="1:1" x14ac:dyDescent="0.2">
      <c r="A2120" s="2"/>
    </row>
    <row r="2121" spans="1:1" x14ac:dyDescent="0.2">
      <c r="A2121" s="2"/>
    </row>
    <row r="2122" spans="1:1" x14ac:dyDescent="0.2">
      <c r="A2122" s="2"/>
    </row>
    <row r="2123" spans="1:1" x14ac:dyDescent="0.2">
      <c r="A2123" s="2"/>
    </row>
    <row r="2124" spans="1:1" x14ac:dyDescent="0.2">
      <c r="A2124" s="2"/>
    </row>
    <row r="2125" spans="1:1" x14ac:dyDescent="0.2">
      <c r="A2125" s="2"/>
    </row>
    <row r="2126" spans="1:1" x14ac:dyDescent="0.2">
      <c r="A2126" s="2"/>
    </row>
    <row r="2127" spans="1:1" x14ac:dyDescent="0.2">
      <c r="A2127" s="2"/>
    </row>
    <row r="2128" spans="1:1" x14ac:dyDescent="0.2">
      <c r="A2128" s="2"/>
    </row>
    <row r="2129" spans="1:1" x14ac:dyDescent="0.2">
      <c r="A2129" s="2"/>
    </row>
    <row r="2130" spans="1:1" x14ac:dyDescent="0.2">
      <c r="A2130" s="2"/>
    </row>
    <row r="2131" spans="1:1" x14ac:dyDescent="0.2">
      <c r="A2131" s="2"/>
    </row>
    <row r="2132" spans="1:1" x14ac:dyDescent="0.2">
      <c r="A2132" s="2"/>
    </row>
    <row r="2133" spans="1:1" x14ac:dyDescent="0.2">
      <c r="A2133" s="2"/>
    </row>
    <row r="2134" spans="1:1" x14ac:dyDescent="0.2">
      <c r="A2134" s="2"/>
    </row>
    <row r="2135" spans="1:1" x14ac:dyDescent="0.2">
      <c r="A2135" s="2"/>
    </row>
    <row r="2136" spans="1:1" x14ac:dyDescent="0.2">
      <c r="A2136" s="2"/>
    </row>
    <row r="2137" spans="1:1" x14ac:dyDescent="0.2">
      <c r="A2137" s="2"/>
    </row>
    <row r="2138" spans="1:1" x14ac:dyDescent="0.2">
      <c r="A2138" s="2"/>
    </row>
    <row r="2139" spans="1:1" x14ac:dyDescent="0.2">
      <c r="A2139" s="2"/>
    </row>
    <row r="2140" spans="1:1" x14ac:dyDescent="0.2">
      <c r="A2140" s="2"/>
    </row>
    <row r="2141" spans="1:1" x14ac:dyDescent="0.2">
      <c r="A2141" s="2"/>
    </row>
    <row r="2142" spans="1:1" x14ac:dyDescent="0.2">
      <c r="A2142" s="2"/>
    </row>
    <row r="2143" spans="1:1" x14ac:dyDescent="0.2">
      <c r="A2143" s="2"/>
    </row>
    <row r="2144" spans="1:1" x14ac:dyDescent="0.2">
      <c r="A2144" s="2"/>
    </row>
    <row r="2145" spans="1:1" x14ac:dyDescent="0.2">
      <c r="A2145" s="2"/>
    </row>
    <row r="2146" spans="1:1" x14ac:dyDescent="0.2">
      <c r="A2146" s="2"/>
    </row>
    <row r="2147" spans="1:1" x14ac:dyDescent="0.2">
      <c r="A2147" s="2"/>
    </row>
    <row r="2148" spans="1:1" x14ac:dyDescent="0.2">
      <c r="A2148" s="2"/>
    </row>
    <row r="2149" spans="1:1" x14ac:dyDescent="0.2">
      <c r="A2149" s="2"/>
    </row>
    <row r="2150" spans="1:1" x14ac:dyDescent="0.2">
      <c r="A2150" s="2"/>
    </row>
    <row r="2151" spans="1:1" x14ac:dyDescent="0.2">
      <c r="A2151" s="2"/>
    </row>
    <row r="2152" spans="1:1" x14ac:dyDescent="0.2">
      <c r="A2152" s="2"/>
    </row>
    <row r="2153" spans="1:1" x14ac:dyDescent="0.2">
      <c r="A2153" s="2"/>
    </row>
    <row r="2154" spans="1:1" x14ac:dyDescent="0.2">
      <c r="A2154" s="2"/>
    </row>
    <row r="2155" spans="1:1" x14ac:dyDescent="0.2">
      <c r="A2155" s="2"/>
    </row>
    <row r="2156" spans="1:1" x14ac:dyDescent="0.2">
      <c r="A2156" s="2"/>
    </row>
    <row r="2157" spans="1:1" x14ac:dyDescent="0.2">
      <c r="A2157" s="2"/>
    </row>
    <row r="2158" spans="1:1" x14ac:dyDescent="0.2">
      <c r="A2158" s="2"/>
    </row>
    <row r="2159" spans="1:1" x14ac:dyDescent="0.2">
      <c r="A2159" s="2"/>
    </row>
    <row r="2160" spans="1:1" x14ac:dyDescent="0.2">
      <c r="A2160" s="2"/>
    </row>
    <row r="2161" spans="1:1" x14ac:dyDescent="0.2">
      <c r="A2161" s="2"/>
    </row>
    <row r="2162" spans="1:1" x14ac:dyDescent="0.2">
      <c r="A2162" s="2"/>
    </row>
    <row r="2163" spans="1:1" x14ac:dyDescent="0.2">
      <c r="A2163" s="2"/>
    </row>
    <row r="2164" spans="1:1" x14ac:dyDescent="0.2">
      <c r="A2164" s="2"/>
    </row>
    <row r="2165" spans="1:1" x14ac:dyDescent="0.2">
      <c r="A2165" s="2"/>
    </row>
    <row r="2166" spans="1:1" x14ac:dyDescent="0.2">
      <c r="A2166" s="2"/>
    </row>
    <row r="2167" spans="1:1" x14ac:dyDescent="0.2">
      <c r="A2167" s="2"/>
    </row>
    <row r="2168" spans="1:1" x14ac:dyDescent="0.2">
      <c r="A2168" s="2"/>
    </row>
    <row r="2169" spans="1:1" x14ac:dyDescent="0.2">
      <c r="A2169" s="2"/>
    </row>
    <row r="2170" spans="1:1" x14ac:dyDescent="0.2">
      <c r="A2170" s="2"/>
    </row>
    <row r="2171" spans="1:1" x14ac:dyDescent="0.2">
      <c r="A2171" s="2"/>
    </row>
    <row r="2172" spans="1:1" x14ac:dyDescent="0.2">
      <c r="A2172" s="2"/>
    </row>
    <row r="2173" spans="1:1" x14ac:dyDescent="0.2">
      <c r="A2173" s="2"/>
    </row>
    <row r="2174" spans="1:1" x14ac:dyDescent="0.2">
      <c r="A2174" s="2"/>
    </row>
    <row r="2175" spans="1:1" x14ac:dyDescent="0.2">
      <c r="A2175" s="2"/>
    </row>
    <row r="2176" spans="1:1" x14ac:dyDescent="0.2">
      <c r="A2176" s="2"/>
    </row>
    <row r="2177" spans="1:1" x14ac:dyDescent="0.2">
      <c r="A2177" s="2"/>
    </row>
    <row r="2178" spans="1:1" x14ac:dyDescent="0.2">
      <c r="A2178" s="2"/>
    </row>
    <row r="2179" spans="1:1" x14ac:dyDescent="0.2">
      <c r="A2179" s="2"/>
    </row>
    <row r="2180" spans="1:1" x14ac:dyDescent="0.2">
      <c r="A2180" s="2"/>
    </row>
    <row r="2181" spans="1:1" x14ac:dyDescent="0.2">
      <c r="A2181" s="2"/>
    </row>
    <row r="2182" spans="1:1" x14ac:dyDescent="0.2">
      <c r="A2182" s="2"/>
    </row>
    <row r="2183" spans="1:1" x14ac:dyDescent="0.2">
      <c r="A2183" s="2"/>
    </row>
    <row r="2184" spans="1:1" x14ac:dyDescent="0.2">
      <c r="A2184" s="2"/>
    </row>
    <row r="2185" spans="1:1" x14ac:dyDescent="0.2">
      <c r="A2185" s="2"/>
    </row>
    <row r="2186" spans="1:1" x14ac:dyDescent="0.2">
      <c r="A2186" s="2"/>
    </row>
    <row r="2187" spans="1:1" x14ac:dyDescent="0.2">
      <c r="A2187" s="2"/>
    </row>
    <row r="2188" spans="1:1" x14ac:dyDescent="0.2">
      <c r="A2188" s="2"/>
    </row>
    <row r="2189" spans="1:1" x14ac:dyDescent="0.2">
      <c r="A2189" s="2"/>
    </row>
    <row r="2190" spans="1:1" x14ac:dyDescent="0.2">
      <c r="A2190" s="2"/>
    </row>
    <row r="2191" spans="1:1" x14ac:dyDescent="0.2">
      <c r="A2191" s="2"/>
    </row>
    <row r="2192" spans="1:1" x14ac:dyDescent="0.2">
      <c r="A2192" s="2"/>
    </row>
    <row r="2193" spans="1:1" x14ac:dyDescent="0.2">
      <c r="A2193" s="2"/>
    </row>
    <row r="2194" spans="1:1" x14ac:dyDescent="0.2">
      <c r="A2194" s="2"/>
    </row>
    <row r="2195" spans="1:1" x14ac:dyDescent="0.2">
      <c r="A2195" s="2"/>
    </row>
    <row r="2196" spans="1:1" x14ac:dyDescent="0.2">
      <c r="A2196" s="2"/>
    </row>
    <row r="2197" spans="1:1" x14ac:dyDescent="0.2">
      <c r="A2197" s="2"/>
    </row>
    <row r="2198" spans="1:1" x14ac:dyDescent="0.2">
      <c r="A2198" s="2"/>
    </row>
    <row r="2199" spans="1:1" x14ac:dyDescent="0.2">
      <c r="A2199" s="2"/>
    </row>
    <row r="2200" spans="1:1" x14ac:dyDescent="0.2">
      <c r="A2200" s="2"/>
    </row>
    <row r="2201" spans="1:1" x14ac:dyDescent="0.2">
      <c r="A2201" s="2"/>
    </row>
    <row r="2202" spans="1:1" x14ac:dyDescent="0.2">
      <c r="A2202" s="2"/>
    </row>
    <row r="2203" spans="1:1" x14ac:dyDescent="0.2">
      <c r="A2203" s="2"/>
    </row>
    <row r="2204" spans="1:1" x14ac:dyDescent="0.2">
      <c r="A2204" s="2"/>
    </row>
    <row r="2205" spans="1:1" x14ac:dyDescent="0.2">
      <c r="A2205" s="2"/>
    </row>
    <row r="2206" spans="1:1" x14ac:dyDescent="0.2">
      <c r="A2206" s="2"/>
    </row>
    <row r="2207" spans="1:1" x14ac:dyDescent="0.2">
      <c r="A2207" s="2"/>
    </row>
    <row r="2208" spans="1:1" x14ac:dyDescent="0.2">
      <c r="A2208" s="2"/>
    </row>
    <row r="2209" spans="1:1" x14ac:dyDescent="0.2">
      <c r="A2209" s="2"/>
    </row>
    <row r="2210" spans="1:1" x14ac:dyDescent="0.2">
      <c r="A2210" s="2"/>
    </row>
    <row r="2211" spans="1:1" x14ac:dyDescent="0.2">
      <c r="A2211" s="2"/>
    </row>
    <row r="2212" spans="1:1" x14ac:dyDescent="0.2">
      <c r="A2212" s="2"/>
    </row>
    <row r="2213" spans="1:1" x14ac:dyDescent="0.2">
      <c r="A2213" s="2"/>
    </row>
    <row r="2214" spans="1:1" x14ac:dyDescent="0.2">
      <c r="A2214" s="2"/>
    </row>
    <row r="2215" spans="1:1" x14ac:dyDescent="0.2">
      <c r="A2215" s="2"/>
    </row>
    <row r="2216" spans="1:1" x14ac:dyDescent="0.2">
      <c r="A2216" s="2"/>
    </row>
    <row r="2217" spans="1:1" x14ac:dyDescent="0.2">
      <c r="A2217" s="2"/>
    </row>
    <row r="2218" spans="1:1" x14ac:dyDescent="0.2">
      <c r="A2218" s="2"/>
    </row>
    <row r="2219" spans="1:1" x14ac:dyDescent="0.2">
      <c r="A2219" s="2"/>
    </row>
    <row r="2220" spans="1:1" x14ac:dyDescent="0.2">
      <c r="A2220" s="2"/>
    </row>
    <row r="2221" spans="1:1" x14ac:dyDescent="0.2">
      <c r="A2221" s="2"/>
    </row>
    <row r="2222" spans="1:1" x14ac:dyDescent="0.2">
      <c r="A2222" s="2"/>
    </row>
    <row r="2223" spans="1:1" x14ac:dyDescent="0.2">
      <c r="A2223" s="2"/>
    </row>
    <row r="2224" spans="1:1" x14ac:dyDescent="0.2">
      <c r="A2224" s="2"/>
    </row>
    <row r="2225" spans="1:1" x14ac:dyDescent="0.2">
      <c r="A2225" s="2"/>
    </row>
    <row r="2226" spans="1:1" x14ac:dyDescent="0.2">
      <c r="A2226" s="2"/>
    </row>
    <row r="2227" spans="1:1" x14ac:dyDescent="0.2">
      <c r="A2227" s="2"/>
    </row>
    <row r="2228" spans="1:1" x14ac:dyDescent="0.2">
      <c r="A2228" s="2"/>
    </row>
    <row r="2229" spans="1:1" x14ac:dyDescent="0.2">
      <c r="A2229" s="2"/>
    </row>
    <row r="2230" spans="1:1" x14ac:dyDescent="0.2">
      <c r="A2230" s="2"/>
    </row>
    <row r="2231" spans="1:1" x14ac:dyDescent="0.2">
      <c r="A2231" s="2"/>
    </row>
    <row r="2232" spans="1:1" x14ac:dyDescent="0.2">
      <c r="A2232" s="2"/>
    </row>
    <row r="2233" spans="1:1" x14ac:dyDescent="0.2">
      <c r="A2233" s="2"/>
    </row>
    <row r="2234" spans="1:1" x14ac:dyDescent="0.2">
      <c r="A2234" s="2"/>
    </row>
    <row r="2235" spans="1:1" x14ac:dyDescent="0.2">
      <c r="A2235" s="2"/>
    </row>
    <row r="2236" spans="1:1" x14ac:dyDescent="0.2">
      <c r="A2236" s="2"/>
    </row>
    <row r="2237" spans="1:1" x14ac:dyDescent="0.2">
      <c r="A2237" s="2"/>
    </row>
    <row r="2238" spans="1:1" x14ac:dyDescent="0.2">
      <c r="A2238" s="2"/>
    </row>
    <row r="2239" spans="1:1" x14ac:dyDescent="0.2">
      <c r="A2239" s="2"/>
    </row>
    <row r="2240" spans="1:1" x14ac:dyDescent="0.2">
      <c r="A2240" s="2"/>
    </row>
    <row r="2241" spans="1:1" x14ac:dyDescent="0.2">
      <c r="A2241" s="2"/>
    </row>
    <row r="2242" spans="1:1" x14ac:dyDescent="0.2">
      <c r="A2242" s="2"/>
    </row>
    <row r="2243" spans="1:1" x14ac:dyDescent="0.2">
      <c r="A2243" s="2"/>
    </row>
    <row r="2244" spans="1:1" x14ac:dyDescent="0.2">
      <c r="A2244" s="2"/>
    </row>
    <row r="2245" spans="1:1" x14ac:dyDescent="0.2">
      <c r="A2245" s="2"/>
    </row>
    <row r="2246" spans="1:1" x14ac:dyDescent="0.2">
      <c r="A2246" s="2"/>
    </row>
    <row r="2247" spans="1:1" x14ac:dyDescent="0.2">
      <c r="A2247" s="2"/>
    </row>
    <row r="2248" spans="1:1" x14ac:dyDescent="0.2">
      <c r="A2248" s="2"/>
    </row>
    <row r="2249" spans="1:1" x14ac:dyDescent="0.2">
      <c r="A2249" s="2"/>
    </row>
    <row r="2250" spans="1:1" x14ac:dyDescent="0.2">
      <c r="A2250" s="2"/>
    </row>
    <row r="2251" spans="1:1" x14ac:dyDescent="0.2">
      <c r="A2251" s="2"/>
    </row>
    <row r="2252" spans="1:1" x14ac:dyDescent="0.2">
      <c r="A2252" s="2"/>
    </row>
    <row r="2253" spans="1:1" x14ac:dyDescent="0.2">
      <c r="A2253" s="2"/>
    </row>
    <row r="2254" spans="1:1" x14ac:dyDescent="0.2">
      <c r="A2254" s="2"/>
    </row>
    <row r="2255" spans="1:1" x14ac:dyDescent="0.2">
      <c r="A2255" s="2"/>
    </row>
    <row r="2256" spans="1:1" x14ac:dyDescent="0.2">
      <c r="A2256" s="2"/>
    </row>
    <row r="2257" spans="1:1" x14ac:dyDescent="0.2">
      <c r="A2257" s="2"/>
    </row>
    <row r="2258" spans="1:1" x14ac:dyDescent="0.2">
      <c r="A2258" s="2"/>
    </row>
    <row r="2259" spans="1:1" x14ac:dyDescent="0.2">
      <c r="A2259" s="2"/>
    </row>
    <row r="2260" spans="1:1" x14ac:dyDescent="0.2">
      <c r="A2260" s="2"/>
    </row>
    <row r="2261" spans="1:1" x14ac:dyDescent="0.2">
      <c r="A2261" s="2"/>
    </row>
    <row r="2262" spans="1:1" x14ac:dyDescent="0.2">
      <c r="A2262" s="2"/>
    </row>
    <row r="2263" spans="1:1" x14ac:dyDescent="0.2">
      <c r="A2263" s="2"/>
    </row>
    <row r="2264" spans="1:1" x14ac:dyDescent="0.2">
      <c r="A2264" s="2"/>
    </row>
    <row r="2265" spans="1:1" x14ac:dyDescent="0.2">
      <c r="A2265" s="2"/>
    </row>
    <row r="2266" spans="1:1" x14ac:dyDescent="0.2">
      <c r="A2266" s="2"/>
    </row>
    <row r="2267" spans="1:1" x14ac:dyDescent="0.2">
      <c r="A2267" s="2"/>
    </row>
    <row r="2268" spans="1:1" x14ac:dyDescent="0.2">
      <c r="A2268" s="2"/>
    </row>
    <row r="2269" spans="1:1" x14ac:dyDescent="0.2">
      <c r="A2269" s="2"/>
    </row>
    <row r="2270" spans="1:1" x14ac:dyDescent="0.2">
      <c r="A2270" s="2"/>
    </row>
    <row r="2271" spans="1:1" x14ac:dyDescent="0.2">
      <c r="A2271" s="2"/>
    </row>
    <row r="2272" spans="1:1" x14ac:dyDescent="0.2">
      <c r="A2272" s="2"/>
    </row>
    <row r="2273" spans="1:1" x14ac:dyDescent="0.2">
      <c r="A2273" s="2"/>
    </row>
    <row r="2274" spans="1:1" x14ac:dyDescent="0.2">
      <c r="A2274" s="2"/>
    </row>
    <row r="2275" spans="1:1" x14ac:dyDescent="0.2">
      <c r="A2275" s="2"/>
    </row>
    <row r="2276" spans="1:1" x14ac:dyDescent="0.2">
      <c r="A2276" s="2"/>
    </row>
    <row r="2277" spans="1:1" x14ac:dyDescent="0.2">
      <c r="A2277" s="2"/>
    </row>
    <row r="2278" spans="1:1" x14ac:dyDescent="0.2">
      <c r="A2278" s="2"/>
    </row>
    <row r="2279" spans="1:1" x14ac:dyDescent="0.2">
      <c r="A2279" s="2"/>
    </row>
    <row r="2280" spans="1:1" x14ac:dyDescent="0.2">
      <c r="A2280" s="2"/>
    </row>
    <row r="2281" spans="1:1" x14ac:dyDescent="0.2">
      <c r="A2281" s="2"/>
    </row>
    <row r="2282" spans="1:1" x14ac:dyDescent="0.2">
      <c r="A2282" s="2"/>
    </row>
    <row r="2283" spans="1:1" x14ac:dyDescent="0.2">
      <c r="A2283" s="2"/>
    </row>
    <row r="2284" spans="1:1" x14ac:dyDescent="0.2">
      <c r="A2284" s="2"/>
    </row>
    <row r="2285" spans="1:1" x14ac:dyDescent="0.2">
      <c r="A2285" s="2"/>
    </row>
    <row r="2286" spans="1:1" x14ac:dyDescent="0.2">
      <c r="A2286" s="2"/>
    </row>
    <row r="2287" spans="1:1" x14ac:dyDescent="0.2">
      <c r="A2287" s="2"/>
    </row>
    <row r="2288" spans="1:1" x14ac:dyDescent="0.2">
      <c r="A2288" s="2"/>
    </row>
    <row r="2289" spans="1:1" x14ac:dyDescent="0.2">
      <c r="A2289" s="2"/>
    </row>
    <row r="2290" spans="1:1" x14ac:dyDescent="0.2">
      <c r="A2290" s="2"/>
    </row>
    <row r="2291" spans="1:1" x14ac:dyDescent="0.2">
      <c r="A2291" s="2"/>
    </row>
    <row r="2292" spans="1:1" x14ac:dyDescent="0.2">
      <c r="A2292" s="2"/>
    </row>
    <row r="2293" spans="1:1" x14ac:dyDescent="0.2">
      <c r="A2293" s="2"/>
    </row>
    <row r="2294" spans="1:1" x14ac:dyDescent="0.2">
      <c r="A2294" s="2"/>
    </row>
    <row r="2295" spans="1:1" x14ac:dyDescent="0.2">
      <c r="A2295" s="2"/>
    </row>
    <row r="2296" spans="1:1" x14ac:dyDescent="0.2">
      <c r="A2296" s="2"/>
    </row>
    <row r="2297" spans="1:1" x14ac:dyDescent="0.2">
      <c r="A2297" s="2"/>
    </row>
    <row r="2298" spans="1:1" x14ac:dyDescent="0.2">
      <c r="A2298" s="2"/>
    </row>
    <row r="2299" spans="1:1" x14ac:dyDescent="0.2">
      <c r="A2299" s="2"/>
    </row>
    <row r="2300" spans="1:1" x14ac:dyDescent="0.2">
      <c r="A2300" s="2"/>
    </row>
    <row r="2301" spans="1:1" x14ac:dyDescent="0.2">
      <c r="A2301" s="2"/>
    </row>
    <row r="2302" spans="1:1" x14ac:dyDescent="0.2">
      <c r="A2302" s="2"/>
    </row>
    <row r="2303" spans="1:1" x14ac:dyDescent="0.2">
      <c r="A2303" s="2"/>
    </row>
    <row r="2304" spans="1:1" x14ac:dyDescent="0.2">
      <c r="A2304" s="2"/>
    </row>
    <row r="2305" spans="1:1" x14ac:dyDescent="0.2">
      <c r="A2305" s="2"/>
    </row>
    <row r="2306" spans="1:1" x14ac:dyDescent="0.2">
      <c r="A2306" s="2"/>
    </row>
    <row r="2307" spans="1:1" x14ac:dyDescent="0.2">
      <c r="A2307" s="2"/>
    </row>
    <row r="2308" spans="1:1" x14ac:dyDescent="0.2">
      <c r="A2308" s="2"/>
    </row>
    <row r="2309" spans="1:1" x14ac:dyDescent="0.2">
      <c r="A2309" s="2"/>
    </row>
    <row r="2310" spans="1:1" x14ac:dyDescent="0.2">
      <c r="A2310" s="2"/>
    </row>
    <row r="2311" spans="1:1" x14ac:dyDescent="0.2">
      <c r="A2311" s="2"/>
    </row>
    <row r="2312" spans="1:1" x14ac:dyDescent="0.2">
      <c r="A2312" s="2"/>
    </row>
    <row r="2313" spans="1:1" x14ac:dyDescent="0.2">
      <c r="A2313" s="2"/>
    </row>
    <row r="2314" spans="1:1" x14ac:dyDescent="0.2">
      <c r="A2314" s="2"/>
    </row>
    <row r="2315" spans="1:1" x14ac:dyDescent="0.2">
      <c r="A2315" s="2"/>
    </row>
    <row r="2316" spans="1:1" x14ac:dyDescent="0.2">
      <c r="A2316" s="2"/>
    </row>
    <row r="2317" spans="1:1" x14ac:dyDescent="0.2">
      <c r="A2317" s="2"/>
    </row>
    <row r="2318" spans="1:1" x14ac:dyDescent="0.2">
      <c r="A2318" s="2"/>
    </row>
    <row r="2319" spans="1:1" x14ac:dyDescent="0.2">
      <c r="A2319" s="2"/>
    </row>
    <row r="2320" spans="1:1" x14ac:dyDescent="0.2">
      <c r="A2320" s="2"/>
    </row>
    <row r="2321" spans="1:1" x14ac:dyDescent="0.2">
      <c r="A2321" s="2"/>
    </row>
    <row r="2322" spans="1:1" x14ac:dyDescent="0.2">
      <c r="A2322" s="2"/>
    </row>
    <row r="2323" spans="1:1" x14ac:dyDescent="0.2">
      <c r="A2323" s="2"/>
    </row>
    <row r="2324" spans="1:1" x14ac:dyDescent="0.2">
      <c r="A2324" s="2"/>
    </row>
    <row r="2325" spans="1:1" x14ac:dyDescent="0.2">
      <c r="A2325" s="2"/>
    </row>
    <row r="2326" spans="1:1" x14ac:dyDescent="0.2">
      <c r="A2326" s="2"/>
    </row>
    <row r="2327" spans="1:1" x14ac:dyDescent="0.2">
      <c r="A2327" s="2"/>
    </row>
    <row r="2328" spans="1:1" x14ac:dyDescent="0.2">
      <c r="A2328" s="2"/>
    </row>
    <row r="2329" spans="1:1" x14ac:dyDescent="0.2">
      <c r="A2329" s="2"/>
    </row>
    <row r="2330" spans="1:1" x14ac:dyDescent="0.2">
      <c r="A2330" s="2"/>
    </row>
    <row r="2331" spans="1:1" x14ac:dyDescent="0.2">
      <c r="A2331" s="2"/>
    </row>
    <row r="2332" spans="1:1" x14ac:dyDescent="0.2">
      <c r="A2332" s="2"/>
    </row>
    <row r="2333" spans="1:1" x14ac:dyDescent="0.2">
      <c r="A2333" s="2"/>
    </row>
    <row r="2334" spans="1:1" x14ac:dyDescent="0.2">
      <c r="A2334" s="2"/>
    </row>
    <row r="2335" spans="1:1" x14ac:dyDescent="0.2">
      <c r="A2335" s="2"/>
    </row>
    <row r="2336" spans="1:1" x14ac:dyDescent="0.2">
      <c r="A2336" s="2"/>
    </row>
    <row r="2337" spans="1:1" x14ac:dyDescent="0.2">
      <c r="A2337" s="2"/>
    </row>
    <row r="2338" spans="1:1" x14ac:dyDescent="0.2">
      <c r="A2338" s="2"/>
    </row>
    <row r="2339" spans="1:1" x14ac:dyDescent="0.2">
      <c r="A2339" s="2"/>
    </row>
    <row r="2340" spans="1:1" x14ac:dyDescent="0.2">
      <c r="A2340" s="2"/>
    </row>
    <row r="2341" spans="1:1" x14ac:dyDescent="0.2">
      <c r="A2341" s="2"/>
    </row>
    <row r="2342" spans="1:1" x14ac:dyDescent="0.2">
      <c r="A2342" s="2"/>
    </row>
    <row r="2343" spans="1:1" x14ac:dyDescent="0.2">
      <c r="A2343" s="2"/>
    </row>
    <row r="2344" spans="1:1" x14ac:dyDescent="0.2">
      <c r="A2344" s="2"/>
    </row>
    <row r="2345" spans="1:1" x14ac:dyDescent="0.2">
      <c r="A2345" s="2"/>
    </row>
    <row r="2346" spans="1:1" x14ac:dyDescent="0.2">
      <c r="A2346" s="2"/>
    </row>
    <row r="2347" spans="1:1" x14ac:dyDescent="0.2">
      <c r="A2347" s="2"/>
    </row>
    <row r="2348" spans="1:1" x14ac:dyDescent="0.2">
      <c r="A2348" s="2"/>
    </row>
    <row r="2349" spans="1:1" x14ac:dyDescent="0.2">
      <c r="A2349" s="2"/>
    </row>
    <row r="2350" spans="1:1" x14ac:dyDescent="0.2">
      <c r="A2350" s="2"/>
    </row>
    <row r="2351" spans="1:1" x14ac:dyDescent="0.2">
      <c r="A2351" s="2"/>
    </row>
    <row r="2352" spans="1:1" x14ac:dyDescent="0.2">
      <c r="A2352" s="2"/>
    </row>
    <row r="2353" spans="1:1" x14ac:dyDescent="0.2">
      <c r="A2353" s="2"/>
    </row>
    <row r="2354" spans="1:1" x14ac:dyDescent="0.2">
      <c r="A2354" s="2"/>
    </row>
    <row r="2355" spans="1:1" x14ac:dyDescent="0.2">
      <c r="A2355" s="2"/>
    </row>
    <row r="2356" spans="1:1" x14ac:dyDescent="0.2">
      <c r="A2356" s="2"/>
    </row>
    <row r="2357" spans="1:1" x14ac:dyDescent="0.2">
      <c r="A2357" s="2"/>
    </row>
    <row r="2358" spans="1:1" x14ac:dyDescent="0.2">
      <c r="A2358" s="2"/>
    </row>
    <row r="2359" spans="1:1" x14ac:dyDescent="0.2">
      <c r="A2359" s="2"/>
    </row>
    <row r="2360" spans="1:1" x14ac:dyDescent="0.2">
      <c r="A2360" s="2"/>
    </row>
    <row r="2361" spans="1:1" x14ac:dyDescent="0.2">
      <c r="A2361" s="2"/>
    </row>
    <row r="2362" spans="1:1" x14ac:dyDescent="0.2">
      <c r="A2362" s="2"/>
    </row>
    <row r="2363" spans="1:1" x14ac:dyDescent="0.2">
      <c r="A2363" s="2"/>
    </row>
    <row r="2364" spans="1:1" x14ac:dyDescent="0.2">
      <c r="A2364" s="2"/>
    </row>
    <row r="2365" spans="1:1" x14ac:dyDescent="0.2">
      <c r="A2365" s="2"/>
    </row>
    <row r="2366" spans="1:1" x14ac:dyDescent="0.2">
      <c r="A2366" s="2"/>
    </row>
    <row r="2367" spans="1:1" x14ac:dyDescent="0.2">
      <c r="A2367" s="2"/>
    </row>
    <row r="2368" spans="1:1" x14ac:dyDescent="0.2">
      <c r="A2368" s="2"/>
    </row>
    <row r="2369" spans="1:1" x14ac:dyDescent="0.2">
      <c r="A2369" s="2"/>
    </row>
    <row r="2370" spans="1:1" x14ac:dyDescent="0.2">
      <c r="A2370" s="2"/>
    </row>
    <row r="2371" spans="1:1" x14ac:dyDescent="0.2">
      <c r="A2371" s="2"/>
    </row>
    <row r="2372" spans="1:1" x14ac:dyDescent="0.2">
      <c r="A2372" s="2"/>
    </row>
    <row r="2373" spans="1:1" x14ac:dyDescent="0.2">
      <c r="A2373" s="2"/>
    </row>
    <row r="2374" spans="1:1" x14ac:dyDescent="0.2">
      <c r="A2374" s="2"/>
    </row>
    <row r="2375" spans="1:1" x14ac:dyDescent="0.2">
      <c r="A2375" s="2"/>
    </row>
    <row r="2376" spans="1:1" x14ac:dyDescent="0.2">
      <c r="A2376" s="2"/>
    </row>
    <row r="2377" spans="1:1" x14ac:dyDescent="0.2">
      <c r="A2377" s="2"/>
    </row>
    <row r="2378" spans="1:1" x14ac:dyDescent="0.2">
      <c r="A2378" s="2"/>
    </row>
    <row r="2379" spans="1:1" x14ac:dyDescent="0.2">
      <c r="A2379" s="2"/>
    </row>
    <row r="2380" spans="1:1" x14ac:dyDescent="0.2">
      <c r="A2380" s="2"/>
    </row>
    <row r="2381" spans="1:1" x14ac:dyDescent="0.2">
      <c r="A2381" s="2"/>
    </row>
    <row r="2382" spans="1:1" x14ac:dyDescent="0.2">
      <c r="A2382" s="2"/>
    </row>
    <row r="2383" spans="1:1" x14ac:dyDescent="0.2">
      <c r="A2383" s="2"/>
    </row>
    <row r="2384" spans="1:1" x14ac:dyDescent="0.2">
      <c r="A2384" s="2"/>
    </row>
    <row r="2385" spans="1:1" x14ac:dyDescent="0.2">
      <c r="A2385" s="2"/>
    </row>
    <row r="2386" spans="1:1" x14ac:dyDescent="0.2">
      <c r="A2386" s="2"/>
    </row>
    <row r="2387" spans="1:1" x14ac:dyDescent="0.2">
      <c r="A2387" s="2"/>
    </row>
    <row r="2388" spans="1:1" x14ac:dyDescent="0.2">
      <c r="A2388" s="2"/>
    </row>
    <row r="2389" spans="1:1" x14ac:dyDescent="0.2">
      <c r="A2389" s="2"/>
    </row>
    <row r="2390" spans="1:1" x14ac:dyDescent="0.2">
      <c r="A2390" s="2"/>
    </row>
    <row r="2391" spans="1:1" x14ac:dyDescent="0.2">
      <c r="A2391" s="2"/>
    </row>
    <row r="2392" spans="1:1" x14ac:dyDescent="0.2">
      <c r="A2392" s="2"/>
    </row>
    <row r="2393" spans="1:1" x14ac:dyDescent="0.2">
      <c r="A2393" s="2"/>
    </row>
    <row r="2394" spans="1:1" x14ac:dyDescent="0.2">
      <c r="A2394" s="2"/>
    </row>
    <row r="2395" spans="1:1" x14ac:dyDescent="0.2">
      <c r="A2395" s="2"/>
    </row>
    <row r="2396" spans="1:1" x14ac:dyDescent="0.2">
      <c r="A2396" s="2"/>
    </row>
    <row r="2397" spans="1:1" x14ac:dyDescent="0.2">
      <c r="A2397" s="2"/>
    </row>
    <row r="2398" spans="1:1" x14ac:dyDescent="0.2">
      <c r="A2398" s="2"/>
    </row>
    <row r="2399" spans="1:1" x14ac:dyDescent="0.2">
      <c r="A2399" s="2"/>
    </row>
    <row r="2400" spans="1:1" x14ac:dyDescent="0.2">
      <c r="A2400" s="2"/>
    </row>
    <row r="2401" spans="1:1" x14ac:dyDescent="0.2">
      <c r="A2401" s="2"/>
    </row>
    <row r="2402" spans="1:1" x14ac:dyDescent="0.2">
      <c r="A2402" s="2"/>
    </row>
    <row r="2403" spans="1:1" x14ac:dyDescent="0.2">
      <c r="A2403" s="2"/>
    </row>
    <row r="2404" spans="1:1" x14ac:dyDescent="0.2">
      <c r="A2404" s="2"/>
    </row>
    <row r="2405" spans="1:1" x14ac:dyDescent="0.2">
      <c r="A2405" s="2"/>
    </row>
    <row r="2406" spans="1:1" x14ac:dyDescent="0.2">
      <c r="A2406" s="2"/>
    </row>
    <row r="2407" spans="1:1" x14ac:dyDescent="0.2">
      <c r="A2407" s="2"/>
    </row>
    <row r="2408" spans="1:1" x14ac:dyDescent="0.2">
      <c r="A2408" s="2"/>
    </row>
    <row r="2409" spans="1:1" x14ac:dyDescent="0.2">
      <c r="A2409" s="2"/>
    </row>
    <row r="2410" spans="1:1" x14ac:dyDescent="0.2">
      <c r="A2410" s="2"/>
    </row>
    <row r="2411" spans="1:1" x14ac:dyDescent="0.2">
      <c r="A2411" s="2"/>
    </row>
    <row r="2412" spans="1:1" x14ac:dyDescent="0.2">
      <c r="A2412" s="2"/>
    </row>
    <row r="2413" spans="1:1" x14ac:dyDescent="0.2">
      <c r="A2413" s="2"/>
    </row>
    <row r="2414" spans="1:1" x14ac:dyDescent="0.2">
      <c r="A2414" s="2"/>
    </row>
    <row r="2415" spans="1:1" x14ac:dyDescent="0.2">
      <c r="A2415" s="2"/>
    </row>
    <row r="2416" spans="1:1" x14ac:dyDescent="0.2">
      <c r="A2416" s="2"/>
    </row>
    <row r="2417" spans="1:1" x14ac:dyDescent="0.2">
      <c r="A2417" s="2"/>
    </row>
    <row r="2418" spans="1:1" x14ac:dyDescent="0.2">
      <c r="A2418" s="2"/>
    </row>
    <row r="2419" spans="1:1" x14ac:dyDescent="0.2">
      <c r="A2419" s="2"/>
    </row>
    <row r="2420" spans="1:1" x14ac:dyDescent="0.2">
      <c r="A2420" s="2"/>
    </row>
    <row r="2421" spans="1:1" x14ac:dyDescent="0.2">
      <c r="A2421" s="2"/>
    </row>
    <row r="2422" spans="1:1" x14ac:dyDescent="0.2">
      <c r="A2422" s="2"/>
    </row>
    <row r="2423" spans="1:1" x14ac:dyDescent="0.2">
      <c r="A2423" s="2"/>
    </row>
    <row r="2424" spans="1:1" x14ac:dyDescent="0.2">
      <c r="A2424" s="2"/>
    </row>
    <row r="2425" spans="1:1" x14ac:dyDescent="0.2">
      <c r="A2425" s="2"/>
    </row>
    <row r="2426" spans="1:1" x14ac:dyDescent="0.2">
      <c r="A2426" s="2"/>
    </row>
    <row r="2427" spans="1:1" x14ac:dyDescent="0.2">
      <c r="A2427" s="2"/>
    </row>
    <row r="2428" spans="1:1" x14ac:dyDescent="0.2">
      <c r="A2428" s="2"/>
    </row>
    <row r="2429" spans="1:1" x14ac:dyDescent="0.2">
      <c r="A2429" s="2"/>
    </row>
    <row r="2430" spans="1:1" x14ac:dyDescent="0.2">
      <c r="A2430" s="2"/>
    </row>
    <row r="2431" spans="1:1" x14ac:dyDescent="0.2">
      <c r="A2431" s="2"/>
    </row>
    <row r="2432" spans="1:1" x14ac:dyDescent="0.2">
      <c r="A2432" s="2"/>
    </row>
    <row r="2433" spans="1:1" x14ac:dyDescent="0.2">
      <c r="A2433" s="2"/>
    </row>
    <row r="2434" spans="1:1" x14ac:dyDescent="0.2">
      <c r="A2434" s="2"/>
    </row>
    <row r="2435" spans="1:1" x14ac:dyDescent="0.2">
      <c r="A2435" s="2"/>
    </row>
    <row r="2436" spans="1:1" x14ac:dyDescent="0.2">
      <c r="A2436" s="2"/>
    </row>
    <row r="2437" spans="1:1" x14ac:dyDescent="0.2">
      <c r="A2437" s="2"/>
    </row>
    <row r="2438" spans="1:1" x14ac:dyDescent="0.2">
      <c r="A2438" s="2"/>
    </row>
    <row r="2439" spans="1:1" x14ac:dyDescent="0.2">
      <c r="A2439" s="2"/>
    </row>
    <row r="2440" spans="1:1" x14ac:dyDescent="0.2">
      <c r="A2440" s="2"/>
    </row>
    <row r="2441" spans="1:1" x14ac:dyDescent="0.2">
      <c r="A2441" s="2"/>
    </row>
    <row r="2442" spans="1:1" x14ac:dyDescent="0.2">
      <c r="A2442" s="2"/>
    </row>
    <row r="2443" spans="1:1" x14ac:dyDescent="0.2">
      <c r="A2443" s="2"/>
    </row>
    <row r="2444" spans="1:1" x14ac:dyDescent="0.2">
      <c r="A2444" s="2"/>
    </row>
    <row r="2445" spans="1:1" x14ac:dyDescent="0.2">
      <c r="A2445" s="2"/>
    </row>
    <row r="2446" spans="1:1" x14ac:dyDescent="0.2">
      <c r="A2446" s="2"/>
    </row>
    <row r="2447" spans="1:1" x14ac:dyDescent="0.2">
      <c r="A2447" s="2"/>
    </row>
    <row r="2448" spans="1:1" x14ac:dyDescent="0.2">
      <c r="A2448" s="2"/>
    </row>
    <row r="2449" spans="1:1" x14ac:dyDescent="0.2">
      <c r="A2449" s="2"/>
    </row>
    <row r="2450" spans="1:1" x14ac:dyDescent="0.2">
      <c r="A2450" s="2"/>
    </row>
    <row r="2451" spans="1:1" x14ac:dyDescent="0.2">
      <c r="A2451" s="2"/>
    </row>
    <row r="2452" spans="1:1" x14ac:dyDescent="0.2">
      <c r="A2452" s="2"/>
    </row>
    <row r="2453" spans="1:1" x14ac:dyDescent="0.2">
      <c r="A2453" s="2"/>
    </row>
    <row r="2454" spans="1:1" x14ac:dyDescent="0.2">
      <c r="A2454" s="2"/>
    </row>
    <row r="2455" spans="1:1" x14ac:dyDescent="0.2">
      <c r="A2455" s="2"/>
    </row>
    <row r="2456" spans="1:1" x14ac:dyDescent="0.2">
      <c r="A2456" s="2"/>
    </row>
    <row r="2457" spans="1:1" x14ac:dyDescent="0.2">
      <c r="A2457" s="2"/>
    </row>
    <row r="2458" spans="1:1" x14ac:dyDescent="0.2">
      <c r="A2458" s="2"/>
    </row>
    <row r="2459" spans="1:1" x14ac:dyDescent="0.2">
      <c r="A2459" s="2"/>
    </row>
    <row r="2460" spans="1:1" x14ac:dyDescent="0.2">
      <c r="A2460" s="2"/>
    </row>
    <row r="2461" spans="1:1" x14ac:dyDescent="0.2">
      <c r="A2461" s="2"/>
    </row>
    <row r="2462" spans="1:1" x14ac:dyDescent="0.2">
      <c r="A2462" s="2"/>
    </row>
    <row r="2463" spans="1:1" x14ac:dyDescent="0.2">
      <c r="A2463" s="2"/>
    </row>
    <row r="2464" spans="1:1" x14ac:dyDescent="0.2">
      <c r="A2464" s="2"/>
    </row>
    <row r="2465" spans="1:1" x14ac:dyDescent="0.2">
      <c r="A2465" s="2"/>
    </row>
    <row r="2466" spans="1:1" x14ac:dyDescent="0.2">
      <c r="A2466" s="2"/>
    </row>
    <row r="2467" spans="1:1" x14ac:dyDescent="0.2">
      <c r="A2467" s="2"/>
    </row>
    <row r="2468" spans="1:1" x14ac:dyDescent="0.2">
      <c r="A2468" s="2"/>
    </row>
    <row r="2469" spans="1:1" x14ac:dyDescent="0.2">
      <c r="A2469" s="2"/>
    </row>
    <row r="2470" spans="1:1" x14ac:dyDescent="0.2">
      <c r="A2470" s="2"/>
    </row>
    <row r="2471" spans="1:1" x14ac:dyDescent="0.2">
      <c r="A2471" s="2"/>
    </row>
    <row r="2472" spans="1:1" x14ac:dyDescent="0.2">
      <c r="A2472" s="2"/>
    </row>
    <row r="2473" spans="1:1" x14ac:dyDescent="0.2">
      <c r="A2473" s="2"/>
    </row>
    <row r="2474" spans="1:1" x14ac:dyDescent="0.2">
      <c r="A2474" s="2"/>
    </row>
    <row r="2475" spans="1:1" x14ac:dyDescent="0.2">
      <c r="A2475" s="2"/>
    </row>
    <row r="2476" spans="1:1" x14ac:dyDescent="0.2">
      <c r="A2476" s="2"/>
    </row>
    <row r="2477" spans="1:1" x14ac:dyDescent="0.2">
      <c r="A2477" s="2"/>
    </row>
    <row r="2478" spans="1:1" x14ac:dyDescent="0.2">
      <c r="A2478" s="2"/>
    </row>
    <row r="2479" spans="1:1" x14ac:dyDescent="0.2">
      <c r="A2479" s="2"/>
    </row>
    <row r="2480" spans="1:1" x14ac:dyDescent="0.2">
      <c r="A2480" s="2"/>
    </row>
    <row r="2481" spans="1:1" x14ac:dyDescent="0.2">
      <c r="A2481" s="2"/>
    </row>
    <row r="2482" spans="1:1" x14ac:dyDescent="0.2">
      <c r="A2482" s="2"/>
    </row>
    <row r="2483" spans="1:1" x14ac:dyDescent="0.2">
      <c r="A2483" s="2"/>
    </row>
    <row r="2484" spans="1:1" x14ac:dyDescent="0.2">
      <c r="A2484" s="2"/>
    </row>
    <row r="2485" spans="1:1" x14ac:dyDescent="0.2">
      <c r="A2485" s="2"/>
    </row>
    <row r="2486" spans="1:1" x14ac:dyDescent="0.2">
      <c r="A2486" s="2"/>
    </row>
    <row r="2487" spans="1:1" x14ac:dyDescent="0.2">
      <c r="A2487" s="2"/>
    </row>
    <row r="2488" spans="1:1" x14ac:dyDescent="0.2">
      <c r="A2488" s="2"/>
    </row>
    <row r="2489" spans="1:1" x14ac:dyDescent="0.2">
      <c r="A2489" s="2"/>
    </row>
    <row r="2490" spans="1:1" x14ac:dyDescent="0.2">
      <c r="A2490" s="2"/>
    </row>
    <row r="2491" spans="1:1" x14ac:dyDescent="0.2">
      <c r="A2491" s="2"/>
    </row>
    <row r="2492" spans="1:1" x14ac:dyDescent="0.2">
      <c r="A2492" s="2"/>
    </row>
    <row r="2493" spans="1:1" x14ac:dyDescent="0.2">
      <c r="A2493" s="2"/>
    </row>
    <row r="2494" spans="1:1" x14ac:dyDescent="0.2">
      <c r="A2494" s="2"/>
    </row>
    <row r="2495" spans="1:1" x14ac:dyDescent="0.2">
      <c r="A2495" s="2"/>
    </row>
    <row r="2496" spans="1:1" x14ac:dyDescent="0.2">
      <c r="A2496" s="2"/>
    </row>
    <row r="2497" spans="1:1" x14ac:dyDescent="0.2">
      <c r="A2497" s="2"/>
    </row>
    <row r="2498" spans="1:1" x14ac:dyDescent="0.2">
      <c r="A2498" s="2"/>
    </row>
    <row r="2499" spans="1:1" x14ac:dyDescent="0.2">
      <c r="A2499" s="2"/>
    </row>
    <row r="2500" spans="1:1" x14ac:dyDescent="0.2">
      <c r="A2500" s="2"/>
    </row>
    <row r="2501" spans="1:1" x14ac:dyDescent="0.2">
      <c r="A2501" s="2"/>
    </row>
    <row r="2502" spans="1:1" x14ac:dyDescent="0.2">
      <c r="A2502" s="2"/>
    </row>
    <row r="2503" spans="1:1" x14ac:dyDescent="0.2">
      <c r="A2503" s="2"/>
    </row>
    <row r="2504" spans="1:1" x14ac:dyDescent="0.2">
      <c r="A2504" s="2"/>
    </row>
    <row r="2505" spans="1:1" x14ac:dyDescent="0.2">
      <c r="A2505" s="2"/>
    </row>
    <row r="2506" spans="1:1" x14ac:dyDescent="0.2">
      <c r="A2506" s="2"/>
    </row>
    <row r="2507" spans="1:1" x14ac:dyDescent="0.2">
      <c r="A2507" s="2"/>
    </row>
    <row r="2508" spans="1:1" x14ac:dyDescent="0.2">
      <c r="A2508" s="2"/>
    </row>
    <row r="2509" spans="1:1" x14ac:dyDescent="0.2">
      <c r="A2509" s="2"/>
    </row>
    <row r="2510" spans="1:1" x14ac:dyDescent="0.2">
      <c r="A2510" s="2"/>
    </row>
    <row r="2511" spans="1:1" x14ac:dyDescent="0.2">
      <c r="A2511" s="2"/>
    </row>
    <row r="2512" spans="1:1" x14ac:dyDescent="0.2">
      <c r="A2512" s="2"/>
    </row>
    <row r="2513" spans="1:1" x14ac:dyDescent="0.2">
      <c r="A2513" s="2"/>
    </row>
    <row r="2514" spans="1:1" x14ac:dyDescent="0.2">
      <c r="A2514" s="2"/>
    </row>
    <row r="2515" spans="1:1" x14ac:dyDescent="0.2">
      <c r="A2515" s="2"/>
    </row>
    <row r="2516" spans="1:1" x14ac:dyDescent="0.2">
      <c r="A2516" s="2"/>
    </row>
    <row r="2517" spans="1:1" x14ac:dyDescent="0.2">
      <c r="A2517" s="2"/>
    </row>
    <row r="2518" spans="1:1" x14ac:dyDescent="0.2">
      <c r="A2518" s="2"/>
    </row>
    <row r="2519" spans="1:1" x14ac:dyDescent="0.2">
      <c r="A2519" s="2"/>
    </row>
    <row r="2520" spans="1:1" x14ac:dyDescent="0.2">
      <c r="A2520" s="2"/>
    </row>
    <row r="2521" spans="1:1" x14ac:dyDescent="0.2">
      <c r="A2521" s="2"/>
    </row>
    <row r="2522" spans="1:1" x14ac:dyDescent="0.2">
      <c r="A2522" s="2"/>
    </row>
    <row r="2523" spans="1:1" x14ac:dyDescent="0.2">
      <c r="A2523" s="2"/>
    </row>
    <row r="2524" spans="1:1" x14ac:dyDescent="0.2">
      <c r="A2524" s="2"/>
    </row>
    <row r="2525" spans="1:1" x14ac:dyDescent="0.2">
      <c r="A2525" s="2"/>
    </row>
    <row r="2526" spans="1:1" x14ac:dyDescent="0.2">
      <c r="A2526" s="2"/>
    </row>
    <row r="2527" spans="1:1" x14ac:dyDescent="0.2">
      <c r="A2527" s="2"/>
    </row>
    <row r="2528" spans="1:1" x14ac:dyDescent="0.2">
      <c r="A2528" s="2"/>
    </row>
    <row r="2529" spans="1:1" x14ac:dyDescent="0.2">
      <c r="A2529" s="2"/>
    </row>
    <row r="2530" spans="1:1" x14ac:dyDescent="0.2">
      <c r="A2530" s="2"/>
    </row>
    <row r="2531" spans="1:1" x14ac:dyDescent="0.2">
      <c r="A2531" s="2"/>
    </row>
    <row r="2532" spans="1:1" x14ac:dyDescent="0.2">
      <c r="A2532" s="2"/>
    </row>
    <row r="2533" spans="1:1" x14ac:dyDescent="0.2">
      <c r="A2533" s="2"/>
    </row>
    <row r="2534" spans="1:1" x14ac:dyDescent="0.2">
      <c r="A2534" s="2"/>
    </row>
    <row r="2535" spans="1:1" x14ac:dyDescent="0.2">
      <c r="A2535" s="2"/>
    </row>
    <row r="2536" spans="1:1" x14ac:dyDescent="0.2">
      <c r="A2536" s="2"/>
    </row>
    <row r="2537" spans="1:1" x14ac:dyDescent="0.2">
      <c r="A2537" s="2"/>
    </row>
    <row r="2538" spans="1:1" x14ac:dyDescent="0.2">
      <c r="A2538" s="2"/>
    </row>
    <row r="2539" spans="1:1" x14ac:dyDescent="0.2">
      <c r="A2539" s="2"/>
    </row>
    <row r="2540" spans="1:1" x14ac:dyDescent="0.2">
      <c r="A2540" s="2"/>
    </row>
    <row r="2541" spans="1:1" x14ac:dyDescent="0.2">
      <c r="A2541" s="2"/>
    </row>
    <row r="2542" spans="1:1" x14ac:dyDescent="0.2">
      <c r="A2542" s="2"/>
    </row>
    <row r="2543" spans="1:1" x14ac:dyDescent="0.2">
      <c r="A2543" s="2"/>
    </row>
    <row r="2544" spans="1:1" x14ac:dyDescent="0.2">
      <c r="A2544" s="2"/>
    </row>
    <row r="2545" spans="1:1" x14ac:dyDescent="0.2">
      <c r="A2545" s="2"/>
    </row>
    <row r="2546" spans="1:1" x14ac:dyDescent="0.2">
      <c r="A2546" s="2"/>
    </row>
    <row r="2547" spans="1:1" x14ac:dyDescent="0.2">
      <c r="A2547" s="2"/>
    </row>
    <row r="2548" spans="1:1" x14ac:dyDescent="0.2">
      <c r="A2548" s="2"/>
    </row>
    <row r="2549" spans="1:1" x14ac:dyDescent="0.2">
      <c r="A2549" s="2"/>
    </row>
    <row r="2550" spans="1:1" x14ac:dyDescent="0.2">
      <c r="A2550" s="2"/>
    </row>
    <row r="2551" spans="1:1" x14ac:dyDescent="0.2">
      <c r="A2551" s="2"/>
    </row>
    <row r="2552" spans="1:1" x14ac:dyDescent="0.2">
      <c r="A2552" s="2"/>
    </row>
    <row r="2553" spans="1:1" x14ac:dyDescent="0.2">
      <c r="A2553" s="2"/>
    </row>
    <row r="2554" spans="1:1" x14ac:dyDescent="0.2">
      <c r="A2554" s="2"/>
    </row>
    <row r="2555" spans="1:1" x14ac:dyDescent="0.2">
      <c r="A2555" s="2"/>
    </row>
    <row r="2556" spans="1:1" x14ac:dyDescent="0.2">
      <c r="A2556" s="2"/>
    </row>
    <row r="2557" spans="1:1" x14ac:dyDescent="0.2">
      <c r="A2557" s="2"/>
    </row>
    <row r="2558" spans="1:1" x14ac:dyDescent="0.2">
      <c r="A2558" s="2"/>
    </row>
    <row r="2559" spans="1:1" x14ac:dyDescent="0.2">
      <c r="A2559" s="2"/>
    </row>
    <row r="2560" spans="1:1" x14ac:dyDescent="0.2">
      <c r="A2560" s="2"/>
    </row>
    <row r="2561" spans="1:1" x14ac:dyDescent="0.2">
      <c r="A2561" s="2"/>
    </row>
    <row r="2562" spans="1:1" x14ac:dyDescent="0.2">
      <c r="A2562" s="2"/>
    </row>
    <row r="2563" spans="1:1" x14ac:dyDescent="0.2">
      <c r="A2563" s="2"/>
    </row>
    <row r="2564" spans="1:1" x14ac:dyDescent="0.2">
      <c r="A2564" s="2"/>
    </row>
    <row r="2565" spans="1:1" x14ac:dyDescent="0.2">
      <c r="A2565" s="2"/>
    </row>
    <row r="2566" spans="1:1" x14ac:dyDescent="0.2">
      <c r="A2566" s="2"/>
    </row>
    <row r="2567" spans="1:1" x14ac:dyDescent="0.2">
      <c r="A2567" s="2"/>
    </row>
    <row r="2568" spans="1:1" x14ac:dyDescent="0.2">
      <c r="A2568" s="2"/>
    </row>
    <row r="2569" spans="1:1" x14ac:dyDescent="0.2">
      <c r="A2569" s="2"/>
    </row>
    <row r="2570" spans="1:1" x14ac:dyDescent="0.2">
      <c r="A2570" s="2"/>
    </row>
    <row r="2571" spans="1:1" x14ac:dyDescent="0.2">
      <c r="A2571" s="2"/>
    </row>
    <row r="2572" spans="1:1" x14ac:dyDescent="0.2">
      <c r="A2572" s="2"/>
    </row>
    <row r="2573" spans="1:1" x14ac:dyDescent="0.2">
      <c r="A2573" s="2"/>
    </row>
    <row r="2574" spans="1:1" x14ac:dyDescent="0.2">
      <c r="A2574" s="2"/>
    </row>
    <row r="2575" spans="1:1" x14ac:dyDescent="0.2">
      <c r="A2575" s="2"/>
    </row>
    <row r="2576" spans="1:1" x14ac:dyDescent="0.2">
      <c r="A2576" s="2"/>
    </row>
    <row r="2577" spans="1:1" x14ac:dyDescent="0.2">
      <c r="A2577" s="2"/>
    </row>
    <row r="2578" spans="1:1" x14ac:dyDescent="0.2">
      <c r="A2578" s="2"/>
    </row>
    <row r="2579" spans="1:1" x14ac:dyDescent="0.2">
      <c r="A2579" s="2"/>
    </row>
    <row r="2580" spans="1:1" x14ac:dyDescent="0.2">
      <c r="A2580" s="2"/>
    </row>
    <row r="2581" spans="1:1" x14ac:dyDescent="0.2">
      <c r="A2581" s="2"/>
    </row>
    <row r="2582" spans="1:1" x14ac:dyDescent="0.2">
      <c r="A2582" s="2"/>
    </row>
    <row r="2583" spans="1:1" x14ac:dyDescent="0.2">
      <c r="A2583" s="2"/>
    </row>
    <row r="2584" spans="1:1" x14ac:dyDescent="0.2">
      <c r="A2584" s="2"/>
    </row>
    <row r="2585" spans="1:1" x14ac:dyDescent="0.2">
      <c r="A2585" s="2"/>
    </row>
    <row r="2586" spans="1:1" x14ac:dyDescent="0.2">
      <c r="A2586" s="2"/>
    </row>
    <row r="2587" spans="1:1" x14ac:dyDescent="0.2">
      <c r="A2587" s="2"/>
    </row>
    <row r="2588" spans="1:1" x14ac:dyDescent="0.2">
      <c r="A2588" s="2"/>
    </row>
    <row r="2589" spans="1:1" x14ac:dyDescent="0.2">
      <c r="A2589" s="2"/>
    </row>
    <row r="2590" spans="1:1" x14ac:dyDescent="0.2">
      <c r="A2590" s="2"/>
    </row>
    <row r="2591" spans="1:1" x14ac:dyDescent="0.2">
      <c r="A2591" s="2"/>
    </row>
    <row r="2592" spans="1:1" x14ac:dyDescent="0.2">
      <c r="A2592" s="2"/>
    </row>
    <row r="2593" spans="1:1" x14ac:dyDescent="0.2">
      <c r="A2593" s="2"/>
    </row>
    <row r="2594" spans="1:1" x14ac:dyDescent="0.2">
      <c r="A2594" s="2"/>
    </row>
    <row r="2595" spans="1:1" x14ac:dyDescent="0.2">
      <c r="A2595" s="2"/>
    </row>
    <row r="2596" spans="1:1" x14ac:dyDescent="0.2">
      <c r="A2596" s="2"/>
    </row>
    <row r="2597" spans="1:1" x14ac:dyDescent="0.2">
      <c r="A2597" s="2"/>
    </row>
    <row r="2598" spans="1:1" x14ac:dyDescent="0.2">
      <c r="A2598" s="2"/>
    </row>
    <row r="2599" spans="1:1" x14ac:dyDescent="0.2">
      <c r="A2599" s="2"/>
    </row>
    <row r="2600" spans="1:1" x14ac:dyDescent="0.2">
      <c r="A2600" s="2"/>
    </row>
    <row r="2601" spans="1:1" x14ac:dyDescent="0.2">
      <c r="A2601" s="2"/>
    </row>
    <row r="2602" spans="1:1" x14ac:dyDescent="0.2">
      <c r="A2602" s="2"/>
    </row>
    <row r="2603" spans="1:1" x14ac:dyDescent="0.2">
      <c r="A2603" s="2"/>
    </row>
    <row r="2604" spans="1:1" x14ac:dyDescent="0.2">
      <c r="A2604" s="2"/>
    </row>
    <row r="2605" spans="1:1" x14ac:dyDescent="0.2">
      <c r="A2605" s="2"/>
    </row>
    <row r="2606" spans="1:1" x14ac:dyDescent="0.2">
      <c r="A2606" s="2"/>
    </row>
    <row r="2607" spans="1:1" x14ac:dyDescent="0.2">
      <c r="A2607" s="2"/>
    </row>
    <row r="2608" spans="1:1" x14ac:dyDescent="0.2">
      <c r="A2608" s="2"/>
    </row>
    <row r="2609" spans="1:1" x14ac:dyDescent="0.2">
      <c r="A2609" s="2"/>
    </row>
    <row r="2610" spans="1:1" x14ac:dyDescent="0.2">
      <c r="A2610" s="2"/>
    </row>
    <row r="2611" spans="1:1" x14ac:dyDescent="0.2">
      <c r="A2611" s="2"/>
    </row>
    <row r="2612" spans="1:1" x14ac:dyDescent="0.2">
      <c r="A2612" s="2"/>
    </row>
    <row r="2613" spans="1:1" x14ac:dyDescent="0.2">
      <c r="A2613" s="2"/>
    </row>
    <row r="2614" spans="1:1" x14ac:dyDescent="0.2">
      <c r="A2614" s="2"/>
    </row>
    <row r="2615" spans="1:1" x14ac:dyDescent="0.2">
      <c r="A2615" s="2"/>
    </row>
    <row r="2616" spans="1:1" x14ac:dyDescent="0.2">
      <c r="A2616" s="2"/>
    </row>
    <row r="2617" spans="1:1" x14ac:dyDescent="0.2">
      <c r="A2617" s="2"/>
    </row>
    <row r="2618" spans="1:1" x14ac:dyDescent="0.2">
      <c r="A2618" s="2"/>
    </row>
    <row r="2619" spans="1:1" x14ac:dyDescent="0.2">
      <c r="A2619" s="2"/>
    </row>
    <row r="2620" spans="1:1" x14ac:dyDescent="0.2">
      <c r="A2620" s="2"/>
    </row>
    <row r="2621" spans="1:1" x14ac:dyDescent="0.2">
      <c r="A2621" s="2"/>
    </row>
    <row r="2622" spans="1:1" x14ac:dyDescent="0.2">
      <c r="A2622" s="2"/>
    </row>
    <row r="2623" spans="1:1" x14ac:dyDescent="0.2">
      <c r="A2623" s="2"/>
    </row>
    <row r="2624" spans="1:1" x14ac:dyDescent="0.2">
      <c r="A2624" s="2"/>
    </row>
    <row r="2625" spans="1:1" x14ac:dyDescent="0.2">
      <c r="A2625" s="2"/>
    </row>
    <row r="2626" spans="1:1" x14ac:dyDescent="0.2">
      <c r="A2626" s="2"/>
    </row>
    <row r="2627" spans="1:1" x14ac:dyDescent="0.2">
      <c r="A2627" s="2"/>
    </row>
    <row r="2628" spans="1:1" x14ac:dyDescent="0.2">
      <c r="A2628" s="2"/>
    </row>
    <row r="2629" spans="1:1" x14ac:dyDescent="0.2">
      <c r="A2629" s="2"/>
    </row>
    <row r="2630" spans="1:1" x14ac:dyDescent="0.2">
      <c r="A2630" s="2"/>
    </row>
    <row r="2631" spans="1:1" x14ac:dyDescent="0.2">
      <c r="A2631" s="2"/>
    </row>
    <row r="2632" spans="1:1" x14ac:dyDescent="0.2">
      <c r="A2632" s="2"/>
    </row>
    <row r="2633" spans="1:1" x14ac:dyDescent="0.2">
      <c r="A2633" s="2"/>
    </row>
    <row r="2634" spans="1:1" x14ac:dyDescent="0.2">
      <c r="A2634" s="2"/>
    </row>
    <row r="2635" spans="1:1" x14ac:dyDescent="0.2">
      <c r="A2635" s="2"/>
    </row>
    <row r="2636" spans="1:1" x14ac:dyDescent="0.2">
      <c r="A2636" s="2"/>
    </row>
    <row r="2637" spans="1:1" x14ac:dyDescent="0.2">
      <c r="A2637" s="2"/>
    </row>
    <row r="2638" spans="1:1" x14ac:dyDescent="0.2">
      <c r="A2638" s="2"/>
    </row>
    <row r="2639" spans="1:1" x14ac:dyDescent="0.2">
      <c r="A2639" s="2"/>
    </row>
    <row r="2640" spans="1:1" x14ac:dyDescent="0.2">
      <c r="A2640" s="2"/>
    </row>
    <row r="2641" spans="1:1" x14ac:dyDescent="0.2">
      <c r="A2641" s="2"/>
    </row>
    <row r="2642" spans="1:1" x14ac:dyDescent="0.2">
      <c r="A2642" s="2"/>
    </row>
    <row r="2643" spans="1:1" x14ac:dyDescent="0.2">
      <c r="A2643" s="2"/>
    </row>
    <row r="2644" spans="1:1" x14ac:dyDescent="0.2">
      <c r="A2644" s="2"/>
    </row>
    <row r="2645" spans="1:1" x14ac:dyDescent="0.2">
      <c r="A2645" s="2"/>
    </row>
    <row r="2646" spans="1:1" x14ac:dyDescent="0.2">
      <c r="A2646" s="2"/>
    </row>
    <row r="2647" spans="1:1" x14ac:dyDescent="0.2">
      <c r="A2647" s="2"/>
    </row>
    <row r="2648" spans="1:1" x14ac:dyDescent="0.2">
      <c r="A2648" s="2"/>
    </row>
    <row r="2649" spans="1:1" x14ac:dyDescent="0.2">
      <c r="A2649" s="2"/>
    </row>
    <row r="2650" spans="1:1" x14ac:dyDescent="0.2">
      <c r="A2650" s="2"/>
    </row>
    <row r="2651" spans="1:1" x14ac:dyDescent="0.2">
      <c r="A2651" s="2"/>
    </row>
    <row r="2652" spans="1:1" x14ac:dyDescent="0.2">
      <c r="A2652" s="2"/>
    </row>
    <row r="2653" spans="1:1" x14ac:dyDescent="0.2">
      <c r="A2653" s="2"/>
    </row>
    <row r="2654" spans="1:1" x14ac:dyDescent="0.2">
      <c r="A2654" s="2"/>
    </row>
    <row r="2655" spans="1:1" x14ac:dyDescent="0.2">
      <c r="A2655" s="2"/>
    </row>
    <row r="2656" spans="1:1" x14ac:dyDescent="0.2">
      <c r="A2656" s="2"/>
    </row>
    <row r="2657" spans="1:1" x14ac:dyDescent="0.2">
      <c r="A2657" s="2"/>
    </row>
    <row r="2658" spans="1:1" x14ac:dyDescent="0.2">
      <c r="A2658" s="2"/>
    </row>
    <row r="2659" spans="1:1" x14ac:dyDescent="0.2">
      <c r="A2659" s="2"/>
    </row>
    <row r="2660" spans="1:1" x14ac:dyDescent="0.2">
      <c r="A2660" s="2"/>
    </row>
    <row r="2661" spans="1:1" x14ac:dyDescent="0.2">
      <c r="A2661" s="2"/>
    </row>
    <row r="2662" spans="1:1" x14ac:dyDescent="0.2">
      <c r="A2662" s="2"/>
    </row>
    <row r="2663" spans="1:1" x14ac:dyDescent="0.2">
      <c r="A2663" s="2"/>
    </row>
    <row r="2664" spans="1:1" x14ac:dyDescent="0.2">
      <c r="A2664" s="2"/>
    </row>
    <row r="2665" spans="1:1" x14ac:dyDescent="0.2">
      <c r="A2665" s="2"/>
    </row>
    <row r="2666" spans="1:1" x14ac:dyDescent="0.2">
      <c r="A2666" s="2"/>
    </row>
    <row r="2667" spans="1:1" x14ac:dyDescent="0.2">
      <c r="A2667" s="2"/>
    </row>
    <row r="2668" spans="1:1" x14ac:dyDescent="0.2">
      <c r="A2668" s="2"/>
    </row>
    <row r="2669" spans="1:1" x14ac:dyDescent="0.2">
      <c r="A2669" s="2"/>
    </row>
    <row r="2670" spans="1:1" x14ac:dyDescent="0.2">
      <c r="A2670" s="2"/>
    </row>
    <row r="2671" spans="1:1" x14ac:dyDescent="0.2">
      <c r="A2671" s="2"/>
    </row>
    <row r="2672" spans="1:1" x14ac:dyDescent="0.2">
      <c r="A2672" s="2"/>
    </row>
    <row r="2673" spans="1:1" x14ac:dyDescent="0.2">
      <c r="A2673" s="2"/>
    </row>
    <row r="2674" spans="1:1" x14ac:dyDescent="0.2">
      <c r="A2674" s="2"/>
    </row>
    <row r="2675" spans="1:1" x14ac:dyDescent="0.2">
      <c r="A2675" s="2"/>
    </row>
    <row r="2676" spans="1:1" x14ac:dyDescent="0.2">
      <c r="A2676" s="2"/>
    </row>
    <row r="2677" spans="1:1" x14ac:dyDescent="0.2">
      <c r="A2677" s="2"/>
    </row>
    <row r="2678" spans="1:1" x14ac:dyDescent="0.2">
      <c r="A2678" s="2"/>
    </row>
    <row r="2679" spans="1:1" x14ac:dyDescent="0.2">
      <c r="A2679" s="2"/>
    </row>
    <row r="2680" spans="1:1" x14ac:dyDescent="0.2">
      <c r="A2680" s="2"/>
    </row>
    <row r="2681" spans="1:1" x14ac:dyDescent="0.2">
      <c r="A2681" s="2"/>
    </row>
    <row r="2682" spans="1:1" x14ac:dyDescent="0.2">
      <c r="A2682" s="2"/>
    </row>
    <row r="2683" spans="1:1" x14ac:dyDescent="0.2">
      <c r="A2683" s="2"/>
    </row>
    <row r="2684" spans="1:1" x14ac:dyDescent="0.2">
      <c r="A2684" s="2"/>
    </row>
    <row r="2685" spans="1:1" x14ac:dyDescent="0.2">
      <c r="A2685" s="2"/>
    </row>
    <row r="2686" spans="1:1" x14ac:dyDescent="0.2">
      <c r="A2686" s="2"/>
    </row>
    <row r="2687" spans="1:1" x14ac:dyDescent="0.2">
      <c r="A2687" s="2"/>
    </row>
    <row r="2688" spans="1:1" x14ac:dyDescent="0.2">
      <c r="A2688" s="2"/>
    </row>
    <row r="2689" spans="1:1" x14ac:dyDescent="0.2">
      <c r="A2689" s="2"/>
    </row>
    <row r="2690" spans="1:1" x14ac:dyDescent="0.2">
      <c r="A2690" s="2"/>
    </row>
    <row r="2691" spans="1:1" x14ac:dyDescent="0.2">
      <c r="A2691" s="2"/>
    </row>
    <row r="2692" spans="1:1" x14ac:dyDescent="0.2">
      <c r="A2692" s="2"/>
    </row>
    <row r="2693" spans="1:1" x14ac:dyDescent="0.2">
      <c r="A2693" s="2"/>
    </row>
    <row r="2694" spans="1:1" x14ac:dyDescent="0.2">
      <c r="A2694" s="2"/>
    </row>
    <row r="2695" spans="1:1" x14ac:dyDescent="0.2">
      <c r="A2695" s="2"/>
    </row>
    <row r="2696" spans="1:1" x14ac:dyDescent="0.2">
      <c r="A2696" s="2"/>
    </row>
    <row r="2697" spans="1:1" x14ac:dyDescent="0.2">
      <c r="A2697" s="2"/>
    </row>
    <row r="2698" spans="1:1" x14ac:dyDescent="0.2">
      <c r="A2698" s="2"/>
    </row>
    <row r="2699" spans="1:1" x14ac:dyDescent="0.2">
      <c r="A2699" s="2"/>
    </row>
    <row r="2700" spans="1:1" x14ac:dyDescent="0.2">
      <c r="A2700" s="2"/>
    </row>
    <row r="2701" spans="1:1" x14ac:dyDescent="0.2">
      <c r="A2701" s="2"/>
    </row>
    <row r="2702" spans="1:1" x14ac:dyDescent="0.2">
      <c r="A2702" s="2"/>
    </row>
    <row r="2703" spans="1:1" x14ac:dyDescent="0.2">
      <c r="A2703" s="2"/>
    </row>
    <row r="2704" spans="1:1" x14ac:dyDescent="0.2">
      <c r="A2704" s="2"/>
    </row>
    <row r="2705" spans="1:1" x14ac:dyDescent="0.2">
      <c r="A2705" s="2"/>
    </row>
    <row r="2706" spans="1:1" x14ac:dyDescent="0.2">
      <c r="A2706" s="2"/>
    </row>
    <row r="2707" spans="1:1" x14ac:dyDescent="0.2">
      <c r="A2707" s="2"/>
    </row>
    <row r="2708" spans="1:1" x14ac:dyDescent="0.2">
      <c r="A2708" s="2"/>
    </row>
    <row r="2709" spans="1:1" x14ac:dyDescent="0.2">
      <c r="A2709" s="2"/>
    </row>
    <row r="2710" spans="1:1" x14ac:dyDescent="0.2">
      <c r="A2710" s="2"/>
    </row>
    <row r="2711" spans="1:1" x14ac:dyDescent="0.2">
      <c r="A2711" s="2"/>
    </row>
    <row r="2712" spans="1:1" x14ac:dyDescent="0.2">
      <c r="A2712" s="2"/>
    </row>
    <row r="2713" spans="1:1" x14ac:dyDescent="0.2">
      <c r="A2713" s="2"/>
    </row>
    <row r="2714" spans="1:1" x14ac:dyDescent="0.2">
      <c r="A2714" s="2"/>
    </row>
    <row r="2715" spans="1:1" x14ac:dyDescent="0.2">
      <c r="A2715" s="2"/>
    </row>
    <row r="2716" spans="1:1" x14ac:dyDescent="0.2">
      <c r="A2716" s="2"/>
    </row>
    <row r="2717" spans="1:1" x14ac:dyDescent="0.2">
      <c r="A2717" s="2"/>
    </row>
    <row r="2718" spans="1:1" x14ac:dyDescent="0.2">
      <c r="A2718" s="2"/>
    </row>
    <row r="2719" spans="1:1" x14ac:dyDescent="0.2">
      <c r="A2719" s="2"/>
    </row>
    <row r="2720" spans="1:1" x14ac:dyDescent="0.2">
      <c r="A2720" s="2"/>
    </row>
    <row r="2721" spans="1:1" x14ac:dyDescent="0.2">
      <c r="A2721" s="2"/>
    </row>
    <row r="2722" spans="1:1" x14ac:dyDescent="0.2">
      <c r="A2722" s="2"/>
    </row>
    <row r="2723" spans="1:1" x14ac:dyDescent="0.2">
      <c r="A2723" s="2"/>
    </row>
    <row r="2724" spans="1:1" x14ac:dyDescent="0.2">
      <c r="A2724" s="2"/>
    </row>
    <row r="2725" spans="1:1" x14ac:dyDescent="0.2">
      <c r="A2725" s="2"/>
    </row>
    <row r="2726" spans="1:1" x14ac:dyDescent="0.2">
      <c r="A2726" s="2"/>
    </row>
    <row r="2727" spans="1:1" x14ac:dyDescent="0.2">
      <c r="A2727" s="2"/>
    </row>
    <row r="2728" spans="1:1" x14ac:dyDescent="0.2">
      <c r="A2728" s="2"/>
    </row>
    <row r="2729" spans="1:1" x14ac:dyDescent="0.2">
      <c r="A2729" s="2"/>
    </row>
    <row r="2730" spans="1:1" x14ac:dyDescent="0.2">
      <c r="A2730" s="2"/>
    </row>
    <row r="2731" spans="1:1" x14ac:dyDescent="0.2">
      <c r="A2731" s="2"/>
    </row>
    <row r="2732" spans="1:1" x14ac:dyDescent="0.2">
      <c r="A2732" s="2"/>
    </row>
    <row r="2733" spans="1:1" x14ac:dyDescent="0.2">
      <c r="A2733" s="2"/>
    </row>
    <row r="2734" spans="1:1" x14ac:dyDescent="0.2">
      <c r="A2734" s="2"/>
    </row>
    <row r="2735" spans="1:1" x14ac:dyDescent="0.2">
      <c r="A2735" s="2"/>
    </row>
    <row r="2736" spans="1:1" x14ac:dyDescent="0.2">
      <c r="A2736" s="2"/>
    </row>
    <row r="2737" spans="1:1" x14ac:dyDescent="0.2">
      <c r="A2737" s="2"/>
    </row>
    <row r="2738" spans="1:1" x14ac:dyDescent="0.2">
      <c r="A2738" s="2"/>
    </row>
    <row r="2739" spans="1:1" x14ac:dyDescent="0.2">
      <c r="A2739" s="2"/>
    </row>
    <row r="2740" spans="1:1" x14ac:dyDescent="0.2">
      <c r="A2740" s="2"/>
    </row>
    <row r="2741" spans="1:1" x14ac:dyDescent="0.2">
      <c r="A2741" s="2"/>
    </row>
    <row r="2742" spans="1:1" x14ac:dyDescent="0.2">
      <c r="A2742" s="2"/>
    </row>
    <row r="2743" spans="1:1" x14ac:dyDescent="0.2">
      <c r="A2743" s="2"/>
    </row>
    <row r="2744" spans="1:1" x14ac:dyDescent="0.2">
      <c r="A2744" s="2"/>
    </row>
    <row r="2745" spans="1:1" x14ac:dyDescent="0.2">
      <c r="A2745" s="2"/>
    </row>
    <row r="2746" spans="1:1" x14ac:dyDescent="0.2">
      <c r="A2746" s="2"/>
    </row>
    <row r="2747" spans="1:1" x14ac:dyDescent="0.2">
      <c r="A2747" s="2"/>
    </row>
    <row r="2748" spans="1:1" x14ac:dyDescent="0.2">
      <c r="A2748" s="2"/>
    </row>
    <row r="2749" spans="1:1" x14ac:dyDescent="0.2">
      <c r="A2749" s="2"/>
    </row>
    <row r="2750" spans="1:1" x14ac:dyDescent="0.2">
      <c r="A2750" s="2"/>
    </row>
    <row r="2751" spans="1:1" x14ac:dyDescent="0.2">
      <c r="A2751" s="2"/>
    </row>
    <row r="2752" spans="1:1" x14ac:dyDescent="0.2">
      <c r="A2752" s="2"/>
    </row>
    <row r="2753" spans="1:1" x14ac:dyDescent="0.2">
      <c r="A2753" s="2"/>
    </row>
    <row r="2754" spans="1:1" x14ac:dyDescent="0.2">
      <c r="A2754" s="2"/>
    </row>
    <row r="2755" spans="1:1" x14ac:dyDescent="0.2">
      <c r="A2755" s="2"/>
    </row>
    <row r="2756" spans="1:1" x14ac:dyDescent="0.2">
      <c r="A2756" s="2"/>
    </row>
    <row r="2757" spans="1:1" x14ac:dyDescent="0.2">
      <c r="A2757" s="2"/>
    </row>
    <row r="2758" spans="1:1" x14ac:dyDescent="0.2">
      <c r="A2758" s="2"/>
    </row>
    <row r="2759" spans="1:1" x14ac:dyDescent="0.2">
      <c r="A2759" s="2"/>
    </row>
    <row r="2760" spans="1:1" x14ac:dyDescent="0.2">
      <c r="A2760" s="2"/>
    </row>
    <row r="2761" spans="1:1" x14ac:dyDescent="0.2">
      <c r="A2761" s="2"/>
    </row>
    <row r="2762" spans="1:1" x14ac:dyDescent="0.2">
      <c r="A2762" s="2"/>
    </row>
    <row r="2763" spans="1:1" x14ac:dyDescent="0.2">
      <c r="A2763" s="2"/>
    </row>
    <row r="2764" spans="1:1" x14ac:dyDescent="0.2">
      <c r="A2764" s="2"/>
    </row>
    <row r="2765" spans="1:1" x14ac:dyDescent="0.2">
      <c r="A2765" s="2"/>
    </row>
    <row r="2766" spans="1:1" x14ac:dyDescent="0.2">
      <c r="A2766" s="2"/>
    </row>
    <row r="2767" spans="1:1" x14ac:dyDescent="0.2">
      <c r="A2767" s="2"/>
    </row>
    <row r="2768" spans="1:1" x14ac:dyDescent="0.2">
      <c r="A2768" s="2"/>
    </row>
    <row r="2769" spans="1:1" x14ac:dyDescent="0.2">
      <c r="A2769" s="2"/>
    </row>
    <row r="2770" spans="1:1" x14ac:dyDescent="0.2">
      <c r="A2770" s="2"/>
    </row>
    <row r="2771" spans="1:1" x14ac:dyDescent="0.2">
      <c r="A2771" s="2"/>
    </row>
    <row r="2772" spans="1:1" x14ac:dyDescent="0.2">
      <c r="A2772" s="2"/>
    </row>
    <row r="2773" spans="1:1" x14ac:dyDescent="0.2">
      <c r="A2773" s="2"/>
    </row>
    <row r="2774" spans="1:1" x14ac:dyDescent="0.2">
      <c r="A2774" s="2"/>
    </row>
    <row r="2775" spans="1:1" x14ac:dyDescent="0.2">
      <c r="A2775" s="2"/>
    </row>
    <row r="2776" spans="1:1" x14ac:dyDescent="0.2">
      <c r="A2776" s="2"/>
    </row>
    <row r="2777" spans="1:1" x14ac:dyDescent="0.2">
      <c r="A2777" s="2"/>
    </row>
    <row r="2778" spans="1:1" x14ac:dyDescent="0.2">
      <c r="A2778" s="2"/>
    </row>
    <row r="2779" spans="1:1" x14ac:dyDescent="0.2">
      <c r="A2779" s="2"/>
    </row>
    <row r="2780" spans="1:1" x14ac:dyDescent="0.2">
      <c r="A2780" s="2"/>
    </row>
    <row r="2781" spans="1:1" x14ac:dyDescent="0.2">
      <c r="A2781" s="2"/>
    </row>
    <row r="2782" spans="1:1" x14ac:dyDescent="0.2">
      <c r="A2782" s="2"/>
    </row>
    <row r="2783" spans="1:1" x14ac:dyDescent="0.2">
      <c r="A2783" s="2"/>
    </row>
    <row r="2784" spans="1:1" x14ac:dyDescent="0.2">
      <c r="A2784" s="2"/>
    </row>
    <row r="2785" spans="1:1" x14ac:dyDescent="0.2">
      <c r="A2785" s="2"/>
    </row>
    <row r="2786" spans="1:1" x14ac:dyDescent="0.2">
      <c r="A2786" s="2"/>
    </row>
    <row r="2787" spans="1:1" x14ac:dyDescent="0.2">
      <c r="A2787" s="2"/>
    </row>
    <row r="2788" spans="1:1" x14ac:dyDescent="0.2">
      <c r="A2788" s="2"/>
    </row>
    <row r="2789" spans="1:1" x14ac:dyDescent="0.2">
      <c r="A2789" s="2"/>
    </row>
    <row r="2790" spans="1:1" x14ac:dyDescent="0.2">
      <c r="A2790" s="2"/>
    </row>
    <row r="2791" spans="1:1" x14ac:dyDescent="0.2">
      <c r="A2791" s="2"/>
    </row>
    <row r="2792" spans="1:1" x14ac:dyDescent="0.2">
      <c r="A2792" s="2"/>
    </row>
    <row r="2793" spans="1:1" x14ac:dyDescent="0.2">
      <c r="A2793" s="2"/>
    </row>
    <row r="2794" spans="1:1" x14ac:dyDescent="0.2">
      <c r="A2794" s="2"/>
    </row>
    <row r="2795" spans="1:1" x14ac:dyDescent="0.2">
      <c r="A2795" s="2"/>
    </row>
    <row r="2796" spans="1:1" x14ac:dyDescent="0.2">
      <c r="A2796" s="2"/>
    </row>
    <row r="2797" spans="1:1" x14ac:dyDescent="0.2">
      <c r="A2797" s="2"/>
    </row>
    <row r="2798" spans="1:1" x14ac:dyDescent="0.2">
      <c r="A2798" s="2"/>
    </row>
    <row r="2799" spans="1:1" x14ac:dyDescent="0.2">
      <c r="A2799" s="2"/>
    </row>
    <row r="2800" spans="1:1" x14ac:dyDescent="0.2">
      <c r="A2800" s="2"/>
    </row>
    <row r="2801" spans="1:1" x14ac:dyDescent="0.2">
      <c r="A2801" s="2"/>
    </row>
    <row r="2802" spans="1:1" x14ac:dyDescent="0.2">
      <c r="A2802" s="2"/>
    </row>
    <row r="2803" spans="1:1" x14ac:dyDescent="0.2">
      <c r="A2803" s="2"/>
    </row>
    <row r="2804" spans="1:1" x14ac:dyDescent="0.2">
      <c r="A2804" s="2"/>
    </row>
    <row r="2805" spans="1:1" x14ac:dyDescent="0.2">
      <c r="A2805" s="2"/>
    </row>
    <row r="2806" spans="1:1" x14ac:dyDescent="0.2">
      <c r="A2806" s="2"/>
    </row>
    <row r="2807" spans="1:1" x14ac:dyDescent="0.2">
      <c r="A2807" s="2"/>
    </row>
    <row r="2808" spans="1:1" x14ac:dyDescent="0.2">
      <c r="A2808" s="2"/>
    </row>
    <row r="2809" spans="1:1" x14ac:dyDescent="0.2">
      <c r="A2809" s="2"/>
    </row>
    <row r="2810" spans="1:1" x14ac:dyDescent="0.2">
      <c r="A2810" s="2"/>
    </row>
    <row r="2811" spans="1:1" x14ac:dyDescent="0.2">
      <c r="A2811" s="2"/>
    </row>
    <row r="2812" spans="1:1" x14ac:dyDescent="0.2">
      <c r="A2812" s="2"/>
    </row>
    <row r="2813" spans="1:1" x14ac:dyDescent="0.2">
      <c r="A2813" s="2"/>
    </row>
    <row r="2814" spans="1:1" x14ac:dyDescent="0.2">
      <c r="A2814" s="2"/>
    </row>
    <row r="2815" spans="1:1" x14ac:dyDescent="0.2">
      <c r="A2815" s="2"/>
    </row>
    <row r="2816" spans="1:1" x14ac:dyDescent="0.2">
      <c r="A2816" s="2"/>
    </row>
    <row r="2817" spans="1:1" x14ac:dyDescent="0.2">
      <c r="A2817" s="2"/>
    </row>
    <row r="2818" spans="1:1" x14ac:dyDescent="0.2">
      <c r="A2818" s="2"/>
    </row>
    <row r="2819" spans="1:1" x14ac:dyDescent="0.2">
      <c r="A2819" s="2"/>
    </row>
    <row r="2820" spans="1:1" x14ac:dyDescent="0.2">
      <c r="A2820" s="2"/>
    </row>
    <row r="2821" spans="1:1" x14ac:dyDescent="0.2">
      <c r="A2821" s="2"/>
    </row>
    <row r="2822" spans="1:1" x14ac:dyDescent="0.2">
      <c r="A2822" s="2"/>
    </row>
    <row r="2823" spans="1:1" x14ac:dyDescent="0.2">
      <c r="A2823" s="2"/>
    </row>
    <row r="2824" spans="1:1" x14ac:dyDescent="0.2">
      <c r="A2824" s="2"/>
    </row>
    <row r="2825" spans="1:1" x14ac:dyDescent="0.2">
      <c r="A2825" s="2"/>
    </row>
    <row r="2826" spans="1:1" x14ac:dyDescent="0.2">
      <c r="A2826" s="2"/>
    </row>
    <row r="2827" spans="1:1" x14ac:dyDescent="0.2">
      <c r="A2827" s="2"/>
    </row>
    <row r="2828" spans="1:1" x14ac:dyDescent="0.2">
      <c r="A2828" s="2"/>
    </row>
    <row r="2829" spans="1:1" x14ac:dyDescent="0.2">
      <c r="A2829" s="2"/>
    </row>
    <row r="2830" spans="1:1" x14ac:dyDescent="0.2">
      <c r="A2830" s="2"/>
    </row>
    <row r="2831" spans="1:1" x14ac:dyDescent="0.2">
      <c r="A2831" s="2"/>
    </row>
    <row r="2832" spans="1:1" x14ac:dyDescent="0.2">
      <c r="A2832" s="2"/>
    </row>
    <row r="2833" spans="1:1" x14ac:dyDescent="0.2">
      <c r="A2833" s="2"/>
    </row>
    <row r="2834" spans="1:1" x14ac:dyDescent="0.2">
      <c r="A2834" s="2"/>
    </row>
    <row r="2835" spans="1:1" x14ac:dyDescent="0.2">
      <c r="A2835" s="2"/>
    </row>
    <row r="2836" spans="1:1" x14ac:dyDescent="0.2">
      <c r="A2836" s="2"/>
    </row>
    <row r="2837" spans="1:1" x14ac:dyDescent="0.2">
      <c r="A2837" s="2"/>
    </row>
    <row r="2838" spans="1:1" x14ac:dyDescent="0.2">
      <c r="A2838" s="2"/>
    </row>
    <row r="2839" spans="1:1" x14ac:dyDescent="0.2">
      <c r="A2839" s="2"/>
    </row>
    <row r="2840" spans="1:1" x14ac:dyDescent="0.2">
      <c r="A2840" s="2"/>
    </row>
    <row r="2841" spans="1:1" x14ac:dyDescent="0.2">
      <c r="A2841" s="2"/>
    </row>
    <row r="2842" spans="1:1" x14ac:dyDescent="0.2">
      <c r="A2842" s="2"/>
    </row>
    <row r="2843" spans="1:1" x14ac:dyDescent="0.2">
      <c r="A2843" s="2"/>
    </row>
    <row r="2844" spans="1:1" x14ac:dyDescent="0.2">
      <c r="A2844" s="2"/>
    </row>
    <row r="2845" spans="1:1" x14ac:dyDescent="0.2">
      <c r="A2845" s="2"/>
    </row>
    <row r="2846" spans="1:1" x14ac:dyDescent="0.2">
      <c r="A2846" s="2"/>
    </row>
    <row r="2847" spans="1:1" x14ac:dyDescent="0.2">
      <c r="A2847" s="2"/>
    </row>
    <row r="2848" spans="1:1" x14ac:dyDescent="0.2">
      <c r="A2848" s="2"/>
    </row>
    <row r="2849" spans="1:1" x14ac:dyDescent="0.2">
      <c r="A2849" s="2"/>
    </row>
    <row r="2850" spans="1:1" x14ac:dyDescent="0.2">
      <c r="A2850" s="2"/>
    </row>
    <row r="2851" spans="1:1" x14ac:dyDescent="0.2">
      <c r="A2851" s="2"/>
    </row>
    <row r="2852" spans="1:1" x14ac:dyDescent="0.2">
      <c r="A2852" s="2"/>
    </row>
    <row r="2853" spans="1:1" x14ac:dyDescent="0.2">
      <c r="A2853" s="2"/>
    </row>
    <row r="2854" spans="1:1" x14ac:dyDescent="0.2">
      <c r="A2854" s="2"/>
    </row>
    <row r="2855" spans="1:1" x14ac:dyDescent="0.2">
      <c r="A2855" s="2"/>
    </row>
    <row r="2856" spans="1:1" x14ac:dyDescent="0.2">
      <c r="A2856" s="2"/>
    </row>
    <row r="2857" spans="1:1" x14ac:dyDescent="0.2">
      <c r="A2857" s="2"/>
    </row>
    <row r="2858" spans="1:1" x14ac:dyDescent="0.2">
      <c r="A2858" s="2"/>
    </row>
    <row r="2859" spans="1:1" x14ac:dyDescent="0.2">
      <c r="A2859" s="2"/>
    </row>
    <row r="2860" spans="1:1" x14ac:dyDescent="0.2">
      <c r="A2860" s="2"/>
    </row>
    <row r="2861" spans="1:1" x14ac:dyDescent="0.2">
      <c r="A2861" s="2"/>
    </row>
    <row r="2862" spans="1:1" x14ac:dyDescent="0.2">
      <c r="A2862" s="2"/>
    </row>
    <row r="2863" spans="1:1" x14ac:dyDescent="0.2">
      <c r="A2863" s="2"/>
    </row>
    <row r="2864" spans="1:1" x14ac:dyDescent="0.2">
      <c r="A2864" s="2"/>
    </row>
    <row r="2865" spans="1:1" x14ac:dyDescent="0.2">
      <c r="A2865" s="2"/>
    </row>
    <row r="2866" spans="1:1" x14ac:dyDescent="0.2">
      <c r="A2866" s="2"/>
    </row>
    <row r="2867" spans="1:1" x14ac:dyDescent="0.2">
      <c r="A2867" s="2"/>
    </row>
    <row r="2868" spans="1:1" x14ac:dyDescent="0.2">
      <c r="A2868" s="2"/>
    </row>
    <row r="2869" spans="1:1" x14ac:dyDescent="0.2">
      <c r="A2869" s="2"/>
    </row>
    <row r="2870" spans="1:1" x14ac:dyDescent="0.2">
      <c r="A2870" s="2"/>
    </row>
    <row r="2871" spans="1:1" x14ac:dyDescent="0.2">
      <c r="A2871" s="2"/>
    </row>
    <row r="2872" spans="1:1" x14ac:dyDescent="0.2">
      <c r="A2872" s="2"/>
    </row>
    <row r="2873" spans="1:1" x14ac:dyDescent="0.2">
      <c r="A2873" s="2"/>
    </row>
    <row r="2874" spans="1:1" x14ac:dyDescent="0.2">
      <c r="A2874" s="2"/>
    </row>
    <row r="2875" spans="1:1" x14ac:dyDescent="0.2">
      <c r="A2875" s="2"/>
    </row>
    <row r="2876" spans="1:1" x14ac:dyDescent="0.2">
      <c r="A2876" s="2"/>
    </row>
    <row r="2877" spans="1:1" x14ac:dyDescent="0.2">
      <c r="A2877" s="2"/>
    </row>
    <row r="2878" spans="1:1" x14ac:dyDescent="0.2">
      <c r="A2878" s="2"/>
    </row>
    <row r="2879" spans="1:1" x14ac:dyDescent="0.2">
      <c r="A2879" s="2"/>
    </row>
    <row r="2880" spans="1:1" x14ac:dyDescent="0.2">
      <c r="A2880" s="2"/>
    </row>
    <row r="2881" spans="1:1" x14ac:dyDescent="0.2">
      <c r="A2881" s="2"/>
    </row>
    <row r="2882" spans="1:1" x14ac:dyDescent="0.2">
      <c r="A2882" s="2"/>
    </row>
    <row r="2883" spans="1:1" x14ac:dyDescent="0.2">
      <c r="A2883" s="2"/>
    </row>
    <row r="2884" spans="1:1" x14ac:dyDescent="0.2">
      <c r="A2884" s="2"/>
    </row>
    <row r="2885" spans="1:1" x14ac:dyDescent="0.2">
      <c r="A2885" s="2"/>
    </row>
    <row r="2886" spans="1:1" x14ac:dyDescent="0.2">
      <c r="A2886" s="2"/>
    </row>
    <row r="2887" spans="1:1" x14ac:dyDescent="0.2">
      <c r="A2887" s="2"/>
    </row>
    <row r="2888" spans="1:1" x14ac:dyDescent="0.2">
      <c r="A2888" s="2"/>
    </row>
    <row r="2889" spans="1:1" x14ac:dyDescent="0.2">
      <c r="A2889" s="2"/>
    </row>
    <row r="2890" spans="1:1" x14ac:dyDescent="0.2">
      <c r="A2890" s="2"/>
    </row>
    <row r="2891" spans="1:1" x14ac:dyDescent="0.2">
      <c r="A2891" s="2"/>
    </row>
    <row r="2892" spans="1:1" x14ac:dyDescent="0.2">
      <c r="A2892" s="2"/>
    </row>
    <row r="2893" spans="1:1" x14ac:dyDescent="0.2">
      <c r="A2893" s="2"/>
    </row>
    <row r="2894" spans="1:1" x14ac:dyDescent="0.2">
      <c r="A2894" s="2"/>
    </row>
    <row r="2895" spans="1:1" x14ac:dyDescent="0.2">
      <c r="A2895" s="2"/>
    </row>
    <row r="2896" spans="1:1" x14ac:dyDescent="0.2">
      <c r="A2896" s="2"/>
    </row>
    <row r="2897" spans="1:1" x14ac:dyDescent="0.2">
      <c r="A2897" s="2"/>
    </row>
    <row r="2898" spans="1:1" x14ac:dyDescent="0.2">
      <c r="A2898" s="2"/>
    </row>
    <row r="2899" spans="1:1" x14ac:dyDescent="0.2">
      <c r="A2899" s="2"/>
    </row>
    <row r="2900" spans="1:1" x14ac:dyDescent="0.2">
      <c r="A2900" s="2"/>
    </row>
    <row r="2901" spans="1:1" x14ac:dyDescent="0.2">
      <c r="A2901" s="2"/>
    </row>
    <row r="2902" spans="1:1" x14ac:dyDescent="0.2">
      <c r="A2902" s="2"/>
    </row>
    <row r="2903" spans="1:1" x14ac:dyDescent="0.2">
      <c r="A2903" s="2"/>
    </row>
    <row r="2904" spans="1:1" x14ac:dyDescent="0.2">
      <c r="A2904" s="2"/>
    </row>
    <row r="2905" spans="1:1" x14ac:dyDescent="0.2">
      <c r="A2905" s="2"/>
    </row>
    <row r="2906" spans="1:1" x14ac:dyDescent="0.2">
      <c r="A2906" s="2"/>
    </row>
    <row r="2907" spans="1:1" x14ac:dyDescent="0.2">
      <c r="A2907" s="2"/>
    </row>
    <row r="2908" spans="1:1" x14ac:dyDescent="0.2">
      <c r="A2908" s="2"/>
    </row>
    <row r="2909" spans="1:1" x14ac:dyDescent="0.2">
      <c r="A2909" s="2"/>
    </row>
    <row r="2910" spans="1:1" x14ac:dyDescent="0.2">
      <c r="A2910" s="2"/>
    </row>
    <row r="2911" spans="1:1" x14ac:dyDescent="0.2">
      <c r="A2911" s="2"/>
    </row>
    <row r="2912" spans="1:1" x14ac:dyDescent="0.2">
      <c r="A2912" s="2"/>
    </row>
    <row r="2913" spans="1:1" x14ac:dyDescent="0.2">
      <c r="A2913" s="2"/>
    </row>
    <row r="2914" spans="1:1" x14ac:dyDescent="0.2">
      <c r="A2914" s="2"/>
    </row>
    <row r="2915" spans="1:1" x14ac:dyDescent="0.2">
      <c r="A2915" s="2"/>
    </row>
    <row r="2916" spans="1:1" x14ac:dyDescent="0.2">
      <c r="A2916" s="2"/>
    </row>
    <row r="2917" spans="1:1" x14ac:dyDescent="0.2">
      <c r="A2917" s="2"/>
    </row>
    <row r="2918" spans="1:1" x14ac:dyDescent="0.2">
      <c r="A2918" s="2"/>
    </row>
    <row r="2919" spans="1:1" x14ac:dyDescent="0.2">
      <c r="A2919" s="2"/>
    </row>
    <row r="2920" spans="1:1" x14ac:dyDescent="0.2">
      <c r="A2920" s="2"/>
    </row>
    <row r="2921" spans="1:1" x14ac:dyDescent="0.2">
      <c r="A2921" s="2"/>
    </row>
    <row r="2922" spans="1:1" x14ac:dyDescent="0.2">
      <c r="A2922" s="2"/>
    </row>
    <row r="2923" spans="1:1" x14ac:dyDescent="0.2">
      <c r="A2923" s="2"/>
    </row>
    <row r="2924" spans="1:1" x14ac:dyDescent="0.2">
      <c r="A2924" s="2"/>
    </row>
    <row r="2925" spans="1:1" x14ac:dyDescent="0.2">
      <c r="A2925" s="2"/>
    </row>
    <row r="2926" spans="1:1" x14ac:dyDescent="0.2">
      <c r="A2926" s="2"/>
    </row>
    <row r="2927" spans="1:1" x14ac:dyDescent="0.2">
      <c r="A2927" s="2"/>
    </row>
    <row r="2928" spans="1:1" x14ac:dyDescent="0.2">
      <c r="A2928" s="2"/>
    </row>
    <row r="2929" spans="1:1" x14ac:dyDescent="0.2">
      <c r="A2929" s="2"/>
    </row>
    <row r="2930" spans="1:1" x14ac:dyDescent="0.2">
      <c r="A2930" s="2"/>
    </row>
    <row r="2931" spans="1:1" x14ac:dyDescent="0.2">
      <c r="A2931" s="2"/>
    </row>
    <row r="2932" spans="1:1" x14ac:dyDescent="0.2">
      <c r="A2932" s="2"/>
    </row>
    <row r="2933" spans="1:1" x14ac:dyDescent="0.2">
      <c r="A2933" s="2"/>
    </row>
    <row r="2934" spans="1:1" x14ac:dyDescent="0.2">
      <c r="A2934" s="2"/>
    </row>
    <row r="2935" spans="1:1" x14ac:dyDescent="0.2">
      <c r="A2935" s="2"/>
    </row>
    <row r="2936" spans="1:1" x14ac:dyDescent="0.2">
      <c r="A2936" s="2"/>
    </row>
    <row r="2937" spans="1:1" x14ac:dyDescent="0.2">
      <c r="A2937" s="2"/>
    </row>
    <row r="2938" spans="1:1" x14ac:dyDescent="0.2">
      <c r="A2938" s="2"/>
    </row>
    <row r="2939" spans="1:1" x14ac:dyDescent="0.2">
      <c r="A2939" s="2"/>
    </row>
    <row r="2940" spans="1:1" x14ac:dyDescent="0.2">
      <c r="A2940" s="2"/>
    </row>
    <row r="2941" spans="1:1" x14ac:dyDescent="0.2">
      <c r="A2941" s="2"/>
    </row>
    <row r="2942" spans="1:1" x14ac:dyDescent="0.2">
      <c r="A2942" s="2"/>
    </row>
    <row r="2943" spans="1:1" x14ac:dyDescent="0.2">
      <c r="A2943" s="2"/>
    </row>
    <row r="2944" spans="1:1" x14ac:dyDescent="0.2">
      <c r="A2944" s="2"/>
    </row>
    <row r="2945" spans="1:1" x14ac:dyDescent="0.2">
      <c r="A2945" s="2"/>
    </row>
    <row r="2946" spans="1:1" x14ac:dyDescent="0.2">
      <c r="A2946" s="2"/>
    </row>
    <row r="2947" spans="1:1" x14ac:dyDescent="0.2">
      <c r="A2947" s="2"/>
    </row>
    <row r="2948" spans="1:1" x14ac:dyDescent="0.2">
      <c r="A2948" s="2"/>
    </row>
    <row r="2949" spans="1:1" x14ac:dyDescent="0.2">
      <c r="A2949" s="2"/>
    </row>
    <row r="2950" spans="1:1" x14ac:dyDescent="0.2">
      <c r="A2950" s="2"/>
    </row>
    <row r="2951" spans="1:1" x14ac:dyDescent="0.2">
      <c r="A2951" s="2"/>
    </row>
    <row r="2952" spans="1:1" x14ac:dyDescent="0.2">
      <c r="A2952" s="2"/>
    </row>
    <row r="2953" spans="1:1" x14ac:dyDescent="0.2">
      <c r="A2953" s="2"/>
    </row>
    <row r="2954" spans="1:1" x14ac:dyDescent="0.2">
      <c r="A2954" s="2"/>
    </row>
    <row r="2955" spans="1:1" x14ac:dyDescent="0.2">
      <c r="A2955" s="2"/>
    </row>
    <row r="2956" spans="1:1" x14ac:dyDescent="0.2">
      <c r="A2956" s="2"/>
    </row>
    <row r="2957" spans="1:1" x14ac:dyDescent="0.2">
      <c r="A2957" s="2"/>
    </row>
    <row r="2958" spans="1:1" x14ac:dyDescent="0.2">
      <c r="A2958" s="2"/>
    </row>
    <row r="2959" spans="1:1" x14ac:dyDescent="0.2">
      <c r="A2959" s="2"/>
    </row>
    <row r="2960" spans="1:1" x14ac:dyDescent="0.2">
      <c r="A2960" s="2"/>
    </row>
    <row r="2961" spans="1:1" x14ac:dyDescent="0.2">
      <c r="A2961" s="2"/>
    </row>
    <row r="2962" spans="1:1" x14ac:dyDescent="0.2">
      <c r="A2962" s="2"/>
    </row>
    <row r="2963" spans="1:1" x14ac:dyDescent="0.2">
      <c r="A2963" s="2"/>
    </row>
    <row r="2964" spans="1:1" x14ac:dyDescent="0.2">
      <c r="A2964" s="2"/>
    </row>
    <row r="2965" spans="1:1" x14ac:dyDescent="0.2">
      <c r="A2965" s="2"/>
    </row>
    <row r="2966" spans="1:1" x14ac:dyDescent="0.2">
      <c r="A2966" s="2"/>
    </row>
    <row r="2967" spans="1:1" x14ac:dyDescent="0.2">
      <c r="A2967" s="2"/>
    </row>
    <row r="2968" spans="1:1" x14ac:dyDescent="0.2">
      <c r="A2968" s="2"/>
    </row>
    <row r="2969" spans="1:1" x14ac:dyDescent="0.2">
      <c r="A2969" s="2"/>
    </row>
    <row r="2970" spans="1:1" x14ac:dyDescent="0.2">
      <c r="A2970" s="2"/>
    </row>
    <row r="2971" spans="1:1" x14ac:dyDescent="0.2">
      <c r="A2971" s="2"/>
    </row>
    <row r="2972" spans="1:1" x14ac:dyDescent="0.2">
      <c r="A2972" s="2"/>
    </row>
    <row r="2973" spans="1:1" x14ac:dyDescent="0.2">
      <c r="A2973" s="2"/>
    </row>
    <row r="2974" spans="1:1" x14ac:dyDescent="0.2">
      <c r="A2974" s="2"/>
    </row>
    <row r="2975" spans="1:1" x14ac:dyDescent="0.2">
      <c r="A2975" s="2"/>
    </row>
    <row r="2976" spans="1:1" x14ac:dyDescent="0.2">
      <c r="A2976" s="2"/>
    </row>
    <row r="2977" spans="1:1" x14ac:dyDescent="0.2">
      <c r="A2977" s="2"/>
    </row>
    <row r="2978" spans="1:1" x14ac:dyDescent="0.2">
      <c r="A2978" s="2"/>
    </row>
    <row r="2979" spans="1:1" x14ac:dyDescent="0.2">
      <c r="A2979" s="2"/>
    </row>
    <row r="2980" spans="1:1" x14ac:dyDescent="0.2">
      <c r="A2980" s="2"/>
    </row>
    <row r="2981" spans="1:1" x14ac:dyDescent="0.2">
      <c r="A2981" s="2"/>
    </row>
    <row r="2982" spans="1:1" x14ac:dyDescent="0.2">
      <c r="A2982" s="2"/>
    </row>
    <row r="2983" spans="1:1" x14ac:dyDescent="0.2">
      <c r="A2983" s="2"/>
    </row>
    <row r="2984" spans="1:1" x14ac:dyDescent="0.2">
      <c r="A2984" s="2"/>
    </row>
    <row r="2985" spans="1:1" x14ac:dyDescent="0.2">
      <c r="A2985" s="2"/>
    </row>
    <row r="2986" spans="1:1" x14ac:dyDescent="0.2">
      <c r="A2986" s="2"/>
    </row>
    <row r="2987" spans="1:1" x14ac:dyDescent="0.2">
      <c r="A2987" s="2"/>
    </row>
    <row r="2988" spans="1:1" x14ac:dyDescent="0.2">
      <c r="A2988" s="2"/>
    </row>
    <row r="2989" spans="1:1" x14ac:dyDescent="0.2">
      <c r="A2989" s="2"/>
    </row>
    <row r="2990" spans="1:1" x14ac:dyDescent="0.2">
      <c r="A2990" s="2"/>
    </row>
    <row r="2991" spans="1:1" x14ac:dyDescent="0.2">
      <c r="A2991" s="2"/>
    </row>
    <row r="2992" spans="1:1" x14ac:dyDescent="0.2">
      <c r="A2992" s="2"/>
    </row>
    <row r="2993" spans="1:1" x14ac:dyDescent="0.2">
      <c r="A2993" s="2"/>
    </row>
    <row r="2994" spans="1:1" x14ac:dyDescent="0.2">
      <c r="A2994" s="2"/>
    </row>
    <row r="2995" spans="1:1" x14ac:dyDescent="0.2">
      <c r="A2995" s="2"/>
    </row>
    <row r="2996" spans="1:1" x14ac:dyDescent="0.2">
      <c r="A2996" s="2"/>
    </row>
    <row r="2997" spans="1:1" x14ac:dyDescent="0.2">
      <c r="A2997" s="2"/>
    </row>
    <row r="2998" spans="1:1" x14ac:dyDescent="0.2">
      <c r="A2998" s="2"/>
    </row>
    <row r="2999" spans="1:1" x14ac:dyDescent="0.2">
      <c r="A2999" s="2"/>
    </row>
    <row r="3000" spans="1:1" x14ac:dyDescent="0.2">
      <c r="A3000" s="2"/>
    </row>
    <row r="3001" spans="1:1" x14ac:dyDescent="0.2">
      <c r="A3001" s="2"/>
    </row>
    <row r="3002" spans="1:1" x14ac:dyDescent="0.2">
      <c r="A3002" s="2"/>
    </row>
    <row r="3003" spans="1:1" x14ac:dyDescent="0.2">
      <c r="A3003" s="2"/>
    </row>
    <row r="3004" spans="1:1" x14ac:dyDescent="0.2">
      <c r="A3004" s="2"/>
    </row>
    <row r="3005" spans="1:1" x14ac:dyDescent="0.2">
      <c r="A3005" s="2"/>
    </row>
    <row r="3006" spans="1:1" x14ac:dyDescent="0.2">
      <c r="A3006" s="2"/>
    </row>
    <row r="3007" spans="1:1" x14ac:dyDescent="0.2">
      <c r="A3007" s="2"/>
    </row>
    <row r="3008" spans="1:1" x14ac:dyDescent="0.2">
      <c r="A3008" s="2"/>
    </row>
    <row r="3009" spans="1:1" x14ac:dyDescent="0.2">
      <c r="A3009" s="2"/>
    </row>
    <row r="3010" spans="1:1" x14ac:dyDescent="0.2">
      <c r="A3010" s="2"/>
    </row>
    <row r="3011" spans="1:1" x14ac:dyDescent="0.2">
      <c r="A3011" s="2"/>
    </row>
    <row r="3012" spans="1:1" x14ac:dyDescent="0.2">
      <c r="A3012" s="2"/>
    </row>
    <row r="3013" spans="1:1" x14ac:dyDescent="0.2">
      <c r="A3013" s="2"/>
    </row>
    <row r="3014" spans="1:1" x14ac:dyDescent="0.2">
      <c r="A3014" s="2"/>
    </row>
    <row r="3015" spans="1:1" x14ac:dyDescent="0.2">
      <c r="A3015" s="2"/>
    </row>
    <row r="3016" spans="1:1" x14ac:dyDescent="0.2">
      <c r="A3016" s="2"/>
    </row>
    <row r="3017" spans="1:1" x14ac:dyDescent="0.2">
      <c r="A3017" s="2"/>
    </row>
    <row r="3018" spans="1:1" x14ac:dyDescent="0.2">
      <c r="A3018" s="2"/>
    </row>
    <row r="3019" spans="1:1" x14ac:dyDescent="0.2">
      <c r="A3019" s="2"/>
    </row>
    <row r="3020" spans="1:1" x14ac:dyDescent="0.2">
      <c r="A3020" s="2"/>
    </row>
    <row r="3021" spans="1:1" x14ac:dyDescent="0.2">
      <c r="A3021" s="2"/>
    </row>
    <row r="3022" spans="1:1" x14ac:dyDescent="0.2">
      <c r="A3022" s="2"/>
    </row>
    <row r="3023" spans="1:1" x14ac:dyDescent="0.2">
      <c r="A3023" s="2"/>
    </row>
    <row r="3024" spans="1:1" x14ac:dyDescent="0.2">
      <c r="A3024" s="2"/>
    </row>
    <row r="3025" spans="1:1" x14ac:dyDescent="0.2">
      <c r="A3025" s="2"/>
    </row>
    <row r="3026" spans="1:1" x14ac:dyDescent="0.2">
      <c r="A3026" s="2"/>
    </row>
    <row r="3027" spans="1:1" x14ac:dyDescent="0.2">
      <c r="A3027" s="2"/>
    </row>
    <row r="3028" spans="1:1" x14ac:dyDescent="0.2">
      <c r="A3028" s="2"/>
    </row>
    <row r="3029" spans="1:1" x14ac:dyDescent="0.2">
      <c r="A3029" s="2"/>
    </row>
    <row r="3030" spans="1:1" x14ac:dyDescent="0.2">
      <c r="A3030" s="2"/>
    </row>
    <row r="3031" spans="1:1" x14ac:dyDescent="0.2">
      <c r="A3031" s="2"/>
    </row>
    <row r="3032" spans="1:1" x14ac:dyDescent="0.2">
      <c r="A3032" s="2"/>
    </row>
    <row r="3033" spans="1:1" x14ac:dyDescent="0.2">
      <c r="A3033" s="2"/>
    </row>
    <row r="3034" spans="1:1" x14ac:dyDescent="0.2">
      <c r="A3034" s="2"/>
    </row>
    <row r="3035" spans="1:1" x14ac:dyDescent="0.2">
      <c r="A3035" s="2"/>
    </row>
    <row r="3036" spans="1:1" x14ac:dyDescent="0.2">
      <c r="A3036" s="2"/>
    </row>
    <row r="3037" spans="1:1" x14ac:dyDescent="0.2">
      <c r="A3037" s="2"/>
    </row>
    <row r="3038" spans="1:1" x14ac:dyDescent="0.2">
      <c r="A3038" s="2"/>
    </row>
    <row r="3039" spans="1:1" x14ac:dyDescent="0.2">
      <c r="A3039" s="2"/>
    </row>
    <row r="3040" spans="1:1" x14ac:dyDescent="0.2">
      <c r="A3040" s="2"/>
    </row>
    <row r="3041" spans="1:1" x14ac:dyDescent="0.2">
      <c r="A3041" s="2"/>
    </row>
    <row r="3042" spans="1:1" x14ac:dyDescent="0.2">
      <c r="A3042" s="2"/>
    </row>
    <row r="3043" spans="1:1" x14ac:dyDescent="0.2">
      <c r="A3043" s="2"/>
    </row>
    <row r="3044" spans="1:1" x14ac:dyDescent="0.2">
      <c r="A3044" s="2"/>
    </row>
    <row r="3045" spans="1:1" x14ac:dyDescent="0.2">
      <c r="A3045" s="2"/>
    </row>
    <row r="3046" spans="1:1" x14ac:dyDescent="0.2">
      <c r="A3046" s="2"/>
    </row>
    <row r="3047" spans="1:1" x14ac:dyDescent="0.2">
      <c r="A3047" s="2"/>
    </row>
    <row r="3048" spans="1:1" x14ac:dyDescent="0.2">
      <c r="A3048" s="2"/>
    </row>
    <row r="3049" spans="1:1" x14ac:dyDescent="0.2">
      <c r="A3049" s="2"/>
    </row>
    <row r="3050" spans="1:1" x14ac:dyDescent="0.2">
      <c r="A3050" s="2"/>
    </row>
    <row r="3051" spans="1:1" x14ac:dyDescent="0.2">
      <c r="A3051" s="2"/>
    </row>
    <row r="3052" spans="1:1" x14ac:dyDescent="0.2">
      <c r="A3052" s="2"/>
    </row>
    <row r="3053" spans="1:1" x14ac:dyDescent="0.2">
      <c r="A3053" s="2"/>
    </row>
    <row r="3054" spans="1:1" x14ac:dyDescent="0.2">
      <c r="A3054" s="2"/>
    </row>
    <row r="3055" spans="1:1" x14ac:dyDescent="0.2">
      <c r="A3055" s="2"/>
    </row>
    <row r="3056" spans="1:1" x14ac:dyDescent="0.2">
      <c r="A3056" s="2"/>
    </row>
    <row r="3057" spans="1:1" x14ac:dyDescent="0.2">
      <c r="A3057" s="2"/>
    </row>
    <row r="3058" spans="1:1" x14ac:dyDescent="0.2">
      <c r="A3058" s="2"/>
    </row>
    <row r="3059" spans="1:1" x14ac:dyDescent="0.2">
      <c r="A3059" s="2"/>
    </row>
    <row r="3060" spans="1:1" x14ac:dyDescent="0.2">
      <c r="A3060" s="2"/>
    </row>
    <row r="3061" spans="1:1" x14ac:dyDescent="0.2">
      <c r="A3061" s="2"/>
    </row>
    <row r="3062" spans="1:1" x14ac:dyDescent="0.2">
      <c r="A3062" s="2"/>
    </row>
    <row r="3063" spans="1:1" x14ac:dyDescent="0.2">
      <c r="A3063" s="2"/>
    </row>
    <row r="3064" spans="1:1" x14ac:dyDescent="0.2">
      <c r="A3064" s="2"/>
    </row>
    <row r="3065" spans="1:1" x14ac:dyDescent="0.2">
      <c r="A3065" s="2"/>
    </row>
    <row r="3066" spans="1:1" x14ac:dyDescent="0.2">
      <c r="A3066" s="2"/>
    </row>
    <row r="3067" spans="1:1" x14ac:dyDescent="0.2">
      <c r="A3067" s="2"/>
    </row>
    <row r="3068" spans="1:1" x14ac:dyDescent="0.2">
      <c r="A3068" s="2"/>
    </row>
    <row r="3069" spans="1:1" x14ac:dyDescent="0.2">
      <c r="A3069" s="2"/>
    </row>
    <row r="3070" spans="1:1" x14ac:dyDescent="0.2">
      <c r="A3070" s="2"/>
    </row>
    <row r="3071" spans="1:1" x14ac:dyDescent="0.2">
      <c r="A3071" s="2"/>
    </row>
    <row r="3072" spans="1:1" x14ac:dyDescent="0.2">
      <c r="A3072" s="2"/>
    </row>
    <row r="3073" spans="1:1" x14ac:dyDescent="0.2">
      <c r="A3073" s="2"/>
    </row>
    <row r="3074" spans="1:1" x14ac:dyDescent="0.2">
      <c r="A3074" s="2"/>
    </row>
    <row r="3075" spans="1:1" x14ac:dyDescent="0.2">
      <c r="A3075" s="2"/>
    </row>
    <row r="3076" spans="1:1" x14ac:dyDescent="0.2">
      <c r="A3076" s="2"/>
    </row>
    <row r="3077" spans="1:1" x14ac:dyDescent="0.2">
      <c r="A3077" s="2"/>
    </row>
    <row r="3078" spans="1:1" x14ac:dyDescent="0.2">
      <c r="A3078" s="2"/>
    </row>
    <row r="3079" spans="1:1" x14ac:dyDescent="0.2">
      <c r="A3079" s="2"/>
    </row>
    <row r="3080" spans="1:1" x14ac:dyDescent="0.2">
      <c r="A3080" s="2"/>
    </row>
    <row r="3081" spans="1:1" x14ac:dyDescent="0.2">
      <c r="A3081" s="2"/>
    </row>
    <row r="3082" spans="1:1" x14ac:dyDescent="0.2">
      <c r="A3082" s="2"/>
    </row>
    <row r="3083" spans="1:1" x14ac:dyDescent="0.2">
      <c r="A3083" s="2"/>
    </row>
    <row r="3084" spans="1:1" x14ac:dyDescent="0.2">
      <c r="A3084" s="2"/>
    </row>
    <row r="3085" spans="1:1" x14ac:dyDescent="0.2">
      <c r="A3085" s="2"/>
    </row>
    <row r="3086" spans="1:1" x14ac:dyDescent="0.2">
      <c r="A3086" s="2"/>
    </row>
    <row r="3087" spans="1:1" x14ac:dyDescent="0.2">
      <c r="A3087" s="2"/>
    </row>
    <row r="3088" spans="1:1" x14ac:dyDescent="0.2">
      <c r="A3088" s="2"/>
    </row>
    <row r="3089" spans="1:1" x14ac:dyDescent="0.2">
      <c r="A3089" s="2"/>
    </row>
    <row r="3090" spans="1:1" x14ac:dyDescent="0.2">
      <c r="A3090" s="2"/>
    </row>
    <row r="3091" spans="1:1" x14ac:dyDescent="0.2">
      <c r="A3091" s="2"/>
    </row>
    <row r="3092" spans="1:1" x14ac:dyDescent="0.2">
      <c r="A3092" s="2"/>
    </row>
    <row r="3093" spans="1:1" x14ac:dyDescent="0.2">
      <c r="A3093" s="2"/>
    </row>
    <row r="3094" spans="1:1" x14ac:dyDescent="0.2">
      <c r="A3094" s="2"/>
    </row>
    <row r="3095" spans="1:1" x14ac:dyDescent="0.2">
      <c r="A3095" s="2"/>
    </row>
    <row r="3096" spans="1:1" x14ac:dyDescent="0.2">
      <c r="A3096" s="2"/>
    </row>
    <row r="3097" spans="1:1" x14ac:dyDescent="0.2">
      <c r="A3097" s="2"/>
    </row>
    <row r="3098" spans="1:1" x14ac:dyDescent="0.2">
      <c r="A3098" s="2"/>
    </row>
    <row r="3099" spans="1:1" x14ac:dyDescent="0.2">
      <c r="A3099" s="2"/>
    </row>
    <row r="3100" spans="1:1" x14ac:dyDescent="0.2">
      <c r="A3100" s="2"/>
    </row>
    <row r="3101" spans="1:1" x14ac:dyDescent="0.2">
      <c r="A3101" s="2"/>
    </row>
    <row r="3102" spans="1:1" x14ac:dyDescent="0.2">
      <c r="A3102" s="2"/>
    </row>
    <row r="3103" spans="1:1" x14ac:dyDescent="0.2">
      <c r="A3103" s="2"/>
    </row>
    <row r="3104" spans="1:1" x14ac:dyDescent="0.2">
      <c r="A3104" s="2"/>
    </row>
    <row r="3105" spans="1:1" x14ac:dyDescent="0.2">
      <c r="A3105" s="2"/>
    </row>
    <row r="3106" spans="1:1" x14ac:dyDescent="0.2">
      <c r="A3106" s="2"/>
    </row>
    <row r="3107" spans="1:1" x14ac:dyDescent="0.2">
      <c r="A3107" s="2"/>
    </row>
    <row r="3108" spans="1:1" x14ac:dyDescent="0.2">
      <c r="A3108" s="2"/>
    </row>
    <row r="3109" spans="1:1" x14ac:dyDescent="0.2">
      <c r="A3109" s="2"/>
    </row>
    <row r="3110" spans="1:1" x14ac:dyDescent="0.2">
      <c r="A3110" s="2"/>
    </row>
    <row r="3111" spans="1:1" x14ac:dyDescent="0.2">
      <c r="A3111" s="2"/>
    </row>
    <row r="3112" spans="1:1" x14ac:dyDescent="0.2">
      <c r="A3112" s="2"/>
    </row>
    <row r="3113" spans="1:1" x14ac:dyDescent="0.2">
      <c r="A3113" s="2"/>
    </row>
    <row r="3114" spans="1:1" x14ac:dyDescent="0.2">
      <c r="A3114" s="2"/>
    </row>
    <row r="3115" spans="1:1" x14ac:dyDescent="0.2">
      <c r="A3115" s="2"/>
    </row>
    <row r="3116" spans="1:1" x14ac:dyDescent="0.2">
      <c r="A3116" s="2"/>
    </row>
    <row r="3117" spans="1:1" x14ac:dyDescent="0.2">
      <c r="A3117" s="2"/>
    </row>
    <row r="3118" spans="1:1" x14ac:dyDescent="0.2">
      <c r="A3118" s="2"/>
    </row>
    <row r="3119" spans="1:1" x14ac:dyDescent="0.2">
      <c r="A3119" s="2"/>
    </row>
    <row r="3120" spans="1:1" x14ac:dyDescent="0.2">
      <c r="A3120" s="2"/>
    </row>
    <row r="3121" spans="1:1" x14ac:dyDescent="0.2">
      <c r="A3121" s="2"/>
    </row>
    <row r="3122" spans="1:1" x14ac:dyDescent="0.2">
      <c r="A3122" s="2"/>
    </row>
    <row r="3123" spans="1:1" x14ac:dyDescent="0.2">
      <c r="A3123" s="2"/>
    </row>
    <row r="3124" spans="1:1" x14ac:dyDescent="0.2">
      <c r="A3124" s="2"/>
    </row>
    <row r="3125" spans="1:1" x14ac:dyDescent="0.2">
      <c r="A3125" s="2"/>
    </row>
    <row r="3126" spans="1:1" x14ac:dyDescent="0.2">
      <c r="A3126" s="2"/>
    </row>
    <row r="3127" spans="1:1" x14ac:dyDescent="0.2">
      <c r="A3127" s="2"/>
    </row>
    <row r="3128" spans="1:1" x14ac:dyDescent="0.2">
      <c r="A3128" s="2"/>
    </row>
    <row r="3129" spans="1:1" x14ac:dyDescent="0.2">
      <c r="A3129" s="2"/>
    </row>
    <row r="3130" spans="1:1" x14ac:dyDescent="0.2">
      <c r="A3130" s="2"/>
    </row>
    <row r="3131" spans="1:1" x14ac:dyDescent="0.2">
      <c r="A3131" s="2"/>
    </row>
    <row r="3132" spans="1:1" x14ac:dyDescent="0.2">
      <c r="A3132" s="2"/>
    </row>
    <row r="3133" spans="1:1" x14ac:dyDescent="0.2">
      <c r="A3133" s="2"/>
    </row>
    <row r="3134" spans="1:1" x14ac:dyDescent="0.2">
      <c r="A3134" s="2"/>
    </row>
    <row r="3135" spans="1:1" x14ac:dyDescent="0.2">
      <c r="A3135" s="2"/>
    </row>
    <row r="3136" spans="1:1" x14ac:dyDescent="0.2">
      <c r="A3136" s="2"/>
    </row>
    <row r="3137" spans="1:1" x14ac:dyDescent="0.2">
      <c r="A3137" s="2"/>
    </row>
    <row r="3138" spans="1:1" x14ac:dyDescent="0.2">
      <c r="A3138" s="2"/>
    </row>
    <row r="3139" spans="1:1" x14ac:dyDescent="0.2">
      <c r="A3139" s="2"/>
    </row>
    <row r="3140" spans="1:1" x14ac:dyDescent="0.2">
      <c r="A3140" s="2"/>
    </row>
    <row r="3141" spans="1:1" x14ac:dyDescent="0.2">
      <c r="A3141" s="2"/>
    </row>
    <row r="3142" spans="1:1" x14ac:dyDescent="0.2">
      <c r="A3142" s="2"/>
    </row>
    <row r="3143" spans="1:1" x14ac:dyDescent="0.2">
      <c r="A3143" s="2"/>
    </row>
    <row r="3144" spans="1:1" x14ac:dyDescent="0.2">
      <c r="A3144" s="2"/>
    </row>
    <row r="3145" spans="1:1" x14ac:dyDescent="0.2">
      <c r="A3145" s="2"/>
    </row>
    <row r="3146" spans="1:1" x14ac:dyDescent="0.2">
      <c r="A3146" s="2"/>
    </row>
    <row r="3147" spans="1:1" x14ac:dyDescent="0.2">
      <c r="A3147" s="2"/>
    </row>
    <row r="3148" spans="1:1" x14ac:dyDescent="0.2">
      <c r="A3148" s="2"/>
    </row>
    <row r="3149" spans="1:1" x14ac:dyDescent="0.2">
      <c r="A3149" s="2"/>
    </row>
    <row r="3150" spans="1:1" x14ac:dyDescent="0.2">
      <c r="A3150" s="2"/>
    </row>
    <row r="3151" spans="1:1" x14ac:dyDescent="0.2">
      <c r="A3151" s="2"/>
    </row>
    <row r="3152" spans="1:1" x14ac:dyDescent="0.2">
      <c r="A3152" s="2"/>
    </row>
    <row r="3153" spans="1:1" x14ac:dyDescent="0.2">
      <c r="A3153" s="2"/>
    </row>
    <row r="3154" spans="1:1" x14ac:dyDescent="0.2">
      <c r="A3154" s="2"/>
    </row>
    <row r="3155" spans="1:1" x14ac:dyDescent="0.2">
      <c r="A3155" s="2"/>
    </row>
    <row r="3156" spans="1:1" x14ac:dyDescent="0.2">
      <c r="A3156" s="2"/>
    </row>
    <row r="3157" spans="1:1" x14ac:dyDescent="0.2">
      <c r="A3157" s="2"/>
    </row>
    <row r="3158" spans="1:1" x14ac:dyDescent="0.2">
      <c r="A3158" s="2"/>
    </row>
    <row r="3159" spans="1:1" x14ac:dyDescent="0.2">
      <c r="A3159" s="2"/>
    </row>
    <row r="3160" spans="1:1" x14ac:dyDescent="0.2">
      <c r="A3160" s="2"/>
    </row>
    <row r="3161" spans="1:1" x14ac:dyDescent="0.2">
      <c r="A3161" s="2"/>
    </row>
    <row r="3162" spans="1:1" x14ac:dyDescent="0.2">
      <c r="A3162" s="2"/>
    </row>
    <row r="3163" spans="1:1" x14ac:dyDescent="0.2">
      <c r="A3163" s="2"/>
    </row>
    <row r="3164" spans="1:1" x14ac:dyDescent="0.2">
      <c r="A3164" s="2"/>
    </row>
    <row r="3165" spans="1:1" x14ac:dyDescent="0.2">
      <c r="A3165" s="2"/>
    </row>
    <row r="3166" spans="1:1" x14ac:dyDescent="0.2">
      <c r="A3166" s="2"/>
    </row>
    <row r="3167" spans="1:1" x14ac:dyDescent="0.2">
      <c r="A3167" s="2"/>
    </row>
    <row r="3168" spans="1:1" x14ac:dyDescent="0.2">
      <c r="A3168" s="2"/>
    </row>
    <row r="3169" spans="1:1" x14ac:dyDescent="0.2">
      <c r="A3169" s="2"/>
    </row>
    <row r="3170" spans="1:1" x14ac:dyDescent="0.2">
      <c r="A3170" s="2"/>
    </row>
    <row r="3171" spans="1:1" x14ac:dyDescent="0.2">
      <c r="A3171" s="2"/>
    </row>
    <row r="3172" spans="1:1" x14ac:dyDescent="0.2">
      <c r="A3172" s="2"/>
    </row>
    <row r="3173" spans="1:1" x14ac:dyDescent="0.2">
      <c r="A3173" s="2"/>
    </row>
    <row r="3174" spans="1:1" x14ac:dyDescent="0.2">
      <c r="A3174" s="2"/>
    </row>
    <row r="3175" spans="1:1" x14ac:dyDescent="0.2">
      <c r="A3175" s="2"/>
    </row>
    <row r="3176" spans="1:1" x14ac:dyDescent="0.2">
      <c r="A3176" s="2"/>
    </row>
    <row r="3177" spans="1:1" x14ac:dyDescent="0.2">
      <c r="A3177" s="2"/>
    </row>
    <row r="3178" spans="1:1" x14ac:dyDescent="0.2">
      <c r="A3178" s="2"/>
    </row>
    <row r="3179" spans="1:1" x14ac:dyDescent="0.2">
      <c r="A3179" s="2"/>
    </row>
    <row r="3180" spans="1:1" x14ac:dyDescent="0.2">
      <c r="A3180" s="2"/>
    </row>
    <row r="3181" spans="1:1" x14ac:dyDescent="0.2">
      <c r="A3181" s="2"/>
    </row>
    <row r="3182" spans="1:1" x14ac:dyDescent="0.2">
      <c r="A3182" s="2"/>
    </row>
    <row r="3183" spans="1:1" x14ac:dyDescent="0.2">
      <c r="A3183" s="2"/>
    </row>
    <row r="3184" spans="1:1" x14ac:dyDescent="0.2">
      <c r="A3184" s="2"/>
    </row>
    <row r="3185" spans="1:1" x14ac:dyDescent="0.2">
      <c r="A3185" s="2"/>
    </row>
    <row r="3186" spans="1:1" x14ac:dyDescent="0.2">
      <c r="A3186" s="2"/>
    </row>
    <row r="3187" spans="1:1" x14ac:dyDescent="0.2">
      <c r="A3187" s="2"/>
    </row>
    <row r="3188" spans="1:1" x14ac:dyDescent="0.2">
      <c r="A3188" s="2"/>
    </row>
    <row r="3189" spans="1:1" x14ac:dyDescent="0.2">
      <c r="A3189" s="2"/>
    </row>
    <row r="3190" spans="1:1" x14ac:dyDescent="0.2">
      <c r="A3190" s="2"/>
    </row>
    <row r="3191" spans="1:1" x14ac:dyDescent="0.2">
      <c r="A3191" s="2"/>
    </row>
    <row r="3192" spans="1:1" x14ac:dyDescent="0.2">
      <c r="A3192" s="2"/>
    </row>
    <row r="3193" spans="1:1" x14ac:dyDescent="0.2">
      <c r="A3193" s="2"/>
    </row>
    <row r="3194" spans="1:1" x14ac:dyDescent="0.2">
      <c r="A3194" s="2"/>
    </row>
    <row r="3195" spans="1:1" x14ac:dyDescent="0.2">
      <c r="A3195" s="2"/>
    </row>
    <row r="3196" spans="1:1" x14ac:dyDescent="0.2">
      <c r="A3196" s="2"/>
    </row>
    <row r="3197" spans="1:1" x14ac:dyDescent="0.2">
      <c r="A3197" s="2"/>
    </row>
    <row r="3198" spans="1:1" x14ac:dyDescent="0.2">
      <c r="A3198" s="2"/>
    </row>
    <row r="3199" spans="1:1" x14ac:dyDescent="0.2">
      <c r="A3199" s="2"/>
    </row>
    <row r="3200" spans="1:1" x14ac:dyDescent="0.2">
      <c r="A3200" s="2"/>
    </row>
    <row r="3201" spans="1:1" x14ac:dyDescent="0.2">
      <c r="A3201" s="2"/>
    </row>
    <row r="3202" spans="1:1" x14ac:dyDescent="0.2">
      <c r="A3202" s="2"/>
    </row>
    <row r="3203" spans="1:1" x14ac:dyDescent="0.2">
      <c r="A3203" s="2"/>
    </row>
    <row r="3204" spans="1:1" x14ac:dyDescent="0.2">
      <c r="A3204" s="2"/>
    </row>
    <row r="3205" spans="1:1" x14ac:dyDescent="0.2">
      <c r="A3205" s="2"/>
    </row>
    <row r="3206" spans="1:1" x14ac:dyDescent="0.2">
      <c r="A3206" s="2"/>
    </row>
    <row r="3207" spans="1:1" x14ac:dyDescent="0.2">
      <c r="A3207" s="2"/>
    </row>
    <row r="3208" spans="1:1" x14ac:dyDescent="0.2">
      <c r="A3208" s="2"/>
    </row>
    <row r="3209" spans="1:1" x14ac:dyDescent="0.2">
      <c r="A3209" s="2"/>
    </row>
    <row r="3210" spans="1:1" x14ac:dyDescent="0.2">
      <c r="A3210" s="2"/>
    </row>
    <row r="3211" spans="1:1" x14ac:dyDescent="0.2">
      <c r="A3211" s="2"/>
    </row>
    <row r="3212" spans="1:1" x14ac:dyDescent="0.2">
      <c r="A3212" s="2"/>
    </row>
    <row r="3213" spans="1:1" x14ac:dyDescent="0.2">
      <c r="A3213" s="2"/>
    </row>
    <row r="3214" spans="1:1" x14ac:dyDescent="0.2">
      <c r="A3214" s="2"/>
    </row>
    <row r="3215" spans="1:1" x14ac:dyDescent="0.2">
      <c r="A3215" s="2"/>
    </row>
    <row r="3216" spans="1:1" x14ac:dyDescent="0.2">
      <c r="A3216" s="2"/>
    </row>
    <row r="3217" spans="1:1" x14ac:dyDescent="0.2">
      <c r="A3217" s="2"/>
    </row>
    <row r="3218" spans="1:1" x14ac:dyDescent="0.2">
      <c r="A3218" s="2"/>
    </row>
    <row r="3219" spans="1:1" x14ac:dyDescent="0.2">
      <c r="A3219" s="2"/>
    </row>
    <row r="3220" spans="1:1" x14ac:dyDescent="0.2">
      <c r="A3220" s="2"/>
    </row>
    <row r="3221" spans="1:1" x14ac:dyDescent="0.2">
      <c r="A3221" s="2"/>
    </row>
    <row r="3222" spans="1:1" x14ac:dyDescent="0.2">
      <c r="A3222" s="2"/>
    </row>
    <row r="3223" spans="1:1" x14ac:dyDescent="0.2">
      <c r="A3223" s="2"/>
    </row>
    <row r="3224" spans="1:1" x14ac:dyDescent="0.2">
      <c r="A3224" s="2"/>
    </row>
    <row r="3225" spans="1:1" x14ac:dyDescent="0.2">
      <c r="A3225" s="2"/>
    </row>
    <row r="3226" spans="1:1" x14ac:dyDescent="0.2">
      <c r="A3226" s="2"/>
    </row>
    <row r="3227" spans="1:1" x14ac:dyDescent="0.2">
      <c r="A3227" s="2"/>
    </row>
    <row r="3228" spans="1:1" x14ac:dyDescent="0.2">
      <c r="A3228" s="2"/>
    </row>
    <row r="3229" spans="1:1" x14ac:dyDescent="0.2">
      <c r="A3229" s="2"/>
    </row>
    <row r="3230" spans="1:1" x14ac:dyDescent="0.2">
      <c r="A3230" s="2"/>
    </row>
    <row r="3231" spans="1:1" x14ac:dyDescent="0.2">
      <c r="A3231" s="2"/>
    </row>
    <row r="3232" spans="1:1" x14ac:dyDescent="0.2">
      <c r="A3232" s="2"/>
    </row>
    <row r="3233" spans="1:1" x14ac:dyDescent="0.2">
      <c r="A3233" s="2"/>
    </row>
    <row r="3234" spans="1:1" x14ac:dyDescent="0.2">
      <c r="A3234" s="2"/>
    </row>
    <row r="3235" spans="1:1" x14ac:dyDescent="0.2">
      <c r="A3235" s="2"/>
    </row>
    <row r="3236" spans="1:1" x14ac:dyDescent="0.2">
      <c r="A3236" s="2"/>
    </row>
    <row r="3237" spans="1:1" x14ac:dyDescent="0.2">
      <c r="A3237" s="2"/>
    </row>
    <row r="3238" spans="1:1" x14ac:dyDescent="0.2">
      <c r="A3238" s="2"/>
    </row>
    <row r="3239" spans="1:1" x14ac:dyDescent="0.2">
      <c r="A3239" s="2"/>
    </row>
    <row r="3240" spans="1:1" x14ac:dyDescent="0.2">
      <c r="A3240" s="2"/>
    </row>
    <row r="3241" spans="1:1" x14ac:dyDescent="0.2">
      <c r="A3241" s="2"/>
    </row>
    <row r="3242" spans="1:1" x14ac:dyDescent="0.2">
      <c r="A3242" s="2"/>
    </row>
    <row r="3243" spans="1:1" x14ac:dyDescent="0.2">
      <c r="A3243" s="2"/>
    </row>
    <row r="3244" spans="1:1" x14ac:dyDescent="0.2">
      <c r="A3244" s="2"/>
    </row>
    <row r="3245" spans="1:1" x14ac:dyDescent="0.2">
      <c r="A3245" s="2"/>
    </row>
    <row r="3246" spans="1:1" x14ac:dyDescent="0.2">
      <c r="A3246" s="2"/>
    </row>
    <row r="3247" spans="1:1" x14ac:dyDescent="0.2">
      <c r="A3247" s="2"/>
    </row>
    <row r="3248" spans="1:1" x14ac:dyDescent="0.2">
      <c r="A3248" s="2"/>
    </row>
    <row r="3249" spans="1:1" x14ac:dyDescent="0.2">
      <c r="A3249" s="2"/>
    </row>
    <row r="3250" spans="1:1" x14ac:dyDescent="0.2">
      <c r="A3250" s="2"/>
    </row>
    <row r="3251" spans="1:1" x14ac:dyDescent="0.2">
      <c r="A3251" s="2"/>
    </row>
    <row r="3252" spans="1:1" x14ac:dyDescent="0.2">
      <c r="A3252" s="2"/>
    </row>
    <row r="3253" spans="1:1" x14ac:dyDescent="0.2">
      <c r="A3253" s="2"/>
    </row>
    <row r="3254" spans="1:1" x14ac:dyDescent="0.2">
      <c r="A3254" s="2"/>
    </row>
    <row r="3255" spans="1:1" x14ac:dyDescent="0.2">
      <c r="A3255" s="2"/>
    </row>
    <row r="3256" spans="1:1" x14ac:dyDescent="0.2">
      <c r="A3256" s="2"/>
    </row>
    <row r="3257" spans="1:1" x14ac:dyDescent="0.2">
      <c r="A3257" s="2"/>
    </row>
    <row r="3258" spans="1:1" x14ac:dyDescent="0.2">
      <c r="A3258" s="2"/>
    </row>
    <row r="3259" spans="1:1" x14ac:dyDescent="0.2">
      <c r="A3259" s="2"/>
    </row>
    <row r="3260" spans="1:1" x14ac:dyDescent="0.2">
      <c r="A3260" s="2"/>
    </row>
    <row r="3261" spans="1:1" x14ac:dyDescent="0.2">
      <c r="A3261" s="2"/>
    </row>
    <row r="3262" spans="1:1" x14ac:dyDescent="0.2">
      <c r="A3262" s="2"/>
    </row>
    <row r="3263" spans="1:1" x14ac:dyDescent="0.2">
      <c r="A3263" s="2"/>
    </row>
    <row r="3264" spans="1:1" x14ac:dyDescent="0.2">
      <c r="A3264" s="2"/>
    </row>
    <row r="3265" spans="1:1" x14ac:dyDescent="0.2">
      <c r="A3265" s="2"/>
    </row>
    <row r="3266" spans="1:1" x14ac:dyDescent="0.2">
      <c r="A3266" s="2"/>
    </row>
    <row r="3267" spans="1:1" x14ac:dyDescent="0.2">
      <c r="A3267" s="2"/>
    </row>
    <row r="3268" spans="1:1" x14ac:dyDescent="0.2">
      <c r="A3268" s="2"/>
    </row>
    <row r="3269" spans="1:1" x14ac:dyDescent="0.2">
      <c r="A3269" s="2"/>
    </row>
    <row r="3270" spans="1:1" x14ac:dyDescent="0.2">
      <c r="A3270" s="2"/>
    </row>
    <row r="3271" spans="1:1" x14ac:dyDescent="0.2">
      <c r="A3271" s="2"/>
    </row>
    <row r="3272" spans="1:1" x14ac:dyDescent="0.2">
      <c r="A3272" s="2"/>
    </row>
    <row r="3273" spans="1:1" x14ac:dyDescent="0.2">
      <c r="A3273" s="2"/>
    </row>
    <row r="3274" spans="1:1" x14ac:dyDescent="0.2">
      <c r="A3274" s="2"/>
    </row>
    <row r="3275" spans="1:1" x14ac:dyDescent="0.2">
      <c r="A3275" s="2"/>
    </row>
    <row r="3276" spans="1:1" x14ac:dyDescent="0.2">
      <c r="A3276" s="2"/>
    </row>
    <row r="3277" spans="1:1" x14ac:dyDescent="0.2">
      <c r="A3277" s="2"/>
    </row>
    <row r="3278" spans="1:1" x14ac:dyDescent="0.2">
      <c r="A3278" s="2"/>
    </row>
    <row r="3279" spans="1:1" x14ac:dyDescent="0.2">
      <c r="A3279" s="2"/>
    </row>
    <row r="3280" spans="1:1" x14ac:dyDescent="0.2">
      <c r="A3280" s="2"/>
    </row>
    <row r="3281" spans="1:1" x14ac:dyDescent="0.2">
      <c r="A3281" s="2"/>
    </row>
    <row r="3282" spans="1:1" x14ac:dyDescent="0.2">
      <c r="A3282" s="2"/>
    </row>
    <row r="3283" spans="1:1" x14ac:dyDescent="0.2">
      <c r="A3283" s="2"/>
    </row>
    <row r="3284" spans="1:1" x14ac:dyDescent="0.2">
      <c r="A3284" s="2"/>
    </row>
    <row r="3285" spans="1:1" x14ac:dyDescent="0.2">
      <c r="A3285" s="2"/>
    </row>
    <row r="3286" spans="1:1" x14ac:dyDescent="0.2">
      <c r="A3286" s="2"/>
    </row>
    <row r="3287" spans="1:1" x14ac:dyDescent="0.2">
      <c r="A3287" s="2"/>
    </row>
    <row r="3288" spans="1:1" x14ac:dyDescent="0.2">
      <c r="A3288" s="2"/>
    </row>
    <row r="3289" spans="1:1" x14ac:dyDescent="0.2">
      <c r="A3289" s="2"/>
    </row>
    <row r="3290" spans="1:1" x14ac:dyDescent="0.2">
      <c r="A3290" s="2"/>
    </row>
    <row r="3291" spans="1:1" x14ac:dyDescent="0.2">
      <c r="A3291" s="2"/>
    </row>
    <row r="3292" spans="1:1" x14ac:dyDescent="0.2">
      <c r="A3292" s="2"/>
    </row>
    <row r="3293" spans="1:1" x14ac:dyDescent="0.2">
      <c r="A3293" s="2"/>
    </row>
    <row r="3294" spans="1:1" x14ac:dyDescent="0.2">
      <c r="A3294" s="2"/>
    </row>
    <row r="3295" spans="1:1" x14ac:dyDescent="0.2">
      <c r="A3295" s="2"/>
    </row>
    <row r="3296" spans="1:1" x14ac:dyDescent="0.2">
      <c r="A3296" s="2"/>
    </row>
    <row r="3297" spans="1:1" x14ac:dyDescent="0.2">
      <c r="A3297" s="2"/>
    </row>
    <row r="3298" spans="1:1" x14ac:dyDescent="0.2">
      <c r="A3298" s="2"/>
    </row>
    <row r="3299" spans="1:1" x14ac:dyDescent="0.2">
      <c r="A3299" s="2"/>
    </row>
    <row r="3300" spans="1:1" x14ac:dyDescent="0.2">
      <c r="A3300" s="2"/>
    </row>
    <row r="3301" spans="1:1" x14ac:dyDescent="0.2">
      <c r="A3301" s="2"/>
    </row>
    <row r="3302" spans="1:1" x14ac:dyDescent="0.2">
      <c r="A3302" s="2"/>
    </row>
    <row r="3303" spans="1:1" x14ac:dyDescent="0.2">
      <c r="A3303" s="2"/>
    </row>
    <row r="3304" spans="1:1" x14ac:dyDescent="0.2">
      <c r="A3304" s="2"/>
    </row>
    <row r="3305" spans="1:1" x14ac:dyDescent="0.2">
      <c r="A3305" s="2"/>
    </row>
    <row r="3306" spans="1:1" x14ac:dyDescent="0.2">
      <c r="A3306" s="2"/>
    </row>
    <row r="3307" spans="1:1" x14ac:dyDescent="0.2">
      <c r="A3307" s="2"/>
    </row>
    <row r="3308" spans="1:1" x14ac:dyDescent="0.2">
      <c r="A3308" s="2"/>
    </row>
    <row r="3309" spans="1:1" x14ac:dyDescent="0.2">
      <c r="A3309" s="2"/>
    </row>
    <row r="3310" spans="1:1" x14ac:dyDescent="0.2">
      <c r="A3310" s="2"/>
    </row>
    <row r="3311" spans="1:1" x14ac:dyDescent="0.2">
      <c r="A3311" s="2"/>
    </row>
    <row r="3312" spans="1:1" x14ac:dyDescent="0.2">
      <c r="A3312" s="2"/>
    </row>
    <row r="3313" spans="1:1" x14ac:dyDescent="0.2">
      <c r="A3313" s="2"/>
    </row>
    <row r="3314" spans="1:1" x14ac:dyDescent="0.2">
      <c r="A3314" s="2"/>
    </row>
    <row r="3315" spans="1:1" x14ac:dyDescent="0.2">
      <c r="A3315" s="2"/>
    </row>
    <row r="3316" spans="1:1" x14ac:dyDescent="0.2">
      <c r="A3316" s="2"/>
    </row>
    <row r="3317" spans="1:1" x14ac:dyDescent="0.2">
      <c r="A3317" s="2"/>
    </row>
    <row r="3318" spans="1:1" x14ac:dyDescent="0.2">
      <c r="A3318" s="2"/>
    </row>
    <row r="3319" spans="1:1" x14ac:dyDescent="0.2">
      <c r="A3319" s="2"/>
    </row>
    <row r="3320" spans="1:1" x14ac:dyDescent="0.2">
      <c r="A3320" s="2"/>
    </row>
    <row r="3321" spans="1:1" x14ac:dyDescent="0.2">
      <c r="A3321" s="2"/>
    </row>
    <row r="3322" spans="1:1" x14ac:dyDescent="0.2">
      <c r="A3322" s="2"/>
    </row>
    <row r="3323" spans="1:1" x14ac:dyDescent="0.2">
      <c r="A3323" s="2"/>
    </row>
    <row r="3324" spans="1:1" x14ac:dyDescent="0.2">
      <c r="A3324" s="2"/>
    </row>
    <row r="3325" spans="1:1" x14ac:dyDescent="0.2">
      <c r="A3325" s="2"/>
    </row>
    <row r="3326" spans="1:1" x14ac:dyDescent="0.2">
      <c r="A3326" s="2"/>
    </row>
    <row r="3327" spans="1:1" x14ac:dyDescent="0.2">
      <c r="A3327" s="2"/>
    </row>
    <row r="3328" spans="1:1" x14ac:dyDescent="0.2">
      <c r="A3328" s="2"/>
    </row>
    <row r="3329" spans="1:1" x14ac:dyDescent="0.2">
      <c r="A3329" s="2"/>
    </row>
    <row r="3330" spans="1:1" x14ac:dyDescent="0.2">
      <c r="A3330" s="2"/>
    </row>
    <row r="3331" spans="1:1" x14ac:dyDescent="0.2">
      <c r="A3331" s="2"/>
    </row>
    <row r="3332" spans="1:1" x14ac:dyDescent="0.2">
      <c r="A3332" s="2"/>
    </row>
    <row r="3333" spans="1:1" x14ac:dyDescent="0.2">
      <c r="A3333" s="2"/>
    </row>
    <row r="3334" spans="1:1" x14ac:dyDescent="0.2">
      <c r="A3334" s="2"/>
    </row>
    <row r="3335" spans="1:1" x14ac:dyDescent="0.2">
      <c r="A3335" s="2"/>
    </row>
    <row r="3336" spans="1:1" x14ac:dyDescent="0.2">
      <c r="A3336" s="2"/>
    </row>
    <row r="3337" spans="1:1" x14ac:dyDescent="0.2">
      <c r="A3337" s="2"/>
    </row>
    <row r="3338" spans="1:1" x14ac:dyDescent="0.2">
      <c r="A3338" s="2"/>
    </row>
    <row r="3339" spans="1:1" x14ac:dyDescent="0.2">
      <c r="A3339" s="2"/>
    </row>
    <row r="3340" spans="1:1" x14ac:dyDescent="0.2">
      <c r="A3340" s="2"/>
    </row>
    <row r="3341" spans="1:1" x14ac:dyDescent="0.2">
      <c r="A3341" s="2"/>
    </row>
    <row r="3342" spans="1:1" x14ac:dyDescent="0.2">
      <c r="A3342" s="2"/>
    </row>
    <row r="3343" spans="1:1" x14ac:dyDescent="0.2">
      <c r="A3343" s="2"/>
    </row>
    <row r="3344" spans="1:1" x14ac:dyDescent="0.2">
      <c r="A3344" s="2"/>
    </row>
    <row r="3345" spans="1:1" x14ac:dyDescent="0.2">
      <c r="A3345" s="2"/>
    </row>
    <row r="3346" spans="1:1" x14ac:dyDescent="0.2">
      <c r="A3346" s="2"/>
    </row>
    <row r="3347" spans="1:1" x14ac:dyDescent="0.2">
      <c r="A3347" s="2"/>
    </row>
    <row r="3348" spans="1:1" x14ac:dyDescent="0.2">
      <c r="A3348" s="2"/>
    </row>
    <row r="3349" spans="1:1" x14ac:dyDescent="0.2">
      <c r="A3349" s="2"/>
    </row>
    <row r="3350" spans="1:1" x14ac:dyDescent="0.2">
      <c r="A3350" s="2"/>
    </row>
    <row r="3351" spans="1:1" x14ac:dyDescent="0.2">
      <c r="A3351" s="2"/>
    </row>
    <row r="3352" spans="1:1" x14ac:dyDescent="0.2">
      <c r="A3352" s="2"/>
    </row>
    <row r="3353" spans="1:1" x14ac:dyDescent="0.2">
      <c r="A3353" s="2"/>
    </row>
    <row r="3354" spans="1:1" x14ac:dyDescent="0.2">
      <c r="A3354" s="2"/>
    </row>
    <row r="3355" spans="1:1" x14ac:dyDescent="0.2">
      <c r="A3355" s="2"/>
    </row>
    <row r="3356" spans="1:1" x14ac:dyDescent="0.2">
      <c r="A3356" s="2"/>
    </row>
    <row r="3357" spans="1:1" x14ac:dyDescent="0.2">
      <c r="A3357" s="2"/>
    </row>
    <row r="3358" spans="1:1" x14ac:dyDescent="0.2">
      <c r="A3358" s="2"/>
    </row>
    <row r="3359" spans="1:1" x14ac:dyDescent="0.2">
      <c r="A3359" s="2"/>
    </row>
    <row r="3360" spans="1:1" x14ac:dyDescent="0.2">
      <c r="A3360" s="2"/>
    </row>
    <row r="3361" spans="1:1" x14ac:dyDescent="0.2">
      <c r="A3361" s="2"/>
    </row>
    <row r="3362" spans="1:1" x14ac:dyDescent="0.2">
      <c r="A3362" s="2"/>
    </row>
    <row r="3363" spans="1:1" x14ac:dyDescent="0.2">
      <c r="A3363" s="2"/>
    </row>
    <row r="3364" spans="1:1" x14ac:dyDescent="0.2">
      <c r="A3364" s="2"/>
    </row>
    <row r="3365" spans="1:1" x14ac:dyDescent="0.2">
      <c r="A3365" s="2"/>
    </row>
    <row r="3366" spans="1:1" x14ac:dyDescent="0.2">
      <c r="A3366" s="2"/>
    </row>
    <row r="3367" spans="1:1" x14ac:dyDescent="0.2">
      <c r="A3367" s="2"/>
    </row>
    <row r="3368" spans="1:1" x14ac:dyDescent="0.2">
      <c r="A3368" s="2"/>
    </row>
    <row r="3369" spans="1:1" x14ac:dyDescent="0.2">
      <c r="A3369" s="2"/>
    </row>
    <row r="3370" spans="1:1" x14ac:dyDescent="0.2">
      <c r="A3370" s="2"/>
    </row>
    <row r="3371" spans="1:1" x14ac:dyDescent="0.2">
      <c r="A3371" s="2"/>
    </row>
    <row r="3372" spans="1:1" x14ac:dyDescent="0.2">
      <c r="A3372" s="2"/>
    </row>
    <row r="3373" spans="1:1" x14ac:dyDescent="0.2">
      <c r="A3373" s="2"/>
    </row>
    <row r="3374" spans="1:1" x14ac:dyDescent="0.2">
      <c r="A3374" s="2"/>
    </row>
    <row r="3375" spans="1:1" x14ac:dyDescent="0.2">
      <c r="A3375" s="2"/>
    </row>
    <row r="3376" spans="1:1" x14ac:dyDescent="0.2">
      <c r="A3376" s="2"/>
    </row>
    <row r="3377" spans="1:1" x14ac:dyDescent="0.2">
      <c r="A3377" s="2"/>
    </row>
    <row r="3378" spans="1:1" x14ac:dyDescent="0.2">
      <c r="A3378" s="2"/>
    </row>
    <row r="3379" spans="1:1" x14ac:dyDescent="0.2">
      <c r="A3379" s="2"/>
    </row>
    <row r="3380" spans="1:1" x14ac:dyDescent="0.2">
      <c r="A3380" s="2"/>
    </row>
    <row r="3381" spans="1:1" x14ac:dyDescent="0.2">
      <c r="A3381" s="2"/>
    </row>
    <row r="3382" spans="1:1" x14ac:dyDescent="0.2">
      <c r="A3382" s="2"/>
    </row>
    <row r="3383" spans="1:1" x14ac:dyDescent="0.2">
      <c r="A3383" s="2"/>
    </row>
    <row r="3384" spans="1:1" x14ac:dyDescent="0.2">
      <c r="A3384" s="2"/>
    </row>
    <row r="3385" spans="1:1" x14ac:dyDescent="0.2">
      <c r="A3385" s="2"/>
    </row>
    <row r="3386" spans="1:1" x14ac:dyDescent="0.2">
      <c r="A3386" s="2"/>
    </row>
    <row r="3387" spans="1:1" x14ac:dyDescent="0.2">
      <c r="A3387" s="2"/>
    </row>
    <row r="3388" spans="1:1" x14ac:dyDescent="0.2">
      <c r="A3388" s="2"/>
    </row>
    <row r="3389" spans="1:1" x14ac:dyDescent="0.2">
      <c r="A3389" s="2"/>
    </row>
    <row r="3390" spans="1:1" x14ac:dyDescent="0.2">
      <c r="A3390" s="2"/>
    </row>
    <row r="3391" spans="1:1" x14ac:dyDescent="0.2">
      <c r="A3391" s="2"/>
    </row>
    <row r="3392" spans="1:1" x14ac:dyDescent="0.2">
      <c r="A3392" s="2"/>
    </row>
    <row r="3393" spans="1:1" x14ac:dyDescent="0.2">
      <c r="A3393" s="2"/>
    </row>
    <row r="3394" spans="1:1" x14ac:dyDescent="0.2">
      <c r="A3394" s="2"/>
    </row>
    <row r="3395" spans="1:1" x14ac:dyDescent="0.2">
      <c r="A3395" s="2"/>
    </row>
    <row r="3396" spans="1:1" x14ac:dyDescent="0.2">
      <c r="A3396" s="2"/>
    </row>
    <row r="3397" spans="1:1" x14ac:dyDescent="0.2">
      <c r="A3397" s="2"/>
    </row>
    <row r="3398" spans="1:1" x14ac:dyDescent="0.2">
      <c r="A3398" s="2"/>
    </row>
    <row r="3399" spans="1:1" x14ac:dyDescent="0.2">
      <c r="A3399" s="2"/>
    </row>
    <row r="3400" spans="1:1" x14ac:dyDescent="0.2">
      <c r="A3400" s="2"/>
    </row>
    <row r="3401" spans="1:1" x14ac:dyDescent="0.2">
      <c r="A3401" s="2"/>
    </row>
    <row r="3402" spans="1:1" x14ac:dyDescent="0.2">
      <c r="A3402" s="2"/>
    </row>
    <row r="3403" spans="1:1" x14ac:dyDescent="0.2">
      <c r="A3403" s="2"/>
    </row>
    <row r="3404" spans="1:1" x14ac:dyDescent="0.2">
      <c r="A3404" s="2"/>
    </row>
    <row r="3405" spans="1:1" x14ac:dyDescent="0.2">
      <c r="A3405" s="2"/>
    </row>
    <row r="3406" spans="1:1" x14ac:dyDescent="0.2">
      <c r="A3406" s="2"/>
    </row>
    <row r="3407" spans="1:1" x14ac:dyDescent="0.2">
      <c r="A3407" s="2"/>
    </row>
    <row r="3408" spans="1:1" x14ac:dyDescent="0.2">
      <c r="A3408" s="2"/>
    </row>
    <row r="3409" spans="1:1" x14ac:dyDescent="0.2">
      <c r="A3409" s="2"/>
    </row>
    <row r="3410" spans="1:1" x14ac:dyDescent="0.2">
      <c r="A3410" s="2"/>
    </row>
    <row r="3411" spans="1:1" x14ac:dyDescent="0.2">
      <c r="A3411" s="2"/>
    </row>
    <row r="3412" spans="1:1" x14ac:dyDescent="0.2">
      <c r="A3412" s="2"/>
    </row>
    <row r="3413" spans="1:1" x14ac:dyDescent="0.2">
      <c r="A3413" s="2"/>
    </row>
    <row r="3414" spans="1:1" x14ac:dyDescent="0.2">
      <c r="A3414" s="2"/>
    </row>
    <row r="3415" spans="1:1" x14ac:dyDescent="0.2">
      <c r="A3415" s="2"/>
    </row>
    <row r="3416" spans="1:1" x14ac:dyDescent="0.2">
      <c r="A3416" s="2"/>
    </row>
    <row r="3417" spans="1:1" x14ac:dyDescent="0.2">
      <c r="A3417" s="2"/>
    </row>
    <row r="3418" spans="1:1" x14ac:dyDescent="0.2">
      <c r="A3418" s="2"/>
    </row>
    <row r="3419" spans="1:1" x14ac:dyDescent="0.2">
      <c r="A3419" s="2"/>
    </row>
    <row r="3420" spans="1:1" x14ac:dyDescent="0.2">
      <c r="A3420" s="2"/>
    </row>
    <row r="3421" spans="1:1" x14ac:dyDescent="0.2">
      <c r="A3421" s="2"/>
    </row>
    <row r="3422" spans="1:1" x14ac:dyDescent="0.2">
      <c r="A3422" s="2"/>
    </row>
    <row r="3423" spans="1:1" x14ac:dyDescent="0.2">
      <c r="A3423" s="2"/>
    </row>
    <row r="3424" spans="1:1" x14ac:dyDescent="0.2">
      <c r="A3424" s="2"/>
    </row>
    <row r="3425" spans="1:1" x14ac:dyDescent="0.2">
      <c r="A3425" s="2"/>
    </row>
    <row r="3426" spans="1:1" x14ac:dyDescent="0.2">
      <c r="A3426" s="2"/>
    </row>
    <row r="3427" spans="1:1" x14ac:dyDescent="0.2">
      <c r="A3427" s="2"/>
    </row>
    <row r="3428" spans="1:1" x14ac:dyDescent="0.2">
      <c r="A3428" s="2"/>
    </row>
    <row r="3429" spans="1:1" x14ac:dyDescent="0.2">
      <c r="A3429" s="2"/>
    </row>
    <row r="3430" spans="1:1" x14ac:dyDescent="0.2">
      <c r="A3430" s="2"/>
    </row>
    <row r="3431" spans="1:1" x14ac:dyDescent="0.2">
      <c r="A3431" s="2"/>
    </row>
    <row r="3432" spans="1:1" x14ac:dyDescent="0.2">
      <c r="A3432" s="2"/>
    </row>
    <row r="3433" spans="1:1" x14ac:dyDescent="0.2">
      <c r="A3433" s="2"/>
    </row>
    <row r="3434" spans="1:1" x14ac:dyDescent="0.2">
      <c r="A3434" s="2"/>
    </row>
    <row r="3435" spans="1:1" x14ac:dyDescent="0.2">
      <c r="A3435" s="2"/>
    </row>
    <row r="3436" spans="1:1" x14ac:dyDescent="0.2">
      <c r="A3436" s="2"/>
    </row>
    <row r="3437" spans="1:1" x14ac:dyDescent="0.2">
      <c r="A3437" s="2"/>
    </row>
    <row r="3438" spans="1:1" x14ac:dyDescent="0.2">
      <c r="A3438" s="2"/>
    </row>
    <row r="3439" spans="1:1" x14ac:dyDescent="0.2">
      <c r="A3439" s="2"/>
    </row>
    <row r="3440" spans="1:1" x14ac:dyDescent="0.2">
      <c r="A3440" s="2"/>
    </row>
    <row r="3441" spans="1:1" x14ac:dyDescent="0.2">
      <c r="A3441" s="2"/>
    </row>
    <row r="3442" spans="1:1" x14ac:dyDescent="0.2">
      <c r="A3442" s="2"/>
    </row>
    <row r="3443" spans="1:1" x14ac:dyDescent="0.2">
      <c r="A3443" s="2"/>
    </row>
    <row r="3444" spans="1:1" x14ac:dyDescent="0.2">
      <c r="A3444" s="2"/>
    </row>
    <row r="3445" spans="1:1" x14ac:dyDescent="0.2">
      <c r="A3445" s="2"/>
    </row>
    <row r="3446" spans="1:1" x14ac:dyDescent="0.2">
      <c r="A3446" s="2"/>
    </row>
    <row r="3447" spans="1:1" x14ac:dyDescent="0.2">
      <c r="A3447" s="2"/>
    </row>
    <row r="3448" spans="1:1" x14ac:dyDescent="0.2">
      <c r="A3448" s="2"/>
    </row>
    <row r="3449" spans="1:1" x14ac:dyDescent="0.2">
      <c r="A3449" s="2"/>
    </row>
    <row r="3450" spans="1:1" x14ac:dyDescent="0.2">
      <c r="A3450" s="2"/>
    </row>
    <row r="3451" spans="1:1" x14ac:dyDescent="0.2">
      <c r="A3451" s="2"/>
    </row>
    <row r="3452" spans="1:1" x14ac:dyDescent="0.2">
      <c r="A3452" s="2"/>
    </row>
    <row r="3453" spans="1:1" x14ac:dyDescent="0.2">
      <c r="A3453" s="2"/>
    </row>
    <row r="3454" spans="1:1" x14ac:dyDescent="0.2">
      <c r="A3454" s="2"/>
    </row>
    <row r="3455" spans="1:1" x14ac:dyDescent="0.2">
      <c r="A3455" s="2"/>
    </row>
    <row r="3456" spans="1:1" x14ac:dyDescent="0.2">
      <c r="A3456" s="2"/>
    </row>
    <row r="3457" spans="1:1" x14ac:dyDescent="0.2">
      <c r="A3457" s="2"/>
    </row>
    <row r="3458" spans="1:1" x14ac:dyDescent="0.2">
      <c r="A3458" s="2"/>
    </row>
    <row r="3459" spans="1:1" x14ac:dyDescent="0.2">
      <c r="A3459" s="2"/>
    </row>
    <row r="3460" spans="1:1" x14ac:dyDescent="0.2">
      <c r="A3460" s="2"/>
    </row>
    <row r="3461" spans="1:1" x14ac:dyDescent="0.2">
      <c r="A3461" s="2"/>
    </row>
    <row r="3462" spans="1:1" x14ac:dyDescent="0.2">
      <c r="A3462" s="2"/>
    </row>
    <row r="3463" spans="1:1" x14ac:dyDescent="0.2">
      <c r="A3463" s="2"/>
    </row>
    <row r="3464" spans="1:1" x14ac:dyDescent="0.2">
      <c r="A3464" s="2"/>
    </row>
    <row r="3465" spans="1:1" x14ac:dyDescent="0.2">
      <c r="A3465" s="2"/>
    </row>
    <row r="3466" spans="1:1" x14ac:dyDescent="0.2">
      <c r="A3466" s="2"/>
    </row>
    <row r="3467" spans="1:1" x14ac:dyDescent="0.2">
      <c r="A3467" s="2"/>
    </row>
    <row r="3468" spans="1:1" x14ac:dyDescent="0.2">
      <c r="A3468" s="2"/>
    </row>
    <row r="3469" spans="1:1" x14ac:dyDescent="0.2">
      <c r="A3469" s="2"/>
    </row>
    <row r="3470" spans="1:1" x14ac:dyDescent="0.2">
      <c r="A3470" s="2"/>
    </row>
    <row r="3471" spans="1:1" x14ac:dyDescent="0.2">
      <c r="A3471" s="2"/>
    </row>
    <row r="3472" spans="1:1" x14ac:dyDescent="0.2">
      <c r="A3472" s="2"/>
    </row>
    <row r="3473" spans="1:1" x14ac:dyDescent="0.2">
      <c r="A3473" s="2"/>
    </row>
    <row r="3474" spans="1:1" x14ac:dyDescent="0.2">
      <c r="A3474" s="2"/>
    </row>
    <row r="3475" spans="1:1" x14ac:dyDescent="0.2">
      <c r="A3475" s="2"/>
    </row>
    <row r="3476" spans="1:1" x14ac:dyDescent="0.2">
      <c r="A3476" s="2"/>
    </row>
    <row r="3477" spans="1:1" x14ac:dyDescent="0.2">
      <c r="A3477" s="2"/>
    </row>
    <row r="3478" spans="1:1" x14ac:dyDescent="0.2">
      <c r="A3478" s="2"/>
    </row>
    <row r="3479" spans="1:1" x14ac:dyDescent="0.2">
      <c r="A3479" s="2"/>
    </row>
    <row r="3480" spans="1:1" x14ac:dyDescent="0.2">
      <c r="A3480" s="2"/>
    </row>
    <row r="3481" spans="1:1" x14ac:dyDescent="0.2">
      <c r="A3481" s="2"/>
    </row>
    <row r="3482" spans="1:1" x14ac:dyDescent="0.2">
      <c r="A3482" s="2"/>
    </row>
    <row r="3483" spans="1:1" x14ac:dyDescent="0.2">
      <c r="A3483" s="2"/>
    </row>
    <row r="3484" spans="1:1" x14ac:dyDescent="0.2">
      <c r="A3484" s="2"/>
    </row>
    <row r="3485" spans="1:1" x14ac:dyDescent="0.2">
      <c r="A3485" s="2"/>
    </row>
    <row r="3486" spans="1:1" x14ac:dyDescent="0.2">
      <c r="A3486" s="2"/>
    </row>
    <row r="3487" spans="1:1" x14ac:dyDescent="0.2">
      <c r="A3487" s="2"/>
    </row>
    <row r="3488" spans="1:1" x14ac:dyDescent="0.2">
      <c r="A3488" s="2"/>
    </row>
    <row r="3489" spans="1:1" x14ac:dyDescent="0.2">
      <c r="A3489" s="2"/>
    </row>
    <row r="3490" spans="1:1" x14ac:dyDescent="0.2">
      <c r="A3490" s="2"/>
    </row>
    <row r="3491" spans="1:1" x14ac:dyDescent="0.2">
      <c r="A3491" s="2"/>
    </row>
    <row r="3492" spans="1:1" x14ac:dyDescent="0.2">
      <c r="A3492" s="2"/>
    </row>
    <row r="3493" spans="1:1" x14ac:dyDescent="0.2">
      <c r="A3493" s="2"/>
    </row>
    <row r="3494" spans="1:1" x14ac:dyDescent="0.2">
      <c r="A3494" s="2"/>
    </row>
    <row r="3495" spans="1:1" x14ac:dyDescent="0.2">
      <c r="A3495" s="2"/>
    </row>
    <row r="3496" spans="1:1" x14ac:dyDescent="0.2">
      <c r="A3496" s="2"/>
    </row>
    <row r="3497" spans="1:1" x14ac:dyDescent="0.2">
      <c r="A3497" s="2"/>
    </row>
    <row r="3498" spans="1:1" x14ac:dyDescent="0.2">
      <c r="A3498" s="2"/>
    </row>
    <row r="3499" spans="1:1" x14ac:dyDescent="0.2">
      <c r="A3499" s="2"/>
    </row>
    <row r="3500" spans="1:1" x14ac:dyDescent="0.2">
      <c r="A3500" s="2"/>
    </row>
    <row r="3501" spans="1:1" x14ac:dyDescent="0.2">
      <c r="A3501" s="2"/>
    </row>
    <row r="3502" spans="1:1" x14ac:dyDescent="0.2">
      <c r="A3502" s="2"/>
    </row>
    <row r="3503" spans="1:1" x14ac:dyDescent="0.2">
      <c r="A3503" s="2"/>
    </row>
    <row r="3504" spans="1:1" x14ac:dyDescent="0.2">
      <c r="A3504" s="2"/>
    </row>
    <row r="3505" spans="1:1" x14ac:dyDescent="0.2">
      <c r="A3505" s="2"/>
    </row>
    <row r="3506" spans="1:1" x14ac:dyDescent="0.2">
      <c r="A3506" s="2"/>
    </row>
    <row r="3507" spans="1:1" x14ac:dyDescent="0.2">
      <c r="A3507" s="2"/>
    </row>
    <row r="3508" spans="1:1" x14ac:dyDescent="0.2">
      <c r="A3508" s="2"/>
    </row>
    <row r="3509" spans="1:1" x14ac:dyDescent="0.2">
      <c r="A3509" s="2"/>
    </row>
    <row r="3510" spans="1:1" x14ac:dyDescent="0.2">
      <c r="A3510" s="2"/>
    </row>
    <row r="3511" spans="1:1" x14ac:dyDescent="0.2">
      <c r="A3511" s="2"/>
    </row>
    <row r="3512" spans="1:1" x14ac:dyDescent="0.2">
      <c r="A3512" s="2"/>
    </row>
    <row r="3513" spans="1:1" x14ac:dyDescent="0.2">
      <c r="A3513" s="2"/>
    </row>
    <row r="3514" spans="1:1" x14ac:dyDescent="0.2">
      <c r="A3514" s="2"/>
    </row>
    <row r="3515" spans="1:1" x14ac:dyDescent="0.2">
      <c r="A3515" s="2"/>
    </row>
    <row r="3516" spans="1:1" x14ac:dyDescent="0.2">
      <c r="A3516" s="2"/>
    </row>
    <row r="3517" spans="1:1" x14ac:dyDescent="0.2">
      <c r="A3517" s="2"/>
    </row>
    <row r="3518" spans="1:1" x14ac:dyDescent="0.2">
      <c r="A3518" s="2"/>
    </row>
    <row r="3519" spans="1:1" x14ac:dyDescent="0.2">
      <c r="A3519" s="2"/>
    </row>
    <row r="3520" spans="1:1" x14ac:dyDescent="0.2">
      <c r="A3520" s="2"/>
    </row>
    <row r="3521" spans="1:1" x14ac:dyDescent="0.2">
      <c r="A3521" s="2"/>
    </row>
    <row r="3522" spans="1:1" x14ac:dyDescent="0.2">
      <c r="A3522" s="2"/>
    </row>
    <row r="3523" spans="1:1" x14ac:dyDescent="0.2">
      <c r="A3523" s="2"/>
    </row>
    <row r="3524" spans="1:1" x14ac:dyDescent="0.2">
      <c r="A3524" s="2"/>
    </row>
    <row r="3525" spans="1:1" x14ac:dyDescent="0.2">
      <c r="A3525" s="2"/>
    </row>
    <row r="3526" spans="1:1" x14ac:dyDescent="0.2">
      <c r="A3526" s="2"/>
    </row>
    <row r="3527" spans="1:1" x14ac:dyDescent="0.2">
      <c r="A3527" s="2"/>
    </row>
    <row r="3528" spans="1:1" x14ac:dyDescent="0.2">
      <c r="A3528" s="2"/>
    </row>
    <row r="3529" spans="1:1" x14ac:dyDescent="0.2">
      <c r="A3529" s="2"/>
    </row>
    <row r="3530" spans="1:1" x14ac:dyDescent="0.2">
      <c r="A3530" s="2"/>
    </row>
    <row r="3531" spans="1:1" x14ac:dyDescent="0.2">
      <c r="A3531" s="2"/>
    </row>
    <row r="3532" spans="1:1" x14ac:dyDescent="0.2">
      <c r="A3532" s="2"/>
    </row>
    <row r="3533" spans="1:1" x14ac:dyDescent="0.2">
      <c r="A3533" s="2"/>
    </row>
    <row r="3534" spans="1:1" x14ac:dyDescent="0.2">
      <c r="A3534" s="2"/>
    </row>
    <row r="3535" spans="1:1" x14ac:dyDescent="0.2">
      <c r="A3535" s="2"/>
    </row>
    <row r="3536" spans="1:1" x14ac:dyDescent="0.2">
      <c r="A3536" s="2"/>
    </row>
    <row r="3537" spans="1:1" x14ac:dyDescent="0.2">
      <c r="A3537" s="2"/>
    </row>
    <row r="3538" spans="1:1" x14ac:dyDescent="0.2">
      <c r="A3538" s="2"/>
    </row>
    <row r="3539" spans="1:1" x14ac:dyDescent="0.2">
      <c r="A3539" s="2"/>
    </row>
    <row r="3540" spans="1:1" x14ac:dyDescent="0.2">
      <c r="A3540" s="2"/>
    </row>
    <row r="3541" spans="1:1" x14ac:dyDescent="0.2">
      <c r="A3541" s="2"/>
    </row>
    <row r="3542" spans="1:1" x14ac:dyDescent="0.2">
      <c r="A3542" s="2"/>
    </row>
    <row r="3543" spans="1:1" x14ac:dyDescent="0.2">
      <c r="A3543" s="2"/>
    </row>
    <row r="3544" spans="1:1" x14ac:dyDescent="0.2">
      <c r="A3544" s="2"/>
    </row>
    <row r="3545" spans="1:1" x14ac:dyDescent="0.2">
      <c r="A3545" s="2"/>
    </row>
    <row r="3546" spans="1:1" x14ac:dyDescent="0.2">
      <c r="A3546" s="2"/>
    </row>
    <row r="3547" spans="1:1" x14ac:dyDescent="0.2">
      <c r="A3547" s="2"/>
    </row>
    <row r="3548" spans="1:1" x14ac:dyDescent="0.2">
      <c r="A3548" s="2"/>
    </row>
    <row r="3549" spans="1:1" x14ac:dyDescent="0.2">
      <c r="A3549" s="2"/>
    </row>
    <row r="3550" spans="1:1" x14ac:dyDescent="0.2">
      <c r="A3550" s="2"/>
    </row>
    <row r="3551" spans="1:1" x14ac:dyDescent="0.2">
      <c r="A3551" s="2"/>
    </row>
    <row r="3552" spans="1:1" x14ac:dyDescent="0.2">
      <c r="A3552" s="2"/>
    </row>
    <row r="3553" spans="1:1" x14ac:dyDescent="0.2">
      <c r="A3553" s="2"/>
    </row>
    <row r="3554" spans="1:1" x14ac:dyDescent="0.2">
      <c r="A3554" s="2"/>
    </row>
    <row r="3555" spans="1:1" x14ac:dyDescent="0.2">
      <c r="A3555" s="2"/>
    </row>
    <row r="3556" spans="1:1" x14ac:dyDescent="0.2">
      <c r="A3556" s="2"/>
    </row>
    <row r="3557" spans="1:1" x14ac:dyDescent="0.2">
      <c r="A3557" s="2"/>
    </row>
    <row r="3558" spans="1:1" x14ac:dyDescent="0.2">
      <c r="A3558" s="2"/>
    </row>
    <row r="3559" spans="1:1" x14ac:dyDescent="0.2">
      <c r="A3559" s="2"/>
    </row>
    <row r="3560" spans="1:1" x14ac:dyDescent="0.2">
      <c r="A3560" s="2"/>
    </row>
    <row r="3561" spans="1:1" x14ac:dyDescent="0.2">
      <c r="A3561" s="2"/>
    </row>
    <row r="3562" spans="1:1" x14ac:dyDescent="0.2">
      <c r="A3562" s="2"/>
    </row>
    <row r="3563" spans="1:1" x14ac:dyDescent="0.2">
      <c r="A3563" s="2"/>
    </row>
    <row r="3564" spans="1:1" x14ac:dyDescent="0.2">
      <c r="A3564" s="2"/>
    </row>
    <row r="3565" spans="1:1" x14ac:dyDescent="0.2">
      <c r="A3565" s="2"/>
    </row>
    <row r="3566" spans="1:1" x14ac:dyDescent="0.2">
      <c r="A3566" s="2"/>
    </row>
    <row r="3567" spans="1:1" x14ac:dyDescent="0.2">
      <c r="A3567" s="2"/>
    </row>
    <row r="3568" spans="1:1" x14ac:dyDescent="0.2">
      <c r="A3568" s="2"/>
    </row>
    <row r="3569" spans="1:1" x14ac:dyDescent="0.2">
      <c r="A3569" s="2"/>
    </row>
    <row r="3570" spans="1:1" x14ac:dyDescent="0.2">
      <c r="A3570" s="2"/>
    </row>
    <row r="3571" spans="1:1" x14ac:dyDescent="0.2">
      <c r="A3571" s="2"/>
    </row>
    <row r="3572" spans="1:1" x14ac:dyDescent="0.2">
      <c r="A3572" s="2"/>
    </row>
    <row r="3573" spans="1:1" x14ac:dyDescent="0.2">
      <c r="A3573" s="2"/>
    </row>
    <row r="3574" spans="1:1" x14ac:dyDescent="0.2">
      <c r="A3574" s="2"/>
    </row>
    <row r="3575" spans="1:1" x14ac:dyDescent="0.2">
      <c r="A3575" s="2"/>
    </row>
    <row r="3576" spans="1:1" x14ac:dyDescent="0.2">
      <c r="A3576" s="2"/>
    </row>
    <row r="3577" spans="1:1" x14ac:dyDescent="0.2">
      <c r="A3577" s="2"/>
    </row>
    <row r="3578" spans="1:1" x14ac:dyDescent="0.2">
      <c r="A3578" s="2"/>
    </row>
    <row r="3579" spans="1:1" x14ac:dyDescent="0.2">
      <c r="A3579" s="2"/>
    </row>
    <row r="3580" spans="1:1" x14ac:dyDescent="0.2">
      <c r="A3580" s="2"/>
    </row>
    <row r="3581" spans="1:1" x14ac:dyDescent="0.2">
      <c r="A3581" s="2"/>
    </row>
    <row r="3582" spans="1:1" x14ac:dyDescent="0.2">
      <c r="A3582" s="2"/>
    </row>
    <row r="3583" spans="1:1" x14ac:dyDescent="0.2">
      <c r="A3583" s="2"/>
    </row>
    <row r="3584" spans="1:1" x14ac:dyDescent="0.2">
      <c r="A3584" s="2"/>
    </row>
    <row r="3585" spans="1:1" x14ac:dyDescent="0.2">
      <c r="A3585" s="2"/>
    </row>
    <row r="3586" spans="1:1" x14ac:dyDescent="0.2">
      <c r="A3586" s="2"/>
    </row>
    <row r="3587" spans="1:1" x14ac:dyDescent="0.2">
      <c r="A3587" s="2"/>
    </row>
    <row r="3588" spans="1:1" x14ac:dyDescent="0.2">
      <c r="A3588" s="2"/>
    </row>
    <row r="3589" spans="1:1" x14ac:dyDescent="0.2">
      <c r="A3589" s="2"/>
    </row>
    <row r="3590" spans="1:1" x14ac:dyDescent="0.2">
      <c r="A3590" s="2"/>
    </row>
    <row r="3591" spans="1:1" x14ac:dyDescent="0.2">
      <c r="A3591" s="2"/>
    </row>
    <row r="3592" spans="1:1" x14ac:dyDescent="0.2">
      <c r="A3592" s="2"/>
    </row>
    <row r="3593" spans="1:1" x14ac:dyDescent="0.2">
      <c r="A3593" s="2"/>
    </row>
    <row r="3594" spans="1:1" x14ac:dyDescent="0.2">
      <c r="A3594" s="2"/>
    </row>
    <row r="3595" spans="1:1" x14ac:dyDescent="0.2">
      <c r="A3595" s="2"/>
    </row>
    <row r="3596" spans="1:1" x14ac:dyDescent="0.2">
      <c r="A3596" s="2"/>
    </row>
    <row r="3597" spans="1:1" x14ac:dyDescent="0.2">
      <c r="A3597" s="2"/>
    </row>
    <row r="3598" spans="1:1" x14ac:dyDescent="0.2">
      <c r="A3598" s="2"/>
    </row>
    <row r="3599" spans="1:1" x14ac:dyDescent="0.2">
      <c r="A3599" s="2"/>
    </row>
    <row r="3600" spans="1:1" x14ac:dyDescent="0.2">
      <c r="A3600" s="2"/>
    </row>
    <row r="3601" spans="1:1" x14ac:dyDescent="0.2">
      <c r="A3601" s="2"/>
    </row>
    <row r="3602" spans="1:1" x14ac:dyDescent="0.2">
      <c r="A3602" s="2"/>
    </row>
    <row r="3603" spans="1:1" x14ac:dyDescent="0.2">
      <c r="A3603" s="2"/>
    </row>
    <row r="3604" spans="1:1" x14ac:dyDescent="0.2">
      <c r="A3604" s="2"/>
    </row>
    <row r="3605" spans="1:1" x14ac:dyDescent="0.2">
      <c r="A3605" s="2"/>
    </row>
    <row r="3606" spans="1:1" x14ac:dyDescent="0.2">
      <c r="A3606" s="2"/>
    </row>
    <row r="3607" spans="1:1" x14ac:dyDescent="0.2">
      <c r="A3607" s="2"/>
    </row>
    <row r="3608" spans="1:1" x14ac:dyDescent="0.2">
      <c r="A3608" s="2"/>
    </row>
    <row r="3609" spans="1:1" x14ac:dyDescent="0.2">
      <c r="A3609" s="2"/>
    </row>
    <row r="3610" spans="1:1" x14ac:dyDescent="0.2">
      <c r="A3610" s="2"/>
    </row>
    <row r="3611" spans="1:1" x14ac:dyDescent="0.2">
      <c r="A3611" s="2"/>
    </row>
    <row r="3612" spans="1:1" x14ac:dyDescent="0.2">
      <c r="A3612" s="2"/>
    </row>
    <row r="3613" spans="1:1" x14ac:dyDescent="0.2">
      <c r="A3613" s="2"/>
    </row>
    <row r="3614" spans="1:1" x14ac:dyDescent="0.2">
      <c r="A3614" s="2"/>
    </row>
    <row r="3615" spans="1:1" x14ac:dyDescent="0.2">
      <c r="A3615" s="2"/>
    </row>
    <row r="3616" spans="1:1" x14ac:dyDescent="0.2">
      <c r="A3616" s="2"/>
    </row>
    <row r="3617" spans="1:1" x14ac:dyDescent="0.2">
      <c r="A3617" s="2"/>
    </row>
    <row r="3618" spans="1:1" x14ac:dyDescent="0.2">
      <c r="A3618" s="2"/>
    </row>
    <row r="3619" spans="1:1" x14ac:dyDescent="0.2">
      <c r="A3619" s="2"/>
    </row>
    <row r="3620" spans="1:1" x14ac:dyDescent="0.2">
      <c r="A3620" s="2"/>
    </row>
    <row r="3621" spans="1:1" x14ac:dyDescent="0.2">
      <c r="A3621" s="2"/>
    </row>
    <row r="3622" spans="1:1" x14ac:dyDescent="0.2">
      <c r="A3622" s="2"/>
    </row>
    <row r="3623" spans="1:1" x14ac:dyDescent="0.2">
      <c r="A3623" s="2"/>
    </row>
    <row r="3624" spans="1:1" x14ac:dyDescent="0.2">
      <c r="A3624" s="2"/>
    </row>
    <row r="3625" spans="1:1" x14ac:dyDescent="0.2">
      <c r="A3625" s="2"/>
    </row>
    <row r="3626" spans="1:1" x14ac:dyDescent="0.2">
      <c r="A3626" s="2"/>
    </row>
    <row r="3627" spans="1:1" x14ac:dyDescent="0.2">
      <c r="A3627" s="2"/>
    </row>
    <row r="3628" spans="1:1" x14ac:dyDescent="0.2">
      <c r="A3628" s="2"/>
    </row>
    <row r="3629" spans="1:1" x14ac:dyDescent="0.2">
      <c r="A3629" s="2"/>
    </row>
    <row r="3630" spans="1:1" x14ac:dyDescent="0.2">
      <c r="A3630" s="2"/>
    </row>
    <row r="3631" spans="1:1" x14ac:dyDescent="0.2">
      <c r="A3631" s="2"/>
    </row>
    <row r="3632" spans="1:1" x14ac:dyDescent="0.2">
      <c r="A3632" s="2"/>
    </row>
    <row r="3633" spans="1:1" x14ac:dyDescent="0.2">
      <c r="A3633" s="2"/>
    </row>
    <row r="3634" spans="1:1" x14ac:dyDescent="0.2">
      <c r="A3634" s="2"/>
    </row>
    <row r="3635" spans="1:1" x14ac:dyDescent="0.2">
      <c r="A3635" s="2"/>
    </row>
    <row r="3636" spans="1:1" x14ac:dyDescent="0.2">
      <c r="A3636" s="2"/>
    </row>
    <row r="3637" spans="1:1" x14ac:dyDescent="0.2">
      <c r="A3637" s="2"/>
    </row>
    <row r="3638" spans="1:1" x14ac:dyDescent="0.2">
      <c r="A3638" s="2"/>
    </row>
    <row r="3639" spans="1:1" x14ac:dyDescent="0.2">
      <c r="A3639" s="2"/>
    </row>
    <row r="3640" spans="1:1" x14ac:dyDescent="0.2">
      <c r="A3640" s="2"/>
    </row>
    <row r="3641" spans="1:1" x14ac:dyDescent="0.2">
      <c r="A3641" s="2"/>
    </row>
    <row r="3642" spans="1:1" x14ac:dyDescent="0.2">
      <c r="A3642" s="2"/>
    </row>
    <row r="3643" spans="1:1" x14ac:dyDescent="0.2">
      <c r="A3643" s="2"/>
    </row>
    <row r="3644" spans="1:1" x14ac:dyDescent="0.2">
      <c r="A3644" s="2"/>
    </row>
    <row r="3645" spans="1:1" x14ac:dyDescent="0.2">
      <c r="A3645" s="2"/>
    </row>
    <row r="3646" spans="1:1" x14ac:dyDescent="0.2">
      <c r="A3646" s="2"/>
    </row>
    <row r="3647" spans="1:1" x14ac:dyDescent="0.2">
      <c r="A3647" s="2"/>
    </row>
    <row r="3648" spans="1:1" x14ac:dyDescent="0.2">
      <c r="A3648" s="2"/>
    </row>
    <row r="3649" spans="1:1" x14ac:dyDescent="0.2">
      <c r="A3649" s="2"/>
    </row>
    <row r="3650" spans="1:1" x14ac:dyDescent="0.2">
      <c r="A3650" s="2"/>
    </row>
    <row r="3651" spans="1:1" x14ac:dyDescent="0.2">
      <c r="A3651" s="2"/>
    </row>
    <row r="3652" spans="1:1" x14ac:dyDescent="0.2">
      <c r="A3652" s="2"/>
    </row>
    <row r="3653" spans="1:1" x14ac:dyDescent="0.2">
      <c r="A3653" s="2"/>
    </row>
    <row r="3654" spans="1:1" x14ac:dyDescent="0.2">
      <c r="A3654" s="2"/>
    </row>
    <row r="3655" spans="1:1" x14ac:dyDescent="0.2">
      <c r="A3655" s="2"/>
    </row>
    <row r="3656" spans="1:1" x14ac:dyDescent="0.2">
      <c r="A3656" s="2"/>
    </row>
    <row r="3657" spans="1:1" x14ac:dyDescent="0.2">
      <c r="A3657" s="2"/>
    </row>
    <row r="3658" spans="1:1" x14ac:dyDescent="0.2">
      <c r="A3658" s="2"/>
    </row>
    <row r="3659" spans="1:1" x14ac:dyDescent="0.2">
      <c r="A3659" s="2"/>
    </row>
    <row r="3660" spans="1:1" x14ac:dyDescent="0.2">
      <c r="A3660" s="2"/>
    </row>
    <row r="3661" spans="1:1" x14ac:dyDescent="0.2">
      <c r="A3661" s="2"/>
    </row>
    <row r="3662" spans="1:1" x14ac:dyDescent="0.2">
      <c r="A3662" s="2"/>
    </row>
    <row r="3663" spans="1:1" x14ac:dyDescent="0.2">
      <c r="A3663" s="2"/>
    </row>
    <row r="3664" spans="1:1" x14ac:dyDescent="0.2">
      <c r="A3664" s="2"/>
    </row>
    <row r="3665" spans="1:1" x14ac:dyDescent="0.2">
      <c r="A3665" s="2"/>
    </row>
    <row r="3666" spans="1:1" x14ac:dyDescent="0.2">
      <c r="A3666" s="2"/>
    </row>
    <row r="3667" spans="1:1" x14ac:dyDescent="0.2">
      <c r="A3667" s="2"/>
    </row>
    <row r="3668" spans="1:1" x14ac:dyDescent="0.2">
      <c r="A3668" s="2"/>
    </row>
    <row r="3669" spans="1:1" x14ac:dyDescent="0.2">
      <c r="A3669" s="2"/>
    </row>
    <row r="3670" spans="1:1" x14ac:dyDescent="0.2">
      <c r="A3670" s="2"/>
    </row>
    <row r="3671" spans="1:1" x14ac:dyDescent="0.2">
      <c r="A3671" s="2"/>
    </row>
    <row r="3672" spans="1:1" x14ac:dyDescent="0.2">
      <c r="A3672" s="2"/>
    </row>
    <row r="3673" spans="1:1" x14ac:dyDescent="0.2">
      <c r="A3673" s="2"/>
    </row>
    <row r="3674" spans="1:1" x14ac:dyDescent="0.2">
      <c r="A3674" s="2"/>
    </row>
    <row r="3675" spans="1:1" x14ac:dyDescent="0.2">
      <c r="A3675" s="2"/>
    </row>
    <row r="3676" spans="1:1" x14ac:dyDescent="0.2">
      <c r="A3676" s="2"/>
    </row>
    <row r="3677" spans="1:1" x14ac:dyDescent="0.2">
      <c r="A3677" s="2"/>
    </row>
    <row r="3678" spans="1:1" x14ac:dyDescent="0.2">
      <c r="A3678" s="2"/>
    </row>
    <row r="3679" spans="1:1" x14ac:dyDescent="0.2">
      <c r="A3679" s="2"/>
    </row>
    <row r="3680" spans="1:1" x14ac:dyDescent="0.2">
      <c r="A3680" s="2"/>
    </row>
    <row r="3681" spans="1:1" x14ac:dyDescent="0.2">
      <c r="A3681" s="2"/>
    </row>
    <row r="3682" spans="1:1" x14ac:dyDescent="0.2">
      <c r="A3682" s="2"/>
    </row>
    <row r="3683" spans="1:1" x14ac:dyDescent="0.2">
      <c r="A3683" s="2"/>
    </row>
    <row r="3684" spans="1:1" x14ac:dyDescent="0.2">
      <c r="A3684" s="2"/>
    </row>
    <row r="3685" spans="1:1" x14ac:dyDescent="0.2">
      <c r="A3685" s="2"/>
    </row>
    <row r="3686" spans="1:1" x14ac:dyDescent="0.2">
      <c r="A3686" s="2"/>
    </row>
    <row r="3687" spans="1:1" x14ac:dyDescent="0.2">
      <c r="A3687" s="2"/>
    </row>
    <row r="3688" spans="1:1" x14ac:dyDescent="0.2">
      <c r="A3688" s="2"/>
    </row>
    <row r="3689" spans="1:1" x14ac:dyDescent="0.2">
      <c r="A3689" s="2"/>
    </row>
    <row r="3690" spans="1:1" x14ac:dyDescent="0.2">
      <c r="A3690" s="2"/>
    </row>
    <row r="3691" spans="1:1" x14ac:dyDescent="0.2">
      <c r="A3691" s="2"/>
    </row>
    <row r="3692" spans="1:1" x14ac:dyDescent="0.2">
      <c r="A3692" s="2"/>
    </row>
    <row r="3693" spans="1:1" x14ac:dyDescent="0.2">
      <c r="A3693" s="2"/>
    </row>
    <row r="3694" spans="1:1" x14ac:dyDescent="0.2">
      <c r="A3694" s="2"/>
    </row>
    <row r="3695" spans="1:1" x14ac:dyDescent="0.2">
      <c r="A3695" s="2"/>
    </row>
    <row r="3696" spans="1:1" x14ac:dyDescent="0.2">
      <c r="A3696" s="2"/>
    </row>
    <row r="3697" spans="1:1" x14ac:dyDescent="0.2">
      <c r="A3697" s="2"/>
    </row>
    <row r="3698" spans="1:1" x14ac:dyDescent="0.2">
      <c r="A3698" s="2"/>
    </row>
    <row r="3699" spans="1:1" x14ac:dyDescent="0.2">
      <c r="A3699" s="2"/>
    </row>
    <row r="3700" spans="1:1" x14ac:dyDescent="0.2">
      <c r="A3700" s="2"/>
    </row>
    <row r="3701" spans="1:1" x14ac:dyDescent="0.2">
      <c r="A3701" s="2"/>
    </row>
    <row r="3702" spans="1:1" x14ac:dyDescent="0.2">
      <c r="A3702" s="2"/>
    </row>
    <row r="3703" spans="1:1" x14ac:dyDescent="0.2">
      <c r="A3703" s="2"/>
    </row>
    <row r="3704" spans="1:1" x14ac:dyDescent="0.2">
      <c r="A3704" s="2"/>
    </row>
    <row r="3705" spans="1:1" x14ac:dyDescent="0.2">
      <c r="A3705" s="2"/>
    </row>
    <row r="3706" spans="1:1" x14ac:dyDescent="0.2">
      <c r="A3706" s="2"/>
    </row>
    <row r="3707" spans="1:1" x14ac:dyDescent="0.2">
      <c r="A3707" s="2"/>
    </row>
    <row r="3708" spans="1:1" x14ac:dyDescent="0.2">
      <c r="A3708" s="2"/>
    </row>
    <row r="3709" spans="1:1" x14ac:dyDescent="0.2">
      <c r="A3709" s="2"/>
    </row>
    <row r="3710" spans="1:1" x14ac:dyDescent="0.2">
      <c r="A3710" s="2"/>
    </row>
    <row r="3711" spans="1:1" x14ac:dyDescent="0.2">
      <c r="A3711" s="2"/>
    </row>
    <row r="3712" spans="1:1" x14ac:dyDescent="0.2">
      <c r="A3712" s="2"/>
    </row>
    <row r="3713" spans="1:1" x14ac:dyDescent="0.2">
      <c r="A3713" s="2"/>
    </row>
    <row r="3714" spans="1:1" x14ac:dyDescent="0.2">
      <c r="A3714" s="2"/>
    </row>
    <row r="3715" spans="1:1" x14ac:dyDescent="0.2">
      <c r="A3715" s="2"/>
    </row>
    <row r="3716" spans="1:1" x14ac:dyDescent="0.2">
      <c r="A3716" s="2"/>
    </row>
    <row r="3717" spans="1:1" x14ac:dyDescent="0.2">
      <c r="A3717" s="2"/>
    </row>
    <row r="3718" spans="1:1" x14ac:dyDescent="0.2">
      <c r="A3718" s="2"/>
    </row>
    <row r="3719" spans="1:1" x14ac:dyDescent="0.2">
      <c r="A3719" s="2"/>
    </row>
    <row r="3720" spans="1:1" x14ac:dyDescent="0.2">
      <c r="A3720" s="2"/>
    </row>
    <row r="3721" spans="1:1" x14ac:dyDescent="0.2">
      <c r="A3721" s="2"/>
    </row>
    <row r="3722" spans="1:1" x14ac:dyDescent="0.2">
      <c r="A3722" s="2"/>
    </row>
    <row r="3723" spans="1:1" x14ac:dyDescent="0.2">
      <c r="A3723" s="2"/>
    </row>
    <row r="3724" spans="1:1" x14ac:dyDescent="0.2">
      <c r="A3724" s="2"/>
    </row>
    <row r="3725" spans="1:1" x14ac:dyDescent="0.2">
      <c r="A3725" s="2"/>
    </row>
    <row r="3726" spans="1:1" x14ac:dyDescent="0.2">
      <c r="A3726" s="2"/>
    </row>
    <row r="3727" spans="1:1" x14ac:dyDescent="0.2">
      <c r="A3727" s="2"/>
    </row>
    <row r="3728" spans="1:1" x14ac:dyDescent="0.2">
      <c r="A3728" s="2"/>
    </row>
    <row r="3729" spans="1:1" x14ac:dyDescent="0.2">
      <c r="A3729" s="2"/>
    </row>
    <row r="3730" spans="1:1" x14ac:dyDescent="0.2">
      <c r="A3730" s="2"/>
    </row>
    <row r="3731" spans="1:1" x14ac:dyDescent="0.2">
      <c r="A3731" s="2"/>
    </row>
    <row r="3732" spans="1:1" x14ac:dyDescent="0.2">
      <c r="A3732" s="2"/>
    </row>
    <row r="3733" spans="1:1" x14ac:dyDescent="0.2">
      <c r="A3733" s="2"/>
    </row>
    <row r="3734" spans="1:1" x14ac:dyDescent="0.2">
      <c r="A3734" s="2"/>
    </row>
    <row r="3735" spans="1:1" x14ac:dyDescent="0.2">
      <c r="A3735" s="2"/>
    </row>
    <row r="3736" spans="1:1" x14ac:dyDescent="0.2">
      <c r="A3736" s="2"/>
    </row>
    <row r="3737" spans="1:1" x14ac:dyDescent="0.2">
      <c r="A3737" s="2"/>
    </row>
    <row r="3738" spans="1:1" x14ac:dyDescent="0.2">
      <c r="A3738" s="2"/>
    </row>
    <row r="3739" spans="1:1" x14ac:dyDescent="0.2">
      <c r="A3739" s="2"/>
    </row>
    <row r="3740" spans="1:1" x14ac:dyDescent="0.2">
      <c r="A3740" s="2"/>
    </row>
    <row r="3741" spans="1:1" x14ac:dyDescent="0.2">
      <c r="A3741" s="2"/>
    </row>
    <row r="3742" spans="1:1" x14ac:dyDescent="0.2">
      <c r="A3742" s="2"/>
    </row>
    <row r="3743" spans="1:1" x14ac:dyDescent="0.2">
      <c r="A3743" s="2"/>
    </row>
    <row r="3744" spans="1:1" x14ac:dyDescent="0.2">
      <c r="A3744" s="2"/>
    </row>
    <row r="3745" spans="1:1" x14ac:dyDescent="0.2">
      <c r="A3745" s="2"/>
    </row>
    <row r="3746" spans="1:1" x14ac:dyDescent="0.2">
      <c r="A3746" s="2"/>
    </row>
    <row r="3747" spans="1:1" x14ac:dyDescent="0.2">
      <c r="A3747" s="2"/>
    </row>
    <row r="3748" spans="1:1" x14ac:dyDescent="0.2">
      <c r="A3748" s="2"/>
    </row>
    <row r="3749" spans="1:1" x14ac:dyDescent="0.2">
      <c r="A3749" s="2"/>
    </row>
    <row r="3750" spans="1:1" x14ac:dyDescent="0.2">
      <c r="A3750" s="2"/>
    </row>
    <row r="3751" spans="1:1" x14ac:dyDescent="0.2">
      <c r="A3751" s="2"/>
    </row>
    <row r="3752" spans="1:1" x14ac:dyDescent="0.2">
      <c r="A3752" s="2"/>
    </row>
    <row r="3753" spans="1:1" x14ac:dyDescent="0.2">
      <c r="A3753" s="2"/>
    </row>
    <row r="3754" spans="1:1" x14ac:dyDescent="0.2">
      <c r="A3754" s="2"/>
    </row>
    <row r="3755" spans="1:1" x14ac:dyDescent="0.2">
      <c r="A3755" s="2"/>
    </row>
    <row r="3756" spans="1:1" x14ac:dyDescent="0.2">
      <c r="A3756" s="2"/>
    </row>
    <row r="3757" spans="1:1" x14ac:dyDescent="0.2">
      <c r="A3757" s="2"/>
    </row>
    <row r="3758" spans="1:1" x14ac:dyDescent="0.2">
      <c r="A3758" s="2"/>
    </row>
    <row r="3759" spans="1:1" x14ac:dyDescent="0.2">
      <c r="A3759" s="2"/>
    </row>
    <row r="3760" spans="1:1" x14ac:dyDescent="0.2">
      <c r="A3760" s="2"/>
    </row>
    <row r="3761" spans="1:1" x14ac:dyDescent="0.2">
      <c r="A3761" s="2"/>
    </row>
    <row r="3762" spans="1:1" x14ac:dyDescent="0.2">
      <c r="A3762" s="2"/>
    </row>
    <row r="3763" spans="1:1" x14ac:dyDescent="0.2">
      <c r="A3763" s="2"/>
    </row>
    <row r="3764" spans="1:1" x14ac:dyDescent="0.2">
      <c r="A3764" s="2"/>
    </row>
    <row r="3765" spans="1:1" x14ac:dyDescent="0.2">
      <c r="A3765" s="2"/>
    </row>
    <row r="3766" spans="1:1" x14ac:dyDescent="0.2">
      <c r="A3766" s="2"/>
    </row>
    <row r="3767" spans="1:1" x14ac:dyDescent="0.2">
      <c r="A3767" s="2"/>
    </row>
    <row r="3768" spans="1:1" x14ac:dyDescent="0.2">
      <c r="A3768" s="2"/>
    </row>
    <row r="3769" spans="1:1" x14ac:dyDescent="0.2">
      <c r="A3769" s="2"/>
    </row>
    <row r="3770" spans="1:1" x14ac:dyDescent="0.2">
      <c r="A3770" s="2"/>
    </row>
    <row r="3771" spans="1:1" x14ac:dyDescent="0.2">
      <c r="A3771" s="2"/>
    </row>
    <row r="3772" spans="1:1" x14ac:dyDescent="0.2">
      <c r="A3772" s="2"/>
    </row>
    <row r="3773" spans="1:1" x14ac:dyDescent="0.2">
      <c r="A3773" s="2"/>
    </row>
    <row r="3774" spans="1:1" x14ac:dyDescent="0.2">
      <c r="A3774" s="2"/>
    </row>
    <row r="3775" spans="1:1" x14ac:dyDescent="0.2">
      <c r="A3775" s="2"/>
    </row>
    <row r="3776" spans="1:1" x14ac:dyDescent="0.2">
      <c r="A3776" s="2"/>
    </row>
    <row r="3777" spans="1:1" x14ac:dyDescent="0.2">
      <c r="A3777" s="2"/>
    </row>
    <row r="3778" spans="1:1" x14ac:dyDescent="0.2">
      <c r="A3778" s="2"/>
    </row>
    <row r="3779" spans="1:1" x14ac:dyDescent="0.2">
      <c r="A3779" s="2"/>
    </row>
    <row r="3780" spans="1:1" x14ac:dyDescent="0.2">
      <c r="A3780" s="2"/>
    </row>
    <row r="3781" spans="1:1" x14ac:dyDescent="0.2">
      <c r="A3781" s="2"/>
    </row>
    <row r="3782" spans="1:1" x14ac:dyDescent="0.2">
      <c r="A3782" s="2"/>
    </row>
    <row r="3783" spans="1:1" x14ac:dyDescent="0.2">
      <c r="A3783" s="2"/>
    </row>
    <row r="3784" spans="1:1" x14ac:dyDescent="0.2">
      <c r="A3784" s="2"/>
    </row>
    <row r="3785" spans="1:1" x14ac:dyDescent="0.2">
      <c r="A3785" s="2"/>
    </row>
    <row r="3786" spans="1:1" x14ac:dyDescent="0.2">
      <c r="A3786" s="2"/>
    </row>
    <row r="3787" spans="1:1" x14ac:dyDescent="0.2">
      <c r="A3787" s="2"/>
    </row>
    <row r="3788" spans="1:1" x14ac:dyDescent="0.2">
      <c r="A3788" s="2"/>
    </row>
    <row r="3789" spans="1:1" x14ac:dyDescent="0.2">
      <c r="A3789" s="2"/>
    </row>
    <row r="3790" spans="1:1" x14ac:dyDescent="0.2">
      <c r="A3790" s="2"/>
    </row>
    <row r="3791" spans="1:1" x14ac:dyDescent="0.2">
      <c r="A3791" s="2"/>
    </row>
    <row r="3792" spans="1:1" x14ac:dyDescent="0.2">
      <c r="A3792" s="2"/>
    </row>
    <row r="3793" spans="1:1" x14ac:dyDescent="0.2">
      <c r="A3793" s="2"/>
    </row>
    <row r="3794" spans="1:1" x14ac:dyDescent="0.2">
      <c r="A3794" s="2"/>
    </row>
    <row r="3795" spans="1:1" x14ac:dyDescent="0.2">
      <c r="A3795" s="2"/>
    </row>
    <row r="3796" spans="1:1" x14ac:dyDescent="0.2">
      <c r="A3796" s="2"/>
    </row>
    <row r="3797" spans="1:1" x14ac:dyDescent="0.2">
      <c r="A3797" s="2"/>
    </row>
    <row r="3798" spans="1:1" x14ac:dyDescent="0.2">
      <c r="A3798" s="2"/>
    </row>
    <row r="3799" spans="1:1" x14ac:dyDescent="0.2">
      <c r="A3799" s="2"/>
    </row>
    <row r="3800" spans="1:1" x14ac:dyDescent="0.2">
      <c r="A3800" s="2"/>
    </row>
    <row r="3801" spans="1:1" x14ac:dyDescent="0.2">
      <c r="A3801" s="2"/>
    </row>
    <row r="3802" spans="1:1" x14ac:dyDescent="0.2">
      <c r="A3802" s="2"/>
    </row>
    <row r="3803" spans="1:1" x14ac:dyDescent="0.2">
      <c r="A3803" s="2"/>
    </row>
    <row r="3804" spans="1:1" x14ac:dyDescent="0.2">
      <c r="A3804" s="2"/>
    </row>
    <row r="3805" spans="1:1" x14ac:dyDescent="0.2">
      <c r="A3805" s="2"/>
    </row>
    <row r="3806" spans="1:1" x14ac:dyDescent="0.2">
      <c r="A3806" s="2"/>
    </row>
    <row r="3807" spans="1:1" x14ac:dyDescent="0.2">
      <c r="A3807" s="2"/>
    </row>
    <row r="3808" spans="1:1" x14ac:dyDescent="0.2">
      <c r="A3808" s="2"/>
    </row>
    <row r="3809" spans="1:1" x14ac:dyDescent="0.2">
      <c r="A3809" s="2"/>
    </row>
    <row r="3810" spans="1:1" x14ac:dyDescent="0.2">
      <c r="A3810" s="2"/>
    </row>
    <row r="3811" spans="1:1" x14ac:dyDescent="0.2">
      <c r="A3811" s="2"/>
    </row>
    <row r="3812" spans="1:1" x14ac:dyDescent="0.2">
      <c r="A3812" s="2"/>
    </row>
    <row r="3813" spans="1:1" x14ac:dyDescent="0.2">
      <c r="A3813" s="2"/>
    </row>
    <row r="3814" spans="1:1" x14ac:dyDescent="0.2">
      <c r="A3814" s="2"/>
    </row>
    <row r="3815" spans="1:1" x14ac:dyDescent="0.2">
      <c r="A3815" s="2"/>
    </row>
    <row r="3816" spans="1:1" x14ac:dyDescent="0.2">
      <c r="A3816" s="2"/>
    </row>
    <row r="3817" spans="1:1" x14ac:dyDescent="0.2">
      <c r="A3817" s="2"/>
    </row>
    <row r="3818" spans="1:1" x14ac:dyDescent="0.2">
      <c r="A3818" s="2"/>
    </row>
    <row r="3819" spans="1:1" x14ac:dyDescent="0.2">
      <c r="A3819" s="2"/>
    </row>
    <row r="3820" spans="1:1" x14ac:dyDescent="0.2">
      <c r="A3820" s="2"/>
    </row>
    <row r="3821" spans="1:1" x14ac:dyDescent="0.2">
      <c r="A3821" s="2"/>
    </row>
    <row r="3822" spans="1:1" x14ac:dyDescent="0.2">
      <c r="A3822" s="2"/>
    </row>
    <row r="3823" spans="1:1" x14ac:dyDescent="0.2">
      <c r="A3823" s="2"/>
    </row>
    <row r="3824" spans="1:1" x14ac:dyDescent="0.2">
      <c r="A3824" s="2"/>
    </row>
    <row r="3825" spans="1:1" x14ac:dyDescent="0.2">
      <c r="A3825" s="2"/>
    </row>
    <row r="3826" spans="1:1" x14ac:dyDescent="0.2">
      <c r="A3826" s="2"/>
    </row>
    <row r="3827" spans="1:1" x14ac:dyDescent="0.2">
      <c r="A3827" s="2"/>
    </row>
    <row r="3828" spans="1:1" x14ac:dyDescent="0.2">
      <c r="A3828" s="2"/>
    </row>
    <row r="3829" spans="1:1" x14ac:dyDescent="0.2">
      <c r="A3829" s="2"/>
    </row>
    <row r="3830" spans="1:1" x14ac:dyDescent="0.2">
      <c r="A3830" s="2"/>
    </row>
    <row r="3831" spans="1:1" x14ac:dyDescent="0.2">
      <c r="A3831" s="2"/>
    </row>
    <row r="3832" spans="1:1" x14ac:dyDescent="0.2">
      <c r="A3832" s="2"/>
    </row>
    <row r="3833" spans="1:1" x14ac:dyDescent="0.2">
      <c r="A3833" s="2"/>
    </row>
    <row r="3834" spans="1:1" x14ac:dyDescent="0.2">
      <c r="A3834" s="2"/>
    </row>
    <row r="3835" spans="1:1" x14ac:dyDescent="0.2">
      <c r="A3835" s="2"/>
    </row>
    <row r="3836" spans="1:1" x14ac:dyDescent="0.2">
      <c r="A3836" s="2"/>
    </row>
    <row r="3837" spans="1:1" x14ac:dyDescent="0.2">
      <c r="A3837" s="2"/>
    </row>
    <row r="3838" spans="1:1" x14ac:dyDescent="0.2">
      <c r="A3838" s="2"/>
    </row>
    <row r="3839" spans="1:1" x14ac:dyDescent="0.2">
      <c r="A3839" s="2"/>
    </row>
    <row r="3840" spans="1:1" x14ac:dyDescent="0.2">
      <c r="A3840" s="2"/>
    </row>
    <row r="3841" spans="1:1" x14ac:dyDescent="0.2">
      <c r="A3841" s="2"/>
    </row>
    <row r="3842" spans="1:1" x14ac:dyDescent="0.2">
      <c r="A3842" s="2"/>
    </row>
    <row r="3843" spans="1:1" x14ac:dyDescent="0.2">
      <c r="A3843" s="2"/>
    </row>
    <row r="3844" spans="1:1" x14ac:dyDescent="0.2">
      <c r="A3844" s="2"/>
    </row>
    <row r="3845" spans="1:1" x14ac:dyDescent="0.2">
      <c r="A3845" s="2"/>
    </row>
    <row r="3846" spans="1:1" x14ac:dyDescent="0.2">
      <c r="A3846" s="2"/>
    </row>
    <row r="3847" spans="1:1" x14ac:dyDescent="0.2">
      <c r="A3847" s="2"/>
    </row>
    <row r="3848" spans="1:1" x14ac:dyDescent="0.2">
      <c r="A3848" s="2"/>
    </row>
    <row r="3849" spans="1:1" x14ac:dyDescent="0.2">
      <c r="A3849" s="2"/>
    </row>
    <row r="3850" spans="1:1" x14ac:dyDescent="0.2">
      <c r="A3850" s="2"/>
    </row>
    <row r="3851" spans="1:1" x14ac:dyDescent="0.2">
      <c r="A3851" s="2"/>
    </row>
    <row r="3852" spans="1:1" x14ac:dyDescent="0.2">
      <c r="A3852" s="2"/>
    </row>
    <row r="3853" spans="1:1" x14ac:dyDescent="0.2">
      <c r="A3853" s="2"/>
    </row>
    <row r="3854" spans="1:1" x14ac:dyDescent="0.2">
      <c r="A3854" s="2"/>
    </row>
    <row r="3855" spans="1:1" x14ac:dyDescent="0.2">
      <c r="A3855" s="2"/>
    </row>
    <row r="3856" spans="1:1" x14ac:dyDescent="0.2">
      <c r="A3856" s="2"/>
    </row>
    <row r="3857" spans="1:1" x14ac:dyDescent="0.2">
      <c r="A3857" s="2"/>
    </row>
    <row r="3858" spans="1:1" x14ac:dyDescent="0.2">
      <c r="A3858" s="2"/>
    </row>
    <row r="3859" spans="1:1" x14ac:dyDescent="0.2">
      <c r="A3859" s="2"/>
    </row>
    <row r="3860" spans="1:1" x14ac:dyDescent="0.2">
      <c r="A3860" s="2"/>
    </row>
    <row r="3861" spans="1:1" x14ac:dyDescent="0.2">
      <c r="A3861" s="2"/>
    </row>
    <row r="3862" spans="1:1" x14ac:dyDescent="0.2">
      <c r="A3862" s="2"/>
    </row>
    <row r="3863" spans="1:1" x14ac:dyDescent="0.2">
      <c r="A3863" s="2"/>
    </row>
    <row r="3864" spans="1:1" x14ac:dyDescent="0.2">
      <c r="A3864" s="2"/>
    </row>
    <row r="3865" spans="1:1" x14ac:dyDescent="0.2">
      <c r="A3865" s="2"/>
    </row>
    <row r="3866" spans="1:1" x14ac:dyDescent="0.2">
      <c r="A3866" s="2"/>
    </row>
    <row r="3867" spans="1:1" x14ac:dyDescent="0.2">
      <c r="A3867" s="2"/>
    </row>
    <row r="3868" spans="1:1" x14ac:dyDescent="0.2">
      <c r="A3868" s="2"/>
    </row>
    <row r="3869" spans="1:1" x14ac:dyDescent="0.2">
      <c r="A3869" s="2"/>
    </row>
    <row r="3870" spans="1:1" x14ac:dyDescent="0.2">
      <c r="A3870" s="2"/>
    </row>
    <row r="3871" spans="1:1" x14ac:dyDescent="0.2">
      <c r="A3871" s="2"/>
    </row>
    <row r="3872" spans="1:1" x14ac:dyDescent="0.2">
      <c r="A3872" s="2"/>
    </row>
    <row r="3873" spans="1:1" x14ac:dyDescent="0.2">
      <c r="A3873" s="2"/>
    </row>
    <row r="3874" spans="1:1" x14ac:dyDescent="0.2">
      <c r="A3874" s="2"/>
    </row>
    <row r="3875" spans="1:1" x14ac:dyDescent="0.2">
      <c r="A3875" s="2"/>
    </row>
    <row r="3876" spans="1:1" x14ac:dyDescent="0.2">
      <c r="A3876" s="2"/>
    </row>
    <row r="3877" spans="1:1" x14ac:dyDescent="0.2">
      <c r="A3877" s="2"/>
    </row>
    <row r="3878" spans="1:1" x14ac:dyDescent="0.2">
      <c r="A3878" s="2"/>
    </row>
    <row r="3879" spans="1:1" x14ac:dyDescent="0.2">
      <c r="A3879" s="2"/>
    </row>
    <row r="3880" spans="1:1" x14ac:dyDescent="0.2">
      <c r="A3880" s="2"/>
    </row>
    <row r="3881" spans="1:1" x14ac:dyDescent="0.2">
      <c r="A3881" s="2"/>
    </row>
    <row r="3882" spans="1:1" x14ac:dyDescent="0.2">
      <c r="A3882" s="2"/>
    </row>
    <row r="3883" spans="1:1" x14ac:dyDescent="0.2">
      <c r="A3883" s="2"/>
    </row>
    <row r="3884" spans="1:1" x14ac:dyDescent="0.2">
      <c r="A3884" s="2"/>
    </row>
    <row r="3885" spans="1:1" x14ac:dyDescent="0.2">
      <c r="A3885" s="2"/>
    </row>
    <row r="3886" spans="1:1" x14ac:dyDescent="0.2">
      <c r="A3886" s="2"/>
    </row>
    <row r="3887" spans="1:1" x14ac:dyDescent="0.2">
      <c r="A3887" s="2"/>
    </row>
    <row r="3888" spans="1:1" x14ac:dyDescent="0.2">
      <c r="A3888" s="2"/>
    </row>
    <row r="3889" spans="1:1" x14ac:dyDescent="0.2">
      <c r="A3889" s="2"/>
    </row>
    <row r="3890" spans="1:1" x14ac:dyDescent="0.2">
      <c r="A3890" s="2"/>
    </row>
    <row r="3891" spans="1:1" x14ac:dyDescent="0.2">
      <c r="A3891" s="2"/>
    </row>
    <row r="3892" spans="1:1" x14ac:dyDescent="0.2">
      <c r="A3892" s="2"/>
    </row>
    <row r="3893" spans="1:1" x14ac:dyDescent="0.2">
      <c r="A3893" s="2"/>
    </row>
    <row r="3894" spans="1:1" x14ac:dyDescent="0.2">
      <c r="A3894" s="2"/>
    </row>
    <row r="3895" spans="1:1" x14ac:dyDescent="0.2">
      <c r="A3895" s="2"/>
    </row>
    <row r="3896" spans="1:1" x14ac:dyDescent="0.2">
      <c r="A3896" s="2"/>
    </row>
    <row r="3897" spans="1:1" x14ac:dyDescent="0.2">
      <c r="A3897" s="2"/>
    </row>
    <row r="3898" spans="1:1" x14ac:dyDescent="0.2">
      <c r="A3898" s="2"/>
    </row>
    <row r="3899" spans="1:1" x14ac:dyDescent="0.2">
      <c r="A3899" s="2"/>
    </row>
    <row r="3900" spans="1:1" x14ac:dyDescent="0.2">
      <c r="A3900" s="2"/>
    </row>
    <row r="3901" spans="1:1" x14ac:dyDescent="0.2">
      <c r="A3901" s="2"/>
    </row>
    <row r="3902" spans="1:1" x14ac:dyDescent="0.2">
      <c r="A3902" s="2"/>
    </row>
    <row r="3903" spans="1:1" x14ac:dyDescent="0.2">
      <c r="A3903" s="2"/>
    </row>
    <row r="3904" spans="1:1" x14ac:dyDescent="0.2">
      <c r="A3904" s="2"/>
    </row>
    <row r="3905" spans="1:1" x14ac:dyDescent="0.2">
      <c r="A3905" s="2"/>
    </row>
    <row r="3906" spans="1:1" x14ac:dyDescent="0.2">
      <c r="A3906" s="2"/>
    </row>
    <row r="3907" spans="1:1" x14ac:dyDescent="0.2">
      <c r="A3907" s="2"/>
    </row>
    <row r="3908" spans="1:1" x14ac:dyDescent="0.2">
      <c r="A3908" s="2"/>
    </row>
    <row r="3909" spans="1:1" x14ac:dyDescent="0.2">
      <c r="A3909" s="2"/>
    </row>
    <row r="3910" spans="1:1" x14ac:dyDescent="0.2">
      <c r="A3910" s="2"/>
    </row>
    <row r="3911" spans="1:1" x14ac:dyDescent="0.2">
      <c r="A3911" s="2"/>
    </row>
    <row r="3912" spans="1:1" x14ac:dyDescent="0.2">
      <c r="A3912" s="2"/>
    </row>
    <row r="3913" spans="1:1" x14ac:dyDescent="0.2">
      <c r="A3913" s="2"/>
    </row>
    <row r="3914" spans="1:1" x14ac:dyDescent="0.2">
      <c r="A3914" s="2"/>
    </row>
    <row r="3915" spans="1:1" x14ac:dyDescent="0.2">
      <c r="A3915" s="2"/>
    </row>
    <row r="3916" spans="1:1" x14ac:dyDescent="0.2">
      <c r="A3916" s="2"/>
    </row>
    <row r="3917" spans="1:1" x14ac:dyDescent="0.2">
      <c r="A3917" s="2"/>
    </row>
    <row r="3918" spans="1:1" x14ac:dyDescent="0.2">
      <c r="A3918" s="2"/>
    </row>
    <row r="3919" spans="1:1" x14ac:dyDescent="0.2">
      <c r="A3919" s="2"/>
    </row>
    <row r="3920" spans="1:1" x14ac:dyDescent="0.2">
      <c r="A3920" s="2"/>
    </row>
    <row r="3921" spans="1:1" x14ac:dyDescent="0.2">
      <c r="A3921" s="2"/>
    </row>
    <row r="3922" spans="1:1" x14ac:dyDescent="0.2">
      <c r="A3922" s="2"/>
    </row>
    <row r="3923" spans="1:1" x14ac:dyDescent="0.2">
      <c r="A3923" s="2"/>
    </row>
    <row r="3924" spans="1:1" x14ac:dyDescent="0.2">
      <c r="A3924" s="2"/>
    </row>
    <row r="3925" spans="1:1" x14ac:dyDescent="0.2">
      <c r="A3925" s="2"/>
    </row>
    <row r="3926" spans="1:1" x14ac:dyDescent="0.2">
      <c r="A3926" s="2"/>
    </row>
    <row r="3927" spans="1:1" x14ac:dyDescent="0.2">
      <c r="A3927" s="2"/>
    </row>
    <row r="3928" spans="1:1" x14ac:dyDescent="0.2">
      <c r="A3928" s="2"/>
    </row>
    <row r="3929" spans="1:1" x14ac:dyDescent="0.2">
      <c r="A3929" s="2"/>
    </row>
    <row r="3930" spans="1:1" x14ac:dyDescent="0.2">
      <c r="A3930" s="2"/>
    </row>
    <row r="3931" spans="1:1" x14ac:dyDescent="0.2">
      <c r="A3931" s="2"/>
    </row>
    <row r="3932" spans="1:1" x14ac:dyDescent="0.2">
      <c r="A3932" s="2"/>
    </row>
    <row r="3933" spans="1:1" x14ac:dyDescent="0.2">
      <c r="A3933" s="2"/>
    </row>
    <row r="3934" spans="1:1" x14ac:dyDescent="0.2">
      <c r="A3934" s="2"/>
    </row>
    <row r="3935" spans="1:1" x14ac:dyDescent="0.2">
      <c r="A3935" s="2"/>
    </row>
    <row r="3936" spans="1:1" x14ac:dyDescent="0.2">
      <c r="A3936" s="2"/>
    </row>
    <row r="3937" spans="1:1" x14ac:dyDescent="0.2">
      <c r="A3937" s="2"/>
    </row>
    <row r="3938" spans="1:1" x14ac:dyDescent="0.2">
      <c r="A3938" s="2"/>
    </row>
    <row r="3939" spans="1:1" x14ac:dyDescent="0.2">
      <c r="A3939" s="2"/>
    </row>
    <row r="3940" spans="1:1" x14ac:dyDescent="0.2">
      <c r="A3940" s="2"/>
    </row>
    <row r="3941" spans="1:1" x14ac:dyDescent="0.2">
      <c r="A3941" s="2"/>
    </row>
    <row r="3942" spans="1:1" x14ac:dyDescent="0.2">
      <c r="A3942" s="2"/>
    </row>
    <row r="3943" spans="1:1" x14ac:dyDescent="0.2">
      <c r="A3943" s="2"/>
    </row>
    <row r="3944" spans="1:1" x14ac:dyDescent="0.2">
      <c r="A3944" s="2"/>
    </row>
    <row r="3945" spans="1:1" x14ac:dyDescent="0.2">
      <c r="A3945" s="2"/>
    </row>
    <row r="3946" spans="1:1" x14ac:dyDescent="0.2">
      <c r="A3946" s="2"/>
    </row>
    <row r="3947" spans="1:1" x14ac:dyDescent="0.2">
      <c r="A3947" s="2"/>
    </row>
    <row r="3948" spans="1:1" x14ac:dyDescent="0.2">
      <c r="A3948" s="2"/>
    </row>
    <row r="3949" spans="1:1" x14ac:dyDescent="0.2">
      <c r="A3949" s="2"/>
    </row>
    <row r="3950" spans="1:1" x14ac:dyDescent="0.2">
      <c r="A3950" s="2"/>
    </row>
    <row r="3951" spans="1:1" x14ac:dyDescent="0.2">
      <c r="A3951" s="2"/>
    </row>
    <row r="3952" spans="1:1" x14ac:dyDescent="0.2">
      <c r="A3952" s="2"/>
    </row>
    <row r="3953" spans="1:1" x14ac:dyDescent="0.2">
      <c r="A3953" s="2"/>
    </row>
    <row r="3954" spans="1:1" x14ac:dyDescent="0.2">
      <c r="A3954" s="2"/>
    </row>
    <row r="3955" spans="1:1" x14ac:dyDescent="0.2">
      <c r="A3955" s="2"/>
    </row>
    <row r="3956" spans="1:1" x14ac:dyDescent="0.2">
      <c r="A3956" s="2"/>
    </row>
    <row r="3957" spans="1:1" x14ac:dyDescent="0.2">
      <c r="A3957" s="2"/>
    </row>
    <row r="3958" spans="1:1" x14ac:dyDescent="0.2">
      <c r="A3958" s="2"/>
    </row>
    <row r="3959" spans="1:1" x14ac:dyDescent="0.2">
      <c r="A3959" s="2"/>
    </row>
    <row r="3960" spans="1:1" x14ac:dyDescent="0.2">
      <c r="A3960" s="2"/>
    </row>
    <row r="3961" spans="1:1" x14ac:dyDescent="0.2">
      <c r="A3961" s="2"/>
    </row>
    <row r="3962" spans="1:1" x14ac:dyDescent="0.2">
      <c r="A3962" s="2"/>
    </row>
    <row r="3963" spans="1:1" x14ac:dyDescent="0.2">
      <c r="A3963" s="2"/>
    </row>
    <row r="3964" spans="1:1" x14ac:dyDescent="0.2">
      <c r="A3964" s="2"/>
    </row>
    <row r="3965" spans="1:1" x14ac:dyDescent="0.2">
      <c r="A3965" s="2"/>
    </row>
    <row r="3966" spans="1:1" x14ac:dyDescent="0.2">
      <c r="A3966" s="2"/>
    </row>
    <row r="3967" spans="1:1" x14ac:dyDescent="0.2">
      <c r="A3967" s="2"/>
    </row>
    <row r="3968" spans="1:1" x14ac:dyDescent="0.2">
      <c r="A3968" s="2"/>
    </row>
    <row r="3969" spans="1:1" x14ac:dyDescent="0.2">
      <c r="A3969" s="2"/>
    </row>
    <row r="3970" spans="1:1" x14ac:dyDescent="0.2">
      <c r="A3970" s="2"/>
    </row>
    <row r="3971" spans="1:1" x14ac:dyDescent="0.2">
      <c r="A3971" s="2"/>
    </row>
    <row r="3972" spans="1:1" x14ac:dyDescent="0.2">
      <c r="A3972" s="2"/>
    </row>
    <row r="3973" spans="1:1" x14ac:dyDescent="0.2">
      <c r="A3973" s="2"/>
    </row>
    <row r="3974" spans="1:1" x14ac:dyDescent="0.2">
      <c r="A3974" s="2"/>
    </row>
    <row r="3975" spans="1:1" x14ac:dyDescent="0.2">
      <c r="A3975" s="2"/>
    </row>
    <row r="3976" spans="1:1" x14ac:dyDescent="0.2">
      <c r="A3976" s="2"/>
    </row>
    <row r="3977" spans="1:1" x14ac:dyDescent="0.2">
      <c r="A3977" s="2"/>
    </row>
    <row r="3978" spans="1:1" x14ac:dyDescent="0.2">
      <c r="A3978" s="2"/>
    </row>
    <row r="3979" spans="1:1" x14ac:dyDescent="0.2">
      <c r="A3979" s="2"/>
    </row>
    <row r="3980" spans="1:1" x14ac:dyDescent="0.2">
      <c r="A3980" s="2"/>
    </row>
    <row r="3981" spans="1:1" x14ac:dyDescent="0.2">
      <c r="A3981" s="2"/>
    </row>
    <row r="3982" spans="1:1" x14ac:dyDescent="0.2">
      <c r="A3982" s="2"/>
    </row>
    <row r="3983" spans="1:1" x14ac:dyDescent="0.2">
      <c r="A3983" s="2"/>
    </row>
    <row r="3984" spans="1:1" x14ac:dyDescent="0.2">
      <c r="A3984" s="2"/>
    </row>
    <row r="3985" spans="1:1" x14ac:dyDescent="0.2">
      <c r="A3985" s="2"/>
    </row>
    <row r="3986" spans="1:1" x14ac:dyDescent="0.2">
      <c r="A3986" s="2"/>
    </row>
    <row r="3987" spans="1:1" x14ac:dyDescent="0.2">
      <c r="A3987" s="2"/>
    </row>
    <row r="3988" spans="1:1" x14ac:dyDescent="0.2">
      <c r="A3988" s="2"/>
    </row>
    <row r="3989" spans="1:1" x14ac:dyDescent="0.2">
      <c r="A3989" s="2"/>
    </row>
    <row r="3990" spans="1:1" x14ac:dyDescent="0.2">
      <c r="A3990" s="2"/>
    </row>
    <row r="3991" spans="1:1" x14ac:dyDescent="0.2">
      <c r="A3991" s="2"/>
    </row>
    <row r="3992" spans="1:1" x14ac:dyDescent="0.2">
      <c r="A3992" s="2"/>
    </row>
    <row r="3993" spans="1:1" x14ac:dyDescent="0.2">
      <c r="A3993" s="2"/>
    </row>
    <row r="3994" spans="1:1" x14ac:dyDescent="0.2">
      <c r="A3994" s="2"/>
    </row>
    <row r="3995" spans="1:1" x14ac:dyDescent="0.2">
      <c r="A3995" s="2"/>
    </row>
    <row r="3996" spans="1:1" x14ac:dyDescent="0.2">
      <c r="A3996" s="2"/>
    </row>
    <row r="3997" spans="1:1" x14ac:dyDescent="0.2">
      <c r="A3997" s="2"/>
    </row>
    <row r="3998" spans="1:1" x14ac:dyDescent="0.2">
      <c r="A3998" s="2"/>
    </row>
    <row r="3999" spans="1:1" x14ac:dyDescent="0.2">
      <c r="A3999" s="2"/>
    </row>
    <row r="4000" spans="1:1" x14ac:dyDescent="0.2">
      <c r="A4000" s="2"/>
    </row>
    <row r="4001" spans="1:1" x14ac:dyDescent="0.2">
      <c r="A4001" s="2"/>
    </row>
    <row r="4002" spans="1:1" x14ac:dyDescent="0.2">
      <c r="A4002" s="2"/>
    </row>
    <row r="4003" spans="1:1" x14ac:dyDescent="0.2">
      <c r="A4003" s="2"/>
    </row>
    <row r="4004" spans="1:1" x14ac:dyDescent="0.2">
      <c r="A4004" s="2"/>
    </row>
    <row r="4005" spans="1:1" x14ac:dyDescent="0.2">
      <c r="A4005" s="2"/>
    </row>
    <row r="4006" spans="1:1" x14ac:dyDescent="0.2">
      <c r="A4006" s="2"/>
    </row>
    <row r="4007" spans="1:1" x14ac:dyDescent="0.2">
      <c r="A4007" s="2"/>
    </row>
    <row r="4008" spans="1:1" x14ac:dyDescent="0.2">
      <c r="A4008" s="2"/>
    </row>
    <row r="4009" spans="1:1" x14ac:dyDescent="0.2">
      <c r="A4009" s="2"/>
    </row>
    <row r="4010" spans="1:1" x14ac:dyDescent="0.2">
      <c r="A4010" s="2"/>
    </row>
    <row r="4011" spans="1:1" x14ac:dyDescent="0.2">
      <c r="A4011" s="2"/>
    </row>
    <row r="4012" spans="1:1" x14ac:dyDescent="0.2">
      <c r="A4012" s="2"/>
    </row>
    <row r="4013" spans="1:1" x14ac:dyDescent="0.2">
      <c r="A4013" s="2"/>
    </row>
    <row r="4014" spans="1:1" x14ac:dyDescent="0.2">
      <c r="A4014" s="2"/>
    </row>
    <row r="4015" spans="1:1" x14ac:dyDescent="0.2">
      <c r="A4015" s="2"/>
    </row>
    <row r="4016" spans="1:1" x14ac:dyDescent="0.2">
      <c r="A4016" s="2"/>
    </row>
    <row r="4017" spans="1:1" x14ac:dyDescent="0.2">
      <c r="A4017" s="2"/>
    </row>
    <row r="4018" spans="1:1" x14ac:dyDescent="0.2">
      <c r="A4018" s="2"/>
    </row>
    <row r="4019" spans="1:1" x14ac:dyDescent="0.2">
      <c r="A4019" s="2"/>
    </row>
    <row r="4020" spans="1:1" x14ac:dyDescent="0.2">
      <c r="A4020" s="2"/>
    </row>
    <row r="4021" spans="1:1" x14ac:dyDescent="0.2">
      <c r="A4021" s="2"/>
    </row>
    <row r="4022" spans="1:1" x14ac:dyDescent="0.2">
      <c r="A4022" s="2"/>
    </row>
    <row r="4023" spans="1:1" x14ac:dyDescent="0.2">
      <c r="A4023" s="2"/>
    </row>
    <row r="4024" spans="1:1" x14ac:dyDescent="0.2">
      <c r="A4024" s="2"/>
    </row>
    <row r="4025" spans="1:1" x14ac:dyDescent="0.2">
      <c r="A4025" s="2"/>
    </row>
    <row r="4026" spans="1:1" x14ac:dyDescent="0.2">
      <c r="A4026" s="2"/>
    </row>
    <row r="4027" spans="1:1" x14ac:dyDescent="0.2">
      <c r="A4027" s="2"/>
    </row>
    <row r="4028" spans="1:1" x14ac:dyDescent="0.2">
      <c r="A4028" s="2"/>
    </row>
    <row r="4029" spans="1:1" x14ac:dyDescent="0.2">
      <c r="A4029" s="2"/>
    </row>
    <row r="4030" spans="1:1" x14ac:dyDescent="0.2">
      <c r="A4030" s="2"/>
    </row>
    <row r="4031" spans="1:1" x14ac:dyDescent="0.2">
      <c r="A4031" s="2"/>
    </row>
    <row r="4032" spans="1:1" x14ac:dyDescent="0.2">
      <c r="A4032" s="2"/>
    </row>
    <row r="4033" spans="1:1" x14ac:dyDescent="0.2">
      <c r="A4033" s="2"/>
    </row>
    <row r="4034" spans="1:1" x14ac:dyDescent="0.2">
      <c r="A4034" s="2"/>
    </row>
    <row r="4035" spans="1:1" x14ac:dyDescent="0.2">
      <c r="A4035" s="2"/>
    </row>
    <row r="4036" spans="1:1" x14ac:dyDescent="0.2">
      <c r="A4036" s="2"/>
    </row>
    <row r="4037" spans="1:1" x14ac:dyDescent="0.2">
      <c r="A4037" s="2"/>
    </row>
    <row r="4038" spans="1:1" x14ac:dyDescent="0.2">
      <c r="A4038" s="2"/>
    </row>
    <row r="4039" spans="1:1" x14ac:dyDescent="0.2">
      <c r="A4039" s="2"/>
    </row>
    <row r="4040" spans="1:1" x14ac:dyDescent="0.2">
      <c r="A4040" s="2"/>
    </row>
    <row r="4041" spans="1:1" x14ac:dyDescent="0.2">
      <c r="A4041" s="2"/>
    </row>
    <row r="4042" spans="1:1" x14ac:dyDescent="0.2">
      <c r="A4042" s="2"/>
    </row>
    <row r="4043" spans="1:1" x14ac:dyDescent="0.2">
      <c r="A4043" s="2"/>
    </row>
    <row r="4044" spans="1:1" x14ac:dyDescent="0.2">
      <c r="A4044" s="2"/>
    </row>
    <row r="4045" spans="1:1" x14ac:dyDescent="0.2">
      <c r="A4045" s="2"/>
    </row>
    <row r="4046" spans="1:1" x14ac:dyDescent="0.2">
      <c r="A4046" s="2"/>
    </row>
    <row r="4047" spans="1:1" x14ac:dyDescent="0.2">
      <c r="A4047" s="2"/>
    </row>
    <row r="4048" spans="1:1" x14ac:dyDescent="0.2">
      <c r="A4048" s="2"/>
    </row>
    <row r="4049" spans="1:1" x14ac:dyDescent="0.2">
      <c r="A4049" s="2"/>
    </row>
    <row r="4050" spans="1:1" x14ac:dyDescent="0.2">
      <c r="A4050" s="2"/>
    </row>
    <row r="4051" spans="1:1" x14ac:dyDescent="0.2">
      <c r="A4051" s="2"/>
    </row>
    <row r="4052" spans="1:1" x14ac:dyDescent="0.2">
      <c r="A4052" s="2"/>
    </row>
    <row r="4053" spans="1:1" x14ac:dyDescent="0.2">
      <c r="A4053" s="2"/>
    </row>
    <row r="4054" spans="1:1" x14ac:dyDescent="0.2">
      <c r="A4054" s="2"/>
    </row>
    <row r="4055" spans="1:1" x14ac:dyDescent="0.2">
      <c r="A4055" s="2"/>
    </row>
    <row r="4056" spans="1:1" x14ac:dyDescent="0.2">
      <c r="A4056" s="2"/>
    </row>
    <row r="4057" spans="1:1" x14ac:dyDescent="0.2">
      <c r="A4057" s="2"/>
    </row>
    <row r="4058" spans="1:1" x14ac:dyDescent="0.2">
      <c r="A4058" s="2"/>
    </row>
    <row r="4059" spans="1:1" x14ac:dyDescent="0.2">
      <c r="A4059" s="2"/>
    </row>
    <row r="4060" spans="1:1" x14ac:dyDescent="0.2">
      <c r="A4060" s="2"/>
    </row>
    <row r="4061" spans="1:1" x14ac:dyDescent="0.2">
      <c r="A4061" s="2"/>
    </row>
    <row r="4062" spans="1:1" x14ac:dyDescent="0.2">
      <c r="A4062" s="2"/>
    </row>
    <row r="4063" spans="1:1" x14ac:dyDescent="0.2">
      <c r="A4063" s="2"/>
    </row>
    <row r="4064" spans="1:1" x14ac:dyDescent="0.2">
      <c r="A4064" s="2"/>
    </row>
    <row r="4065" spans="1:1" x14ac:dyDescent="0.2">
      <c r="A4065" s="2"/>
    </row>
    <row r="4066" spans="1:1" x14ac:dyDescent="0.2">
      <c r="A4066" s="2"/>
    </row>
    <row r="4067" spans="1:1" x14ac:dyDescent="0.2">
      <c r="A4067" s="2"/>
    </row>
    <row r="4068" spans="1:1" x14ac:dyDescent="0.2">
      <c r="A4068" s="2"/>
    </row>
    <row r="4069" spans="1:1" x14ac:dyDescent="0.2">
      <c r="A4069" s="2"/>
    </row>
    <row r="4070" spans="1:1" x14ac:dyDescent="0.2">
      <c r="A4070" s="2"/>
    </row>
    <row r="4071" spans="1:1" x14ac:dyDescent="0.2">
      <c r="A4071" s="2"/>
    </row>
    <row r="4072" spans="1:1" x14ac:dyDescent="0.2">
      <c r="A4072" s="2"/>
    </row>
    <row r="4073" spans="1:1" x14ac:dyDescent="0.2">
      <c r="A4073" s="2"/>
    </row>
    <row r="4074" spans="1:1" x14ac:dyDescent="0.2">
      <c r="A4074" s="2"/>
    </row>
    <row r="4075" spans="1:1" x14ac:dyDescent="0.2">
      <c r="A4075" s="2"/>
    </row>
    <row r="4076" spans="1:1" x14ac:dyDescent="0.2">
      <c r="A4076" s="2"/>
    </row>
    <row r="4077" spans="1:1" x14ac:dyDescent="0.2">
      <c r="A4077" s="2"/>
    </row>
    <row r="4078" spans="1:1" x14ac:dyDescent="0.2">
      <c r="A4078" s="2"/>
    </row>
    <row r="4079" spans="1:1" x14ac:dyDescent="0.2">
      <c r="A4079" s="2"/>
    </row>
    <row r="4080" spans="1:1" x14ac:dyDescent="0.2">
      <c r="A4080" s="2"/>
    </row>
    <row r="4081" spans="1:1" x14ac:dyDescent="0.2">
      <c r="A4081" s="2"/>
    </row>
    <row r="4082" spans="1:1" x14ac:dyDescent="0.2">
      <c r="A4082" s="2"/>
    </row>
    <row r="4083" spans="1:1" x14ac:dyDescent="0.2">
      <c r="A4083" s="2"/>
    </row>
    <row r="4084" spans="1:1" x14ac:dyDescent="0.2">
      <c r="A4084" s="2"/>
    </row>
    <row r="4085" spans="1:1" x14ac:dyDescent="0.2">
      <c r="A4085" s="2"/>
    </row>
    <row r="4086" spans="1:1" x14ac:dyDescent="0.2">
      <c r="A4086" s="2"/>
    </row>
    <row r="4087" spans="1:1" x14ac:dyDescent="0.2">
      <c r="A4087" s="2"/>
    </row>
    <row r="4088" spans="1:1" x14ac:dyDescent="0.2">
      <c r="A4088" s="2"/>
    </row>
    <row r="4089" spans="1:1" x14ac:dyDescent="0.2">
      <c r="A4089" s="2"/>
    </row>
    <row r="4090" spans="1:1" x14ac:dyDescent="0.2">
      <c r="A4090" s="2"/>
    </row>
    <row r="4091" spans="1:1" x14ac:dyDescent="0.2">
      <c r="A4091" s="2"/>
    </row>
    <row r="4092" spans="1:1" x14ac:dyDescent="0.2">
      <c r="A4092" s="2"/>
    </row>
    <row r="4093" spans="1:1" x14ac:dyDescent="0.2">
      <c r="A4093" s="2"/>
    </row>
    <row r="4094" spans="1:1" x14ac:dyDescent="0.2">
      <c r="A4094" s="2"/>
    </row>
    <row r="4095" spans="1:1" x14ac:dyDescent="0.2">
      <c r="A4095" s="2"/>
    </row>
    <row r="4096" spans="1:1" x14ac:dyDescent="0.2">
      <c r="A4096" s="2"/>
    </row>
    <row r="4097" spans="1:1" x14ac:dyDescent="0.2">
      <c r="A4097" s="2"/>
    </row>
    <row r="4098" spans="1:1" x14ac:dyDescent="0.2">
      <c r="A4098" s="2"/>
    </row>
    <row r="4099" spans="1:1" x14ac:dyDescent="0.2">
      <c r="A4099" s="2"/>
    </row>
    <row r="4100" spans="1:1" x14ac:dyDescent="0.2">
      <c r="A4100" s="2"/>
    </row>
    <row r="4101" spans="1:1" x14ac:dyDescent="0.2">
      <c r="A4101" s="2"/>
    </row>
    <row r="4102" spans="1:1" x14ac:dyDescent="0.2">
      <c r="A4102" s="2"/>
    </row>
    <row r="4103" spans="1:1" x14ac:dyDescent="0.2">
      <c r="A4103" s="2"/>
    </row>
    <row r="4104" spans="1:1" x14ac:dyDescent="0.2">
      <c r="A4104" s="2"/>
    </row>
    <row r="4105" spans="1:1" x14ac:dyDescent="0.2">
      <c r="A4105" s="2"/>
    </row>
    <row r="4106" spans="1:1" x14ac:dyDescent="0.2">
      <c r="A4106" s="2"/>
    </row>
    <row r="4107" spans="1:1" x14ac:dyDescent="0.2">
      <c r="A4107" s="2"/>
    </row>
    <row r="4108" spans="1:1" x14ac:dyDescent="0.2">
      <c r="A4108" s="2"/>
    </row>
    <row r="4109" spans="1:1" x14ac:dyDescent="0.2">
      <c r="A4109" s="2"/>
    </row>
    <row r="4110" spans="1:1" x14ac:dyDescent="0.2">
      <c r="A4110" s="2"/>
    </row>
    <row r="4111" spans="1:1" x14ac:dyDescent="0.2">
      <c r="A4111" s="2"/>
    </row>
    <row r="4112" spans="1:1" x14ac:dyDescent="0.2">
      <c r="A4112" s="2"/>
    </row>
    <row r="4113" spans="1:1" x14ac:dyDescent="0.2">
      <c r="A4113" s="2"/>
    </row>
    <row r="4114" spans="1:1" x14ac:dyDescent="0.2">
      <c r="A4114" s="2"/>
    </row>
    <row r="4115" spans="1:1" x14ac:dyDescent="0.2">
      <c r="A4115" s="2"/>
    </row>
    <row r="4116" spans="1:1" x14ac:dyDescent="0.2">
      <c r="A4116" s="2"/>
    </row>
    <row r="4117" spans="1:1" x14ac:dyDescent="0.2">
      <c r="A4117" s="2"/>
    </row>
    <row r="4118" spans="1:1" x14ac:dyDescent="0.2">
      <c r="A4118" s="2"/>
    </row>
    <row r="4119" spans="1:1" x14ac:dyDescent="0.2">
      <c r="A4119" s="2"/>
    </row>
    <row r="4120" spans="1:1" x14ac:dyDescent="0.2">
      <c r="A4120" s="2"/>
    </row>
    <row r="4121" spans="1:1" x14ac:dyDescent="0.2">
      <c r="A4121" s="2"/>
    </row>
    <row r="4122" spans="1:1" x14ac:dyDescent="0.2">
      <c r="A4122" s="2"/>
    </row>
    <row r="4123" spans="1:1" x14ac:dyDescent="0.2">
      <c r="A4123" s="2"/>
    </row>
    <row r="4124" spans="1:1" x14ac:dyDescent="0.2">
      <c r="A4124" s="2"/>
    </row>
    <row r="4125" spans="1:1" x14ac:dyDescent="0.2">
      <c r="A4125" s="2"/>
    </row>
    <row r="4126" spans="1:1" x14ac:dyDescent="0.2">
      <c r="A4126" s="2"/>
    </row>
    <row r="4127" spans="1:1" x14ac:dyDescent="0.2">
      <c r="A4127" s="2"/>
    </row>
    <row r="4128" spans="1:1" x14ac:dyDescent="0.2">
      <c r="A4128" s="2"/>
    </row>
    <row r="4129" spans="1:1" x14ac:dyDescent="0.2">
      <c r="A4129" s="2"/>
    </row>
    <row r="4130" spans="1:1" x14ac:dyDescent="0.2">
      <c r="A4130" s="2"/>
    </row>
    <row r="4131" spans="1:1" x14ac:dyDescent="0.2">
      <c r="A4131" s="2"/>
    </row>
    <row r="4132" spans="1:1" x14ac:dyDescent="0.2">
      <c r="A4132" s="2"/>
    </row>
    <row r="4133" spans="1:1" x14ac:dyDescent="0.2">
      <c r="A4133" s="2"/>
    </row>
    <row r="4134" spans="1:1" x14ac:dyDescent="0.2">
      <c r="A4134" s="2"/>
    </row>
    <row r="4135" spans="1:1" x14ac:dyDescent="0.2">
      <c r="A4135" s="2"/>
    </row>
    <row r="4136" spans="1:1" x14ac:dyDescent="0.2">
      <c r="A4136" s="2"/>
    </row>
    <row r="4137" spans="1:1" x14ac:dyDescent="0.2">
      <c r="A4137" s="2"/>
    </row>
    <row r="4138" spans="1:1" x14ac:dyDescent="0.2">
      <c r="A4138" s="2"/>
    </row>
    <row r="4139" spans="1:1" x14ac:dyDescent="0.2">
      <c r="A4139" s="2"/>
    </row>
    <row r="4140" spans="1:1" x14ac:dyDescent="0.2">
      <c r="A4140" s="2"/>
    </row>
    <row r="4141" spans="1:1" x14ac:dyDescent="0.2">
      <c r="A4141" s="2"/>
    </row>
    <row r="4142" spans="1:1" x14ac:dyDescent="0.2">
      <c r="A4142" s="2"/>
    </row>
    <row r="4143" spans="1:1" x14ac:dyDescent="0.2">
      <c r="A4143" s="2"/>
    </row>
    <row r="4144" spans="1:1" x14ac:dyDescent="0.2">
      <c r="A4144" s="2"/>
    </row>
    <row r="4145" spans="1:1" x14ac:dyDescent="0.2">
      <c r="A4145" s="2"/>
    </row>
    <row r="4146" spans="1:1" x14ac:dyDescent="0.2">
      <c r="A4146" s="2"/>
    </row>
    <row r="4147" spans="1:1" x14ac:dyDescent="0.2">
      <c r="A4147" s="2"/>
    </row>
    <row r="4148" spans="1:1" x14ac:dyDescent="0.2">
      <c r="A4148" s="2"/>
    </row>
    <row r="4149" spans="1:1" x14ac:dyDescent="0.2">
      <c r="A4149" s="2"/>
    </row>
    <row r="4150" spans="1:1" x14ac:dyDescent="0.2">
      <c r="A4150" s="2"/>
    </row>
    <row r="4151" spans="1:1" x14ac:dyDescent="0.2">
      <c r="A4151" s="2"/>
    </row>
    <row r="4152" spans="1:1" x14ac:dyDescent="0.2">
      <c r="A4152" s="2"/>
    </row>
    <row r="4153" spans="1:1" x14ac:dyDescent="0.2">
      <c r="A4153" s="2"/>
    </row>
    <row r="4154" spans="1:1" x14ac:dyDescent="0.2">
      <c r="A4154" s="2"/>
    </row>
    <row r="4155" spans="1:1" x14ac:dyDescent="0.2">
      <c r="A4155" s="2"/>
    </row>
    <row r="4156" spans="1:1" x14ac:dyDescent="0.2">
      <c r="A4156" s="2"/>
    </row>
    <row r="4157" spans="1:1" x14ac:dyDescent="0.2">
      <c r="A4157" s="2"/>
    </row>
    <row r="4158" spans="1:1" x14ac:dyDescent="0.2">
      <c r="A4158" s="2"/>
    </row>
    <row r="4159" spans="1:1" x14ac:dyDescent="0.2">
      <c r="A4159" s="2"/>
    </row>
    <row r="4160" spans="1:1" x14ac:dyDescent="0.2">
      <c r="A4160" s="2"/>
    </row>
    <row r="4161" spans="1:1" x14ac:dyDescent="0.2">
      <c r="A4161" s="2"/>
    </row>
    <row r="4162" spans="1:1" x14ac:dyDescent="0.2">
      <c r="A4162" s="2"/>
    </row>
    <row r="4163" spans="1:1" x14ac:dyDescent="0.2">
      <c r="A4163" s="2"/>
    </row>
    <row r="4164" spans="1:1" x14ac:dyDescent="0.2">
      <c r="A4164" s="2"/>
    </row>
    <row r="4165" spans="1:1" x14ac:dyDescent="0.2">
      <c r="A4165" s="2"/>
    </row>
    <row r="4166" spans="1:1" x14ac:dyDescent="0.2">
      <c r="A4166" s="2"/>
    </row>
    <row r="4167" spans="1:1" x14ac:dyDescent="0.2">
      <c r="A4167" s="2"/>
    </row>
    <row r="4168" spans="1:1" x14ac:dyDescent="0.2">
      <c r="A4168" s="2"/>
    </row>
    <row r="4169" spans="1:1" x14ac:dyDescent="0.2">
      <c r="A4169" s="2"/>
    </row>
    <row r="4170" spans="1:1" x14ac:dyDescent="0.2">
      <c r="A4170" s="2"/>
    </row>
    <row r="4171" spans="1:1" x14ac:dyDescent="0.2">
      <c r="A4171" s="2"/>
    </row>
    <row r="4172" spans="1:1" x14ac:dyDescent="0.2">
      <c r="A4172" s="2"/>
    </row>
    <row r="4173" spans="1:1" x14ac:dyDescent="0.2">
      <c r="A4173" s="2"/>
    </row>
    <row r="4174" spans="1:1" x14ac:dyDescent="0.2">
      <c r="A4174" s="2"/>
    </row>
    <row r="4175" spans="1:1" x14ac:dyDescent="0.2">
      <c r="A4175" s="2"/>
    </row>
    <row r="4176" spans="1:1" x14ac:dyDescent="0.2">
      <c r="A4176" s="2"/>
    </row>
    <row r="4177" spans="1:1" x14ac:dyDescent="0.2">
      <c r="A4177" s="2"/>
    </row>
    <row r="4178" spans="1:1" x14ac:dyDescent="0.2">
      <c r="A4178" s="2"/>
    </row>
    <row r="4179" spans="1:1" x14ac:dyDescent="0.2">
      <c r="A4179" s="2"/>
    </row>
    <row r="4180" spans="1:1" x14ac:dyDescent="0.2">
      <c r="A4180" s="2"/>
    </row>
    <row r="4181" spans="1:1" x14ac:dyDescent="0.2">
      <c r="A4181" s="2"/>
    </row>
    <row r="4182" spans="1:1" x14ac:dyDescent="0.2">
      <c r="A4182" s="2"/>
    </row>
    <row r="4183" spans="1:1" x14ac:dyDescent="0.2">
      <c r="A4183" s="2"/>
    </row>
    <row r="4184" spans="1:1" x14ac:dyDescent="0.2">
      <c r="A4184" s="2"/>
    </row>
    <row r="4185" spans="1:1" x14ac:dyDescent="0.2">
      <c r="A4185" s="2"/>
    </row>
    <row r="4186" spans="1:1" x14ac:dyDescent="0.2">
      <c r="A4186" s="2"/>
    </row>
    <row r="4187" spans="1:1" x14ac:dyDescent="0.2">
      <c r="A4187" s="2"/>
    </row>
    <row r="4188" spans="1:1" x14ac:dyDescent="0.2">
      <c r="A4188" s="2"/>
    </row>
    <row r="4189" spans="1:1" x14ac:dyDescent="0.2">
      <c r="A4189" s="2"/>
    </row>
    <row r="4190" spans="1:1" x14ac:dyDescent="0.2">
      <c r="A4190" s="2"/>
    </row>
    <row r="4191" spans="1:1" x14ac:dyDescent="0.2">
      <c r="A4191" s="2"/>
    </row>
    <row r="4192" spans="1:1" x14ac:dyDescent="0.2">
      <c r="A4192" s="2"/>
    </row>
    <row r="4193" spans="1:1" x14ac:dyDescent="0.2">
      <c r="A4193" s="2"/>
    </row>
    <row r="4194" spans="1:1" x14ac:dyDescent="0.2">
      <c r="A4194" s="2"/>
    </row>
    <row r="4195" spans="1:1" x14ac:dyDescent="0.2">
      <c r="A4195" s="2"/>
    </row>
    <row r="4196" spans="1:1" x14ac:dyDescent="0.2">
      <c r="A4196" s="2"/>
    </row>
    <row r="4197" spans="1:1" x14ac:dyDescent="0.2">
      <c r="A4197" s="2"/>
    </row>
    <row r="4198" spans="1:1" x14ac:dyDescent="0.2">
      <c r="A4198" s="2"/>
    </row>
    <row r="4199" spans="1:1" x14ac:dyDescent="0.2">
      <c r="A4199" s="2"/>
    </row>
    <row r="4200" spans="1:1" x14ac:dyDescent="0.2">
      <c r="A4200" s="2"/>
    </row>
    <row r="4201" spans="1:1" x14ac:dyDescent="0.2">
      <c r="A4201" s="2"/>
    </row>
    <row r="4202" spans="1:1" x14ac:dyDescent="0.2">
      <c r="A4202" s="2"/>
    </row>
    <row r="4203" spans="1:1" x14ac:dyDescent="0.2">
      <c r="A4203" s="2"/>
    </row>
    <row r="4204" spans="1:1" x14ac:dyDescent="0.2">
      <c r="A4204" s="2"/>
    </row>
    <row r="4205" spans="1:1" x14ac:dyDescent="0.2">
      <c r="A4205" s="2"/>
    </row>
    <row r="4206" spans="1:1" x14ac:dyDescent="0.2">
      <c r="A4206" s="2"/>
    </row>
    <row r="4207" spans="1:1" x14ac:dyDescent="0.2">
      <c r="A4207" s="2"/>
    </row>
    <row r="4208" spans="1:1" x14ac:dyDescent="0.2">
      <c r="A4208" s="2"/>
    </row>
    <row r="4209" spans="1:1" x14ac:dyDescent="0.2">
      <c r="A4209" s="2"/>
    </row>
    <row r="4210" spans="1:1" x14ac:dyDescent="0.2">
      <c r="A4210" s="2"/>
    </row>
    <row r="4211" spans="1:1" x14ac:dyDescent="0.2">
      <c r="A4211" s="2"/>
    </row>
    <row r="4212" spans="1:1" x14ac:dyDescent="0.2">
      <c r="A4212" s="2"/>
    </row>
    <row r="4213" spans="1:1" x14ac:dyDescent="0.2">
      <c r="A4213" s="2"/>
    </row>
    <row r="4214" spans="1:1" x14ac:dyDescent="0.2">
      <c r="A4214" s="2"/>
    </row>
    <row r="4215" spans="1:1" x14ac:dyDescent="0.2">
      <c r="A4215" s="2"/>
    </row>
    <row r="4216" spans="1:1" x14ac:dyDescent="0.2">
      <c r="A4216" s="2"/>
    </row>
    <row r="4217" spans="1:1" x14ac:dyDescent="0.2">
      <c r="A4217" s="2"/>
    </row>
    <row r="4218" spans="1:1" x14ac:dyDescent="0.2">
      <c r="A4218" s="2"/>
    </row>
    <row r="4219" spans="1:1" x14ac:dyDescent="0.2">
      <c r="A4219" s="2"/>
    </row>
    <row r="4220" spans="1:1" x14ac:dyDescent="0.2">
      <c r="A4220" s="2"/>
    </row>
    <row r="4221" spans="1:1" x14ac:dyDescent="0.2">
      <c r="A4221" s="2"/>
    </row>
    <row r="4222" spans="1:1" x14ac:dyDescent="0.2">
      <c r="A4222" s="2"/>
    </row>
    <row r="4223" spans="1:1" x14ac:dyDescent="0.2">
      <c r="A4223" s="2"/>
    </row>
    <row r="4224" spans="1:1" x14ac:dyDescent="0.2">
      <c r="A4224" s="2"/>
    </row>
    <row r="4225" spans="1:1" x14ac:dyDescent="0.2">
      <c r="A4225" s="2"/>
    </row>
    <row r="4226" spans="1:1" x14ac:dyDescent="0.2">
      <c r="A4226" s="2"/>
    </row>
    <row r="4227" spans="1:1" x14ac:dyDescent="0.2">
      <c r="A4227" s="2"/>
    </row>
    <row r="4228" spans="1:1" x14ac:dyDescent="0.2">
      <c r="A4228" s="2"/>
    </row>
    <row r="4229" spans="1:1" x14ac:dyDescent="0.2">
      <c r="A4229" s="2"/>
    </row>
    <row r="4230" spans="1:1" x14ac:dyDescent="0.2">
      <c r="A4230" s="2"/>
    </row>
    <row r="4231" spans="1:1" x14ac:dyDescent="0.2">
      <c r="A4231" s="2"/>
    </row>
    <row r="4232" spans="1:1" x14ac:dyDescent="0.2">
      <c r="A4232" s="2"/>
    </row>
    <row r="4233" spans="1:1" x14ac:dyDescent="0.2">
      <c r="A4233" s="2"/>
    </row>
    <row r="4234" spans="1:1" x14ac:dyDescent="0.2">
      <c r="A4234" s="2"/>
    </row>
    <row r="4235" spans="1:1" x14ac:dyDescent="0.2">
      <c r="A4235" s="2"/>
    </row>
    <row r="4236" spans="1:1" x14ac:dyDescent="0.2">
      <c r="A4236" s="2"/>
    </row>
    <row r="4237" spans="1:1" x14ac:dyDescent="0.2">
      <c r="A4237" s="2"/>
    </row>
    <row r="4238" spans="1:1" x14ac:dyDescent="0.2">
      <c r="A4238" s="2"/>
    </row>
    <row r="4239" spans="1:1" x14ac:dyDescent="0.2">
      <c r="A4239" s="2"/>
    </row>
    <row r="4240" spans="1:1" x14ac:dyDescent="0.2">
      <c r="A4240" s="2"/>
    </row>
    <row r="4241" spans="1:1" x14ac:dyDescent="0.2">
      <c r="A4241" s="2"/>
    </row>
    <row r="4242" spans="1:1" x14ac:dyDescent="0.2">
      <c r="A4242" s="2"/>
    </row>
    <row r="4243" spans="1:1" x14ac:dyDescent="0.2">
      <c r="A4243" s="2"/>
    </row>
    <row r="4244" spans="1:1" x14ac:dyDescent="0.2">
      <c r="A4244" s="2"/>
    </row>
    <row r="4245" spans="1:1" x14ac:dyDescent="0.2">
      <c r="A4245" s="2"/>
    </row>
    <row r="4246" spans="1:1" x14ac:dyDescent="0.2">
      <c r="A4246" s="2"/>
    </row>
    <row r="4247" spans="1:1" x14ac:dyDescent="0.2">
      <c r="A4247" s="2"/>
    </row>
    <row r="4248" spans="1:1" x14ac:dyDescent="0.2">
      <c r="A4248" s="2"/>
    </row>
    <row r="4249" spans="1:1" x14ac:dyDescent="0.2">
      <c r="A4249" s="2"/>
    </row>
    <row r="4250" spans="1:1" x14ac:dyDescent="0.2">
      <c r="A4250" s="2"/>
    </row>
    <row r="4251" spans="1:1" x14ac:dyDescent="0.2">
      <c r="A4251" s="2"/>
    </row>
    <row r="4252" spans="1:1" x14ac:dyDescent="0.2">
      <c r="A4252" s="2"/>
    </row>
    <row r="4253" spans="1:1" x14ac:dyDescent="0.2">
      <c r="A4253" s="2"/>
    </row>
    <row r="4254" spans="1:1" x14ac:dyDescent="0.2">
      <c r="A4254" s="2"/>
    </row>
    <row r="4255" spans="1:1" x14ac:dyDescent="0.2">
      <c r="A4255" s="2"/>
    </row>
    <row r="4256" spans="1:1" x14ac:dyDescent="0.2">
      <c r="A4256" s="2"/>
    </row>
    <row r="4257" spans="1:1" x14ac:dyDescent="0.2">
      <c r="A4257" s="2"/>
    </row>
    <row r="4258" spans="1:1" x14ac:dyDescent="0.2">
      <c r="A4258" s="2"/>
    </row>
    <row r="4259" spans="1:1" x14ac:dyDescent="0.2">
      <c r="A4259" s="2"/>
    </row>
    <row r="4260" spans="1:1" x14ac:dyDescent="0.2">
      <c r="A4260" s="2"/>
    </row>
    <row r="4261" spans="1:1" x14ac:dyDescent="0.2">
      <c r="A4261" s="2"/>
    </row>
    <row r="4262" spans="1:1" x14ac:dyDescent="0.2">
      <c r="A4262" s="2"/>
    </row>
    <row r="4263" spans="1:1" x14ac:dyDescent="0.2">
      <c r="A4263" s="2"/>
    </row>
    <row r="4264" spans="1:1" x14ac:dyDescent="0.2">
      <c r="A4264" s="2"/>
    </row>
    <row r="4265" spans="1:1" x14ac:dyDescent="0.2">
      <c r="A4265" s="2"/>
    </row>
    <row r="4266" spans="1:1" x14ac:dyDescent="0.2">
      <c r="A4266" s="2"/>
    </row>
    <row r="4267" spans="1:1" x14ac:dyDescent="0.2">
      <c r="A4267" s="2"/>
    </row>
    <row r="4268" spans="1:1" x14ac:dyDescent="0.2">
      <c r="A4268" s="2"/>
    </row>
    <row r="4269" spans="1:1" x14ac:dyDescent="0.2">
      <c r="A4269" s="2"/>
    </row>
    <row r="4270" spans="1:1" x14ac:dyDescent="0.2">
      <c r="A4270" s="2"/>
    </row>
    <row r="4271" spans="1:1" x14ac:dyDescent="0.2">
      <c r="A4271" s="2"/>
    </row>
    <row r="4272" spans="1:1" x14ac:dyDescent="0.2">
      <c r="A4272" s="2"/>
    </row>
    <row r="4273" spans="1:1" x14ac:dyDescent="0.2">
      <c r="A4273" s="2"/>
    </row>
    <row r="4274" spans="1:1" x14ac:dyDescent="0.2">
      <c r="A4274" s="2"/>
    </row>
    <row r="4275" spans="1:1" x14ac:dyDescent="0.2">
      <c r="A4275" s="2"/>
    </row>
    <row r="4276" spans="1:1" x14ac:dyDescent="0.2">
      <c r="A4276" s="2"/>
    </row>
    <row r="4277" spans="1:1" x14ac:dyDescent="0.2">
      <c r="A4277" s="2"/>
    </row>
    <row r="4278" spans="1:1" x14ac:dyDescent="0.2">
      <c r="A4278" s="2"/>
    </row>
    <row r="4279" spans="1:1" x14ac:dyDescent="0.2">
      <c r="A4279" s="2"/>
    </row>
    <row r="4280" spans="1:1" x14ac:dyDescent="0.2">
      <c r="A4280" s="2"/>
    </row>
    <row r="4281" spans="1:1" x14ac:dyDescent="0.2">
      <c r="A4281" s="2"/>
    </row>
    <row r="4282" spans="1:1" x14ac:dyDescent="0.2">
      <c r="A4282" s="2"/>
    </row>
    <row r="4283" spans="1:1" x14ac:dyDescent="0.2">
      <c r="A4283" s="2"/>
    </row>
    <row r="4284" spans="1:1" x14ac:dyDescent="0.2">
      <c r="A4284" s="2"/>
    </row>
    <row r="4285" spans="1:1" x14ac:dyDescent="0.2">
      <c r="A4285" s="2"/>
    </row>
    <row r="4286" spans="1:1" x14ac:dyDescent="0.2">
      <c r="A4286" s="2"/>
    </row>
    <row r="4287" spans="1:1" x14ac:dyDescent="0.2">
      <c r="A4287" s="2"/>
    </row>
    <row r="4288" spans="1:1" x14ac:dyDescent="0.2">
      <c r="A4288" s="2"/>
    </row>
    <row r="4289" spans="1:1" x14ac:dyDescent="0.2">
      <c r="A4289" s="2"/>
    </row>
    <row r="4290" spans="1:1" x14ac:dyDescent="0.2">
      <c r="A4290" s="2"/>
    </row>
    <row r="4291" spans="1:1" x14ac:dyDescent="0.2">
      <c r="A4291" s="2"/>
    </row>
    <row r="4292" spans="1:1" x14ac:dyDescent="0.2">
      <c r="A4292" s="2"/>
    </row>
    <row r="4293" spans="1:1" x14ac:dyDescent="0.2">
      <c r="A4293" s="2"/>
    </row>
    <row r="4294" spans="1:1" x14ac:dyDescent="0.2">
      <c r="A4294" s="2"/>
    </row>
    <row r="4295" spans="1:1" x14ac:dyDescent="0.2">
      <c r="A4295" s="2"/>
    </row>
    <row r="4296" spans="1:1" x14ac:dyDescent="0.2">
      <c r="A4296" s="2"/>
    </row>
    <row r="4297" spans="1:1" x14ac:dyDescent="0.2">
      <c r="A4297" s="2"/>
    </row>
    <row r="4298" spans="1:1" x14ac:dyDescent="0.2">
      <c r="A4298" s="2"/>
    </row>
    <row r="4299" spans="1:1" x14ac:dyDescent="0.2">
      <c r="A4299" s="2"/>
    </row>
    <row r="4300" spans="1:1" x14ac:dyDescent="0.2">
      <c r="A4300" s="2"/>
    </row>
    <row r="4301" spans="1:1" x14ac:dyDescent="0.2">
      <c r="A4301" s="2"/>
    </row>
    <row r="4302" spans="1:1" x14ac:dyDescent="0.2">
      <c r="A4302" s="2"/>
    </row>
    <row r="4303" spans="1:1" x14ac:dyDescent="0.2">
      <c r="A4303" s="2"/>
    </row>
    <row r="4304" spans="1:1" x14ac:dyDescent="0.2">
      <c r="A4304" s="2"/>
    </row>
    <row r="4305" spans="1:1" x14ac:dyDescent="0.2">
      <c r="A4305" s="2"/>
    </row>
    <row r="4306" spans="1:1" x14ac:dyDescent="0.2">
      <c r="A4306" s="2"/>
    </row>
    <row r="4307" spans="1:1" x14ac:dyDescent="0.2">
      <c r="A4307" s="2"/>
    </row>
    <row r="4308" spans="1:1" x14ac:dyDescent="0.2">
      <c r="A4308" s="2"/>
    </row>
    <row r="4309" spans="1:1" x14ac:dyDescent="0.2">
      <c r="A4309" s="2"/>
    </row>
    <row r="4310" spans="1:1" x14ac:dyDescent="0.2">
      <c r="A4310" s="2"/>
    </row>
    <row r="4311" spans="1:1" x14ac:dyDescent="0.2">
      <c r="A4311" s="2"/>
    </row>
    <row r="4312" spans="1:1" x14ac:dyDescent="0.2">
      <c r="A4312" s="2"/>
    </row>
    <row r="4313" spans="1:1" x14ac:dyDescent="0.2">
      <c r="A4313" s="2"/>
    </row>
    <row r="4314" spans="1:1" x14ac:dyDescent="0.2">
      <c r="A4314" s="2"/>
    </row>
    <row r="4315" spans="1:1" x14ac:dyDescent="0.2">
      <c r="A4315" s="2"/>
    </row>
    <row r="4316" spans="1:1" x14ac:dyDescent="0.2">
      <c r="A4316" s="2"/>
    </row>
    <row r="4317" spans="1:1" x14ac:dyDescent="0.2">
      <c r="A4317" s="2"/>
    </row>
    <row r="4318" spans="1:1" x14ac:dyDescent="0.2">
      <c r="A4318" s="2"/>
    </row>
    <row r="4319" spans="1:1" x14ac:dyDescent="0.2">
      <c r="A4319" s="2"/>
    </row>
    <row r="4320" spans="1:1" x14ac:dyDescent="0.2">
      <c r="A4320" s="2"/>
    </row>
    <row r="4321" spans="1:1" x14ac:dyDescent="0.2">
      <c r="A4321" s="2"/>
    </row>
    <row r="4322" spans="1:1" x14ac:dyDescent="0.2">
      <c r="A4322" s="2"/>
    </row>
    <row r="4323" spans="1:1" x14ac:dyDescent="0.2">
      <c r="A4323" s="2"/>
    </row>
    <row r="4324" spans="1:1" x14ac:dyDescent="0.2">
      <c r="A4324" s="2"/>
    </row>
    <row r="4325" spans="1:1" x14ac:dyDescent="0.2">
      <c r="A4325" s="2"/>
    </row>
    <row r="4326" spans="1:1" x14ac:dyDescent="0.2">
      <c r="A4326" s="2"/>
    </row>
    <row r="4327" spans="1:1" x14ac:dyDescent="0.2">
      <c r="A4327" s="2"/>
    </row>
    <row r="4328" spans="1:1" x14ac:dyDescent="0.2">
      <c r="A4328" s="2"/>
    </row>
    <row r="4329" spans="1:1" x14ac:dyDescent="0.2">
      <c r="A4329" s="2"/>
    </row>
    <row r="4330" spans="1:1" x14ac:dyDescent="0.2">
      <c r="A4330" s="2"/>
    </row>
    <row r="4331" spans="1:1" x14ac:dyDescent="0.2">
      <c r="A4331" s="2"/>
    </row>
    <row r="4332" spans="1:1" x14ac:dyDescent="0.2">
      <c r="A4332" s="2"/>
    </row>
    <row r="4333" spans="1:1" x14ac:dyDescent="0.2">
      <c r="A4333" s="2"/>
    </row>
    <row r="4334" spans="1:1" x14ac:dyDescent="0.2">
      <c r="A4334" s="2"/>
    </row>
    <row r="4335" spans="1:1" x14ac:dyDescent="0.2">
      <c r="A4335" s="2"/>
    </row>
    <row r="4336" spans="1:1" x14ac:dyDescent="0.2">
      <c r="A4336" s="2"/>
    </row>
    <row r="4337" spans="1:1" x14ac:dyDescent="0.2">
      <c r="A4337" s="2"/>
    </row>
    <row r="4338" spans="1:1" x14ac:dyDescent="0.2">
      <c r="A4338" s="2"/>
    </row>
    <row r="4339" spans="1:1" x14ac:dyDescent="0.2">
      <c r="A4339" s="2"/>
    </row>
    <row r="4340" spans="1:1" x14ac:dyDescent="0.2">
      <c r="A4340" s="2"/>
    </row>
    <row r="4341" spans="1:1" x14ac:dyDescent="0.2">
      <c r="A4341" s="2"/>
    </row>
    <row r="4342" spans="1:1" x14ac:dyDescent="0.2">
      <c r="A4342" s="2"/>
    </row>
    <row r="4343" spans="1:1" x14ac:dyDescent="0.2">
      <c r="A4343" s="2"/>
    </row>
    <row r="4344" spans="1:1" x14ac:dyDescent="0.2">
      <c r="A4344" s="2"/>
    </row>
    <row r="4345" spans="1:1" x14ac:dyDescent="0.2">
      <c r="A4345" s="2"/>
    </row>
    <row r="4346" spans="1:1" x14ac:dyDescent="0.2">
      <c r="A4346" s="2"/>
    </row>
    <row r="4347" spans="1:1" x14ac:dyDescent="0.2">
      <c r="A4347" s="2"/>
    </row>
    <row r="4348" spans="1:1" x14ac:dyDescent="0.2">
      <c r="A4348" s="2"/>
    </row>
    <row r="4349" spans="1:1" x14ac:dyDescent="0.2">
      <c r="A4349" s="2"/>
    </row>
    <row r="4350" spans="1:1" x14ac:dyDescent="0.2">
      <c r="A4350" s="2"/>
    </row>
    <row r="4351" spans="1:1" x14ac:dyDescent="0.2">
      <c r="A4351" s="2"/>
    </row>
    <row r="4352" spans="1:1" x14ac:dyDescent="0.2">
      <c r="A4352" s="2"/>
    </row>
    <row r="4353" spans="1:1" x14ac:dyDescent="0.2">
      <c r="A4353" s="2"/>
    </row>
    <row r="4354" spans="1:1" x14ac:dyDescent="0.2">
      <c r="A4354" s="2"/>
    </row>
    <row r="4355" spans="1:1" x14ac:dyDescent="0.2">
      <c r="A4355" s="2"/>
    </row>
    <row r="4356" spans="1:1" x14ac:dyDescent="0.2">
      <c r="A4356" s="2"/>
    </row>
    <row r="4357" spans="1:1" x14ac:dyDescent="0.2">
      <c r="A4357" s="2"/>
    </row>
    <row r="4358" spans="1:1" x14ac:dyDescent="0.2">
      <c r="A4358" s="2"/>
    </row>
    <row r="4359" spans="1:1" x14ac:dyDescent="0.2">
      <c r="A4359" s="2"/>
    </row>
    <row r="4360" spans="1:1" x14ac:dyDescent="0.2">
      <c r="A4360" s="2"/>
    </row>
    <row r="4361" spans="1:1" x14ac:dyDescent="0.2">
      <c r="A4361" s="2"/>
    </row>
    <row r="4362" spans="1:1" x14ac:dyDescent="0.2">
      <c r="A4362" s="2"/>
    </row>
    <row r="4363" spans="1:1" x14ac:dyDescent="0.2">
      <c r="A4363" s="2"/>
    </row>
    <row r="4364" spans="1:1" x14ac:dyDescent="0.2">
      <c r="A4364" s="2"/>
    </row>
    <row r="4365" spans="1:1" x14ac:dyDescent="0.2">
      <c r="A4365" s="2"/>
    </row>
    <row r="4366" spans="1:1" x14ac:dyDescent="0.2">
      <c r="A4366" s="2"/>
    </row>
    <row r="4367" spans="1:1" x14ac:dyDescent="0.2">
      <c r="A4367" s="2"/>
    </row>
    <row r="4368" spans="1:1" x14ac:dyDescent="0.2">
      <c r="A4368" s="2"/>
    </row>
    <row r="4369" spans="1:1" x14ac:dyDescent="0.2">
      <c r="A4369" s="2"/>
    </row>
    <row r="4370" spans="1:1" x14ac:dyDescent="0.2">
      <c r="A4370" s="2"/>
    </row>
    <row r="4371" spans="1:1" x14ac:dyDescent="0.2">
      <c r="A4371" s="2"/>
    </row>
    <row r="4372" spans="1:1" x14ac:dyDescent="0.2">
      <c r="A4372" s="2"/>
    </row>
    <row r="4373" spans="1:1" x14ac:dyDescent="0.2">
      <c r="A4373" s="2"/>
    </row>
    <row r="4374" spans="1:1" x14ac:dyDescent="0.2">
      <c r="A4374" s="2"/>
    </row>
    <row r="4375" spans="1:1" x14ac:dyDescent="0.2">
      <c r="A4375" s="2"/>
    </row>
    <row r="4376" spans="1:1" x14ac:dyDescent="0.2">
      <c r="A4376" s="2"/>
    </row>
    <row r="4377" spans="1:1" x14ac:dyDescent="0.2">
      <c r="A4377" s="2"/>
    </row>
    <row r="4378" spans="1:1" x14ac:dyDescent="0.2">
      <c r="A4378" s="2"/>
    </row>
    <row r="4379" spans="1:1" x14ac:dyDescent="0.2">
      <c r="A4379" s="2"/>
    </row>
    <row r="4380" spans="1:1" x14ac:dyDescent="0.2">
      <c r="A4380" s="2"/>
    </row>
    <row r="4381" spans="1:1" x14ac:dyDescent="0.2">
      <c r="A4381" s="2"/>
    </row>
    <row r="4382" spans="1:1" x14ac:dyDescent="0.2">
      <c r="A4382" s="2"/>
    </row>
    <row r="4383" spans="1:1" x14ac:dyDescent="0.2">
      <c r="A4383" s="2"/>
    </row>
    <row r="4384" spans="1:1" x14ac:dyDescent="0.2">
      <c r="A4384" s="2"/>
    </row>
    <row r="4385" spans="1:1" x14ac:dyDescent="0.2">
      <c r="A4385" s="2"/>
    </row>
    <row r="4386" spans="1:1" x14ac:dyDescent="0.2">
      <c r="A4386" s="2"/>
    </row>
    <row r="4387" spans="1:1" x14ac:dyDescent="0.2">
      <c r="A4387" s="2"/>
    </row>
    <row r="4388" spans="1:1" x14ac:dyDescent="0.2">
      <c r="A4388" s="2"/>
    </row>
    <row r="4389" spans="1:1" x14ac:dyDescent="0.2">
      <c r="A4389" s="2"/>
    </row>
    <row r="4390" spans="1:1" x14ac:dyDescent="0.2">
      <c r="A4390" s="2"/>
    </row>
    <row r="4391" spans="1:1" x14ac:dyDescent="0.2">
      <c r="A4391" s="2"/>
    </row>
    <row r="4392" spans="1:1" x14ac:dyDescent="0.2">
      <c r="A4392" s="2"/>
    </row>
    <row r="4393" spans="1:1" x14ac:dyDescent="0.2">
      <c r="A4393" s="2"/>
    </row>
    <row r="4394" spans="1:1" x14ac:dyDescent="0.2">
      <c r="A4394" s="2"/>
    </row>
    <row r="4395" spans="1:1" x14ac:dyDescent="0.2">
      <c r="A4395" s="2"/>
    </row>
    <row r="4396" spans="1:1" x14ac:dyDescent="0.2">
      <c r="A4396" s="2"/>
    </row>
    <row r="4397" spans="1:1" x14ac:dyDescent="0.2">
      <c r="A4397" s="2"/>
    </row>
    <row r="4398" spans="1:1" x14ac:dyDescent="0.2">
      <c r="A4398" s="2"/>
    </row>
    <row r="4399" spans="1:1" x14ac:dyDescent="0.2">
      <c r="A4399" s="2"/>
    </row>
    <row r="4400" spans="1:1" x14ac:dyDescent="0.2">
      <c r="A4400" s="2"/>
    </row>
    <row r="4401" spans="1:1" x14ac:dyDescent="0.2">
      <c r="A4401" s="2"/>
    </row>
    <row r="4402" spans="1:1" x14ac:dyDescent="0.2">
      <c r="A4402" s="2"/>
    </row>
    <row r="4403" spans="1:1" x14ac:dyDescent="0.2">
      <c r="A4403" s="2"/>
    </row>
    <row r="4404" spans="1:1" x14ac:dyDescent="0.2">
      <c r="A4404" s="2"/>
    </row>
    <row r="4405" spans="1:1" x14ac:dyDescent="0.2">
      <c r="A4405" s="2"/>
    </row>
    <row r="4406" spans="1:1" x14ac:dyDescent="0.2">
      <c r="A4406" s="2"/>
    </row>
    <row r="4407" spans="1:1" x14ac:dyDescent="0.2">
      <c r="A4407" s="2"/>
    </row>
    <row r="4408" spans="1:1" x14ac:dyDescent="0.2">
      <c r="A4408" s="2"/>
    </row>
    <row r="4409" spans="1:1" x14ac:dyDescent="0.2">
      <c r="A4409" s="2"/>
    </row>
    <row r="4410" spans="1:1" x14ac:dyDescent="0.2">
      <c r="A4410" s="2"/>
    </row>
    <row r="4411" spans="1:1" x14ac:dyDescent="0.2">
      <c r="A4411" s="2"/>
    </row>
    <row r="4412" spans="1:1" x14ac:dyDescent="0.2">
      <c r="A4412" s="2"/>
    </row>
    <row r="4413" spans="1:1" x14ac:dyDescent="0.2">
      <c r="A4413" s="2"/>
    </row>
    <row r="4414" spans="1:1" x14ac:dyDescent="0.2">
      <c r="A4414" s="2"/>
    </row>
    <row r="4415" spans="1:1" x14ac:dyDescent="0.2">
      <c r="A4415" s="2"/>
    </row>
    <row r="4416" spans="1:1" x14ac:dyDescent="0.2">
      <c r="A4416" s="2"/>
    </row>
    <row r="4417" spans="1:1" x14ac:dyDescent="0.2">
      <c r="A4417" s="2"/>
    </row>
    <row r="4418" spans="1:1" x14ac:dyDescent="0.2">
      <c r="A4418" s="2"/>
    </row>
    <row r="4419" spans="1:1" x14ac:dyDescent="0.2">
      <c r="A4419" s="2"/>
    </row>
    <row r="4420" spans="1:1" x14ac:dyDescent="0.2">
      <c r="A4420" s="2"/>
    </row>
    <row r="4421" spans="1:1" x14ac:dyDescent="0.2">
      <c r="A4421" s="2"/>
    </row>
    <row r="4422" spans="1:1" x14ac:dyDescent="0.2">
      <c r="A4422" s="2"/>
    </row>
    <row r="4423" spans="1:1" x14ac:dyDescent="0.2">
      <c r="A4423" s="2"/>
    </row>
    <row r="4424" spans="1:1" x14ac:dyDescent="0.2">
      <c r="A4424" s="2"/>
    </row>
    <row r="4425" spans="1:1" x14ac:dyDescent="0.2">
      <c r="A4425" s="2"/>
    </row>
    <row r="4426" spans="1:1" x14ac:dyDescent="0.2">
      <c r="A4426" s="2"/>
    </row>
    <row r="4427" spans="1:1" x14ac:dyDescent="0.2">
      <c r="A4427" s="2"/>
    </row>
    <row r="4428" spans="1:1" x14ac:dyDescent="0.2">
      <c r="A4428" s="2"/>
    </row>
    <row r="4429" spans="1:1" x14ac:dyDescent="0.2">
      <c r="A4429" s="2"/>
    </row>
    <row r="4430" spans="1:1" x14ac:dyDescent="0.2">
      <c r="A4430" s="2"/>
    </row>
    <row r="4431" spans="1:1" x14ac:dyDescent="0.2">
      <c r="A4431" s="2"/>
    </row>
    <row r="4432" spans="1:1" x14ac:dyDescent="0.2">
      <c r="A4432" s="2"/>
    </row>
    <row r="4433" spans="1:1" x14ac:dyDescent="0.2">
      <c r="A4433" s="2"/>
    </row>
    <row r="4434" spans="1:1" x14ac:dyDescent="0.2">
      <c r="A4434" s="2"/>
    </row>
    <row r="4435" spans="1:1" x14ac:dyDescent="0.2">
      <c r="A4435" s="2"/>
    </row>
    <row r="4436" spans="1:1" x14ac:dyDescent="0.2">
      <c r="A4436" s="2"/>
    </row>
    <row r="4437" spans="1:1" x14ac:dyDescent="0.2">
      <c r="A4437" s="2"/>
    </row>
    <row r="4438" spans="1:1" x14ac:dyDescent="0.2">
      <c r="A4438" s="2"/>
    </row>
    <row r="65536" spans="1:3" x14ac:dyDescent="0.2">
      <c r="A65536" s="2"/>
      <c r="B65536" s="2"/>
      <c r="C65536" s="2"/>
    </row>
  </sheetData>
  <phoneticPr fontId="1" type="noConversion"/>
  <pageMargins left="0.75" right="0.75" top="1" bottom="1" header="0.5" footer="0.5"/>
  <pageSetup paperSize="9" orientation="portrait"/>
  <headerFooter alignWithMargins="0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01BF7-A6A1-48F0-A62C-4918AEE3FBAA}">
  <sheetPr codeName="Sheet7"/>
  <dimension ref="A1:J17"/>
  <sheetViews>
    <sheetView zoomScale="44" workbookViewId="0">
      <selection activeCell="A43" sqref="A43"/>
    </sheetView>
  </sheetViews>
  <sheetFormatPr defaultColWidth="8.85546875" defaultRowHeight="12.75" x14ac:dyDescent="0.2"/>
  <cols>
    <col min="1" max="1" width="10.140625" bestFit="1" customWidth="1"/>
  </cols>
  <sheetData>
    <row r="1" spans="1:10" x14ac:dyDescent="0.2">
      <c r="A1" t="s">
        <v>13</v>
      </c>
      <c r="B1" t="s">
        <v>128</v>
      </c>
      <c r="C1" t="s">
        <v>150</v>
      </c>
      <c r="D1" t="s">
        <v>147</v>
      </c>
      <c r="E1" t="s">
        <v>146</v>
      </c>
      <c r="F1" t="s">
        <v>129</v>
      </c>
      <c r="G1" t="s">
        <v>33</v>
      </c>
      <c r="H1" t="s">
        <v>159</v>
      </c>
      <c r="I1" t="s">
        <v>134</v>
      </c>
      <c r="J1" t="s">
        <v>37</v>
      </c>
    </row>
    <row r="2" spans="1:10" x14ac:dyDescent="0.2">
      <c r="A2" s="3">
        <v>45751</v>
      </c>
      <c r="B2">
        <v>0</v>
      </c>
      <c r="C2">
        <v>0</v>
      </c>
      <c r="D2">
        <v>12306</v>
      </c>
      <c r="E2">
        <v>26043.109999999986</v>
      </c>
      <c r="F2">
        <v>0</v>
      </c>
      <c r="G2">
        <v>0</v>
      </c>
      <c r="H2">
        <v>500000</v>
      </c>
      <c r="I2">
        <v>0</v>
      </c>
      <c r="J2">
        <v>0</v>
      </c>
    </row>
    <row r="3" spans="1:10" x14ac:dyDescent="0.2">
      <c r="A3" s="3">
        <v>45754</v>
      </c>
      <c r="B3">
        <v>0</v>
      </c>
      <c r="C3">
        <v>11</v>
      </c>
      <c r="D3">
        <v>12306</v>
      </c>
      <c r="E3">
        <v>26015.184193862449</v>
      </c>
      <c r="F3">
        <v>0</v>
      </c>
      <c r="G3">
        <v>0</v>
      </c>
      <c r="H3">
        <v>-27.925806137539325</v>
      </c>
      <c r="I3">
        <v>0</v>
      </c>
      <c r="J3">
        <v>0</v>
      </c>
    </row>
    <row r="4" spans="1:10" x14ac:dyDescent="0.2">
      <c r="A4" s="3">
        <v>45755</v>
      </c>
      <c r="B4">
        <v>0</v>
      </c>
      <c r="C4">
        <v>-8</v>
      </c>
      <c r="D4">
        <v>12306</v>
      </c>
      <c r="E4">
        <v>26317.421916608604</v>
      </c>
      <c r="F4">
        <v>0</v>
      </c>
      <c r="G4">
        <v>0</v>
      </c>
      <c r="H4">
        <v>-27.762277253842946</v>
      </c>
      <c r="I4">
        <v>0</v>
      </c>
      <c r="J4">
        <v>0</v>
      </c>
    </row>
    <row r="5" spans="1:10" x14ac:dyDescent="0.2">
      <c r="A5" s="3">
        <v>45756</v>
      </c>
      <c r="B5">
        <v>0</v>
      </c>
      <c r="C5">
        <v>14</v>
      </c>
      <c r="D5">
        <v>12306</v>
      </c>
      <c r="E5">
        <v>27524.196820315337</v>
      </c>
      <c r="F5">
        <v>0</v>
      </c>
      <c r="G5">
        <v>0</v>
      </c>
      <c r="H5">
        <v>30.774903706733834</v>
      </c>
      <c r="I5">
        <v>0</v>
      </c>
      <c r="J5">
        <v>0</v>
      </c>
    </row>
    <row r="6" spans="1:10" x14ac:dyDescent="0.2">
      <c r="A6" s="3">
        <v>45757</v>
      </c>
      <c r="B6">
        <v>0</v>
      </c>
      <c r="C6">
        <v>-2</v>
      </c>
      <c r="D6">
        <v>12306</v>
      </c>
      <c r="E6">
        <v>27685.671629150267</v>
      </c>
      <c r="F6">
        <v>0</v>
      </c>
      <c r="G6">
        <v>0</v>
      </c>
      <c r="H6">
        <v>30.474808834929501</v>
      </c>
      <c r="I6">
        <v>0</v>
      </c>
      <c r="J6">
        <v>0</v>
      </c>
    </row>
    <row r="7" spans="1:10" x14ac:dyDescent="0.2">
      <c r="A7" s="3">
        <v>45758</v>
      </c>
      <c r="B7">
        <v>0</v>
      </c>
      <c r="C7">
        <v>-6</v>
      </c>
      <c r="D7">
        <v>12306</v>
      </c>
      <c r="E7">
        <v>27778.979285711284</v>
      </c>
      <c r="F7">
        <v>0</v>
      </c>
      <c r="G7">
        <v>0</v>
      </c>
      <c r="H7">
        <v>30.307656561017485</v>
      </c>
      <c r="I7">
        <v>0</v>
      </c>
      <c r="J7">
        <v>0</v>
      </c>
    </row>
    <row r="8" spans="1:10" x14ac:dyDescent="0.2">
      <c r="A8" s="3">
        <v>45761</v>
      </c>
      <c r="B8">
        <v>0</v>
      </c>
      <c r="C8">
        <v>-6</v>
      </c>
      <c r="D8">
        <v>12306</v>
      </c>
      <c r="E8">
        <v>27778.979285711284</v>
      </c>
      <c r="F8">
        <v>0</v>
      </c>
      <c r="G8">
        <v>0</v>
      </c>
      <c r="H8">
        <v>0</v>
      </c>
      <c r="I8">
        <v>0</v>
      </c>
      <c r="J8">
        <v>0</v>
      </c>
    </row>
    <row r="9" spans="1:10" x14ac:dyDescent="0.2">
      <c r="A9" s="3">
        <v>45762</v>
      </c>
      <c r="B9">
        <v>0</v>
      </c>
      <c r="C9">
        <v>-6</v>
      </c>
      <c r="D9">
        <v>12306</v>
      </c>
      <c r="E9">
        <v>27778.979285711284</v>
      </c>
      <c r="F9">
        <v>0</v>
      </c>
      <c r="G9">
        <v>0</v>
      </c>
      <c r="H9">
        <v>0</v>
      </c>
      <c r="I9">
        <v>0</v>
      </c>
      <c r="J9">
        <v>0</v>
      </c>
    </row>
    <row r="10" spans="1:10" x14ac:dyDescent="0.2">
      <c r="A10" s="3">
        <v>45763</v>
      </c>
      <c r="B10">
        <v>0</v>
      </c>
      <c r="C10">
        <v>-6</v>
      </c>
      <c r="D10">
        <v>12306</v>
      </c>
      <c r="E10">
        <v>27778.979285711284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 x14ac:dyDescent="0.2">
      <c r="A11" s="3">
        <v>45764</v>
      </c>
      <c r="B11">
        <v>0</v>
      </c>
      <c r="C11">
        <v>-6</v>
      </c>
      <c r="D11">
        <v>12306</v>
      </c>
      <c r="E11">
        <v>27778.979285711284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2">
      <c r="A12" s="3">
        <v>45765</v>
      </c>
      <c r="B12">
        <v>0</v>
      </c>
      <c r="C12">
        <v>-6</v>
      </c>
      <c r="D12">
        <v>12306</v>
      </c>
      <c r="E12">
        <v>27778.979285711284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2">
      <c r="A13" s="3">
        <v>45768</v>
      </c>
      <c r="B13">
        <v>0</v>
      </c>
      <c r="C13">
        <v>-6</v>
      </c>
      <c r="D13">
        <v>12306</v>
      </c>
      <c r="E13">
        <v>27778.979285711284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2">
      <c r="A14" s="3">
        <v>45769</v>
      </c>
      <c r="B14">
        <v>0</v>
      </c>
      <c r="C14">
        <v>-6</v>
      </c>
      <c r="D14">
        <v>12306</v>
      </c>
      <c r="E14">
        <v>27778.979285711284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2">
      <c r="A15" s="3">
        <v>45770</v>
      </c>
      <c r="B15">
        <v>0</v>
      </c>
      <c r="C15">
        <v>-6</v>
      </c>
      <c r="D15">
        <v>12306</v>
      </c>
      <c r="E15">
        <v>27778.979285711284</v>
      </c>
      <c r="F15">
        <v>0</v>
      </c>
      <c r="G15">
        <v>0</v>
      </c>
      <c r="H15">
        <v>0</v>
      </c>
      <c r="I15">
        <v>0</v>
      </c>
      <c r="J15">
        <v>0</v>
      </c>
    </row>
    <row r="16" spans="1:10" x14ac:dyDescent="0.2">
      <c r="A16" s="3">
        <v>45771</v>
      </c>
      <c r="B16">
        <v>0</v>
      </c>
      <c r="C16">
        <v>-6</v>
      </c>
      <c r="D16">
        <v>12306</v>
      </c>
      <c r="E16">
        <v>27778.979285711284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1:10" x14ac:dyDescent="0.2">
      <c r="A17" s="3">
        <v>45772</v>
      </c>
      <c r="B17">
        <v>0</v>
      </c>
      <c r="C17">
        <v>-6</v>
      </c>
      <c r="D17">
        <v>12306</v>
      </c>
      <c r="E17">
        <v>27778.979285711284</v>
      </c>
      <c r="F17">
        <v>0</v>
      </c>
      <c r="G17">
        <v>0</v>
      </c>
      <c r="H17">
        <v>0</v>
      </c>
      <c r="I17">
        <v>0</v>
      </c>
      <c r="J17">
        <v>0</v>
      </c>
    </row>
  </sheetData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F4487-C644-44BE-8F11-43BA586013D0}">
  <dimension ref="A2:R13"/>
  <sheetViews>
    <sheetView zoomScale="81" workbookViewId="0">
      <selection activeCell="P28" sqref="P28"/>
    </sheetView>
  </sheetViews>
  <sheetFormatPr defaultColWidth="8.85546875" defaultRowHeight="12.75" x14ac:dyDescent="0.2"/>
  <cols>
    <col min="1" max="1" width="11.42578125" style="12" bestFit="1" customWidth="1"/>
    <col min="2" max="2" width="11.140625" style="12" bestFit="1" customWidth="1"/>
    <col min="3" max="3" width="13.140625" style="12" bestFit="1" customWidth="1"/>
    <col min="4" max="4" width="13.5703125" style="12" bestFit="1" customWidth="1"/>
    <col min="5" max="5" width="11.85546875" style="12" bestFit="1" customWidth="1"/>
    <col min="6" max="7" width="5.28515625" style="12" bestFit="1" customWidth="1"/>
    <col min="8" max="8" width="13" style="12" bestFit="1" customWidth="1"/>
    <col min="9" max="9" width="11.7109375" style="12" bestFit="1" customWidth="1"/>
    <col min="10" max="10" width="8.42578125" style="12" bestFit="1" customWidth="1"/>
    <col min="11" max="11" width="8.28515625" style="12" bestFit="1" customWidth="1"/>
    <col min="12" max="13" width="12.85546875" style="12" customWidth="1"/>
    <col min="14" max="14" width="13.42578125" style="12" bestFit="1" customWidth="1"/>
    <col min="15" max="15" width="14.85546875" style="12" bestFit="1" customWidth="1"/>
    <col min="16" max="16" width="11.85546875" style="12" bestFit="1" customWidth="1"/>
    <col min="17" max="17" width="13.5703125" style="12" bestFit="1" customWidth="1"/>
    <col min="18" max="18" width="11.85546875" style="12" bestFit="1" customWidth="1"/>
    <col min="19" max="16384" width="8.85546875" style="12"/>
  </cols>
  <sheetData>
    <row r="2" spans="1:18" x14ac:dyDescent="0.2">
      <c r="A2" s="45" t="s">
        <v>101</v>
      </c>
      <c r="B2" s="45"/>
      <c r="C2" s="45"/>
      <c r="D2" s="45"/>
      <c r="E2" s="45"/>
      <c r="F2" s="45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</row>
    <row r="3" spans="1:18" x14ac:dyDescent="0.2">
      <c r="A3" s="45" t="s">
        <v>102</v>
      </c>
      <c r="B3" s="45"/>
      <c r="C3" s="45"/>
      <c r="D3" s="45"/>
      <c r="E3" s="45"/>
      <c r="F3" s="45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</row>
    <row r="4" spans="1:18" x14ac:dyDescent="0.2">
      <c r="A4" s="45" t="s">
        <v>103</v>
      </c>
      <c r="B4" s="45"/>
      <c r="C4" s="45"/>
      <c r="D4" s="45"/>
      <c r="E4" s="45"/>
      <c r="F4" s="45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</row>
    <row r="5" spans="1:18" x14ac:dyDescent="0.2">
      <c r="A5" s="45" t="s">
        <v>104</v>
      </c>
      <c r="B5" s="45"/>
      <c r="C5" s="45"/>
      <c r="D5" s="45"/>
      <c r="E5" s="45"/>
      <c r="F5" s="45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</row>
    <row r="6" spans="1:18" x14ac:dyDescent="0.2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</row>
    <row r="7" spans="1:18" ht="76.5" x14ac:dyDescent="0.2">
      <c r="A7" s="13" t="s">
        <v>105</v>
      </c>
      <c r="B7" s="13" t="s">
        <v>106</v>
      </c>
      <c r="C7" s="13" t="s">
        <v>107</v>
      </c>
      <c r="D7" s="13" t="s">
        <v>108</v>
      </c>
      <c r="E7" s="13" t="s">
        <v>109</v>
      </c>
      <c r="F7" s="13" t="s">
        <v>110</v>
      </c>
      <c r="G7" s="13" t="s">
        <v>111</v>
      </c>
      <c r="H7" s="13" t="s">
        <v>112</v>
      </c>
      <c r="I7" s="13" t="s">
        <v>113</v>
      </c>
      <c r="J7" s="13" t="s">
        <v>114</v>
      </c>
      <c r="K7" s="13" t="s">
        <v>115</v>
      </c>
      <c r="L7" s="13" t="s">
        <v>116</v>
      </c>
      <c r="M7" s="13" t="s">
        <v>117</v>
      </c>
      <c r="N7" s="13" t="s">
        <v>118</v>
      </c>
      <c r="O7" s="13" t="s">
        <v>119</v>
      </c>
      <c r="P7" s="13" t="s">
        <v>120</v>
      </c>
      <c r="Q7" s="38" t="s">
        <v>121</v>
      </c>
      <c r="R7" s="13" t="s">
        <v>122</v>
      </c>
    </row>
    <row r="8" spans="1:18" x14ac:dyDescent="0.2">
      <c r="A8" s="14" t="s">
        <v>123</v>
      </c>
      <c r="B8" s="20">
        <v>45751</v>
      </c>
      <c r="C8" s="30">
        <f>Refinitiv!E36</f>
        <v>5.876802168541129E-5</v>
      </c>
      <c r="D8" s="15">
        <f>Refinitiv!C25</f>
        <v>2.2652332527313298E-2</v>
      </c>
      <c r="E8" s="15">
        <v>489425.26394779771</v>
      </c>
      <c r="F8" s="15">
        <v>9115</v>
      </c>
      <c r="G8" s="15">
        <v>3191</v>
      </c>
      <c r="H8" s="15"/>
      <c r="I8" s="33">
        <f>transactions!J2+transactions!J3+transactions!J4-K8</f>
        <v>25788.109999999986</v>
      </c>
      <c r="J8" s="15"/>
      <c r="K8" s="15">
        <f>transactions!H3+transactions!H4</f>
        <v>255</v>
      </c>
      <c r="L8" s="15">
        <v>0.24528560638427732</v>
      </c>
      <c r="M8" s="15">
        <v>0.25872844579926046</v>
      </c>
      <c r="N8" s="15">
        <v>-0.73893713777917502</v>
      </c>
      <c r="O8" s="15">
        <v>2.6995102443121283E-3</v>
      </c>
      <c r="P8" s="36">
        <v>157.73615857176404</v>
      </c>
      <c r="Q8" s="39">
        <f>Refinitiv!V14</f>
        <v>0.36137680691172136</v>
      </c>
      <c r="R8" s="37">
        <v>999939.05173497018</v>
      </c>
    </row>
    <row r="9" spans="1:18" x14ac:dyDescent="0.2">
      <c r="A9" s="14" t="s">
        <v>124</v>
      </c>
      <c r="B9" s="20">
        <v>45754</v>
      </c>
      <c r="C9" s="30">
        <f>Refinitiv!E37</f>
        <v>5.888887800248814E-5</v>
      </c>
      <c r="D9" s="15">
        <f>Refinitiv!C26</f>
        <v>1.6376058283144923E-2</v>
      </c>
      <c r="E9" s="15">
        <v>485514.42636480083</v>
      </c>
      <c r="F9" s="15">
        <v>9115</v>
      </c>
      <c r="G9" s="15">
        <v>3191</v>
      </c>
      <c r="H9" s="32"/>
      <c r="I9" s="42">
        <f>I8+J9+H9-K9+transactions!J7</f>
        <v>25760.184193862449</v>
      </c>
      <c r="J9" s="15">
        <f>I8*(Refinitiv!E37)</f>
        <v>1.5186328637047437</v>
      </c>
      <c r="K9" s="15"/>
      <c r="L9" s="15">
        <v>0.23859081268310545</v>
      </c>
      <c r="M9" s="15">
        <v>0.17344096017870456</v>
      </c>
      <c r="N9" s="15">
        <v>-0.82493574982740225</v>
      </c>
      <c r="O9" s="15">
        <v>2.2890686108102782E-3</v>
      </c>
      <c r="P9" s="36">
        <v>120.1481866228947</v>
      </c>
      <c r="Q9" s="39">
        <f>Refinitiv!V15</f>
        <v>48.544374329651191</v>
      </c>
      <c r="R9" s="37">
        <v>1007670.3324167286</v>
      </c>
    </row>
    <row r="10" spans="1:18" x14ac:dyDescent="0.2">
      <c r="A10" s="14" t="s">
        <v>125</v>
      </c>
      <c r="B10" s="20">
        <f>B9+1</f>
        <v>45755</v>
      </c>
      <c r="C10" s="30">
        <f>Refinitiv!E38</f>
        <v>5.8540587121836614E-5</v>
      </c>
      <c r="D10" s="15">
        <f>Refinitiv!C27</f>
        <v>-2.1607949565931414E-2</v>
      </c>
      <c r="E10" s="15">
        <v>588881.27660051535</v>
      </c>
      <c r="F10" s="15">
        <v>9115</v>
      </c>
      <c r="G10" s="15">
        <v>3191</v>
      </c>
      <c r="H10" s="32">
        <f>(Refinitiv!E57-Refinitiv!E56)*(-1)*Refinitiv!U16</f>
        <v>330</v>
      </c>
      <c r="I10" s="42">
        <f>I9+J10+H10-K10+transactions!J11</f>
        <v>26062.421916608604</v>
      </c>
      <c r="J10" s="15">
        <f>I9*(Refinitiv!E38)</f>
        <v>1.5080163070753632</v>
      </c>
      <c r="K10" s="15"/>
      <c r="L10" s="15">
        <v>0.30286216735839844</v>
      </c>
      <c r="M10" s="15">
        <v>0.3270126574431591</v>
      </c>
      <c r="N10" s="15">
        <v>-0.67504736144488664</v>
      </c>
      <c r="O10" s="15">
        <v>2.5357942648479483E-3</v>
      </c>
      <c r="P10" s="36">
        <v>169.93696120763428</v>
      </c>
      <c r="Q10" s="39">
        <f>Refinitiv!V16</f>
        <v>26.644242223761921</v>
      </c>
      <c r="R10" s="37">
        <v>1212545.4233441148</v>
      </c>
    </row>
    <row r="11" spans="1:18" x14ac:dyDescent="0.2">
      <c r="A11" s="14" t="s">
        <v>126</v>
      </c>
      <c r="B11" s="20">
        <f t="shared" ref="B11:B13" si="0">B10+1</f>
        <v>45756</v>
      </c>
      <c r="C11" s="30">
        <f>Refinitiv!E39</f>
        <v>5.7731017885820327E-5</v>
      </c>
      <c r="D11" s="15">
        <f>Refinitiv!C28</f>
        <v>-3.707868707974369E-2</v>
      </c>
      <c r="E11" s="15">
        <v>620912.25616239081</v>
      </c>
      <c r="F11" s="15">
        <v>9115</v>
      </c>
      <c r="G11" s="15">
        <v>3191</v>
      </c>
      <c r="H11" s="32">
        <f>(Refinitiv!E58-Refinitiv!E57)*(-1)*Refinitiv!U17</f>
        <v>1176</v>
      </c>
      <c r="I11" s="42">
        <f>I10+J11+H11-K11+transactions!J15</f>
        <v>27269.196820315337</v>
      </c>
      <c r="J11" s="15">
        <f>I10*(Refinitiv!E39)</f>
        <v>1.504610145815527</v>
      </c>
      <c r="K11" s="15"/>
      <c r="L11" s="15">
        <v>0.31056404113769542</v>
      </c>
      <c r="M11" s="15">
        <v>0.14669360115419552</v>
      </c>
      <c r="N11" s="15">
        <v>-0.85669629748447274</v>
      </c>
      <c r="O11" s="15">
        <v>1.7041611719641981E-3</v>
      </c>
      <c r="P11" s="36">
        <v>99.921258630326918</v>
      </c>
      <c r="Q11" s="39">
        <f>Refinitiv!V17</f>
        <v>3.3942892475397457</v>
      </c>
      <c r="R11" s="37">
        <v>1279656.1215668805</v>
      </c>
    </row>
    <row r="12" spans="1:18" x14ac:dyDescent="0.2">
      <c r="A12" s="14" t="s">
        <v>127</v>
      </c>
      <c r="B12" s="20">
        <f t="shared" si="0"/>
        <v>45757</v>
      </c>
      <c r="C12" s="30">
        <f>Refinitiv!E40</f>
        <v>5.7797438232134794E-5</v>
      </c>
      <c r="D12" s="15">
        <f>Refinitiv!C29</f>
        <v>-3.6783214044378038E-2</v>
      </c>
      <c r="E12" s="15">
        <v>568227.13909409288</v>
      </c>
      <c r="F12" s="15">
        <v>9115</v>
      </c>
      <c r="G12" s="15">
        <v>3191</v>
      </c>
      <c r="H12" s="32">
        <f>(Refinitiv!E59-Refinitiv!E58)*(-1)*Refinitiv!U18</f>
        <v>131</v>
      </c>
      <c r="I12" s="42">
        <f>I11+J12+H12-K12+transactions!J19</f>
        <v>27430.671629150267</v>
      </c>
      <c r="J12" s="15">
        <f>I11*(Refinitiv!E40)</f>
        <v>1.5760897188621021</v>
      </c>
      <c r="K12" s="15"/>
      <c r="L12" s="15">
        <v>0.3106060028076173</v>
      </c>
      <c r="M12" s="15">
        <v>0.27665699756885281</v>
      </c>
      <c r="N12" s="15">
        <v>-0.72655939693535787</v>
      </c>
      <c r="O12" s="15">
        <v>2.4290119647213866E-3</v>
      </c>
      <c r="P12" s="36">
        <v>148.93063397361561</v>
      </c>
      <c r="Q12" s="39">
        <f>Refinitiv!V18</f>
        <v>3.2774972193665235</v>
      </c>
      <c r="R12" s="37">
        <v>1156615.4187980033</v>
      </c>
    </row>
    <row r="13" spans="1:18" x14ac:dyDescent="0.2">
      <c r="A13" s="14" t="s">
        <v>123</v>
      </c>
      <c r="B13" s="20">
        <f t="shared" si="0"/>
        <v>45758</v>
      </c>
      <c r="C13" s="30">
        <f>Refinitiv!E41</f>
        <v>5.7462825336649284E-5</v>
      </c>
      <c r="D13" s="15">
        <f>Refinitiv!C30</f>
        <v>-3.2344706037062083E-2</v>
      </c>
      <c r="E13" s="15">
        <v>599257.67152853473</v>
      </c>
      <c r="F13" s="15">
        <v>9115</v>
      </c>
      <c r="G13" s="15">
        <v>3191</v>
      </c>
      <c r="H13" s="32">
        <f>(Refinitiv!E60-Refinitiv!E59)*(-1)*Refinitiv!U19</f>
        <v>63</v>
      </c>
      <c r="I13" s="42">
        <f>I12+J13+H13-K13+transactions!J23</f>
        <v>27523.979285711284</v>
      </c>
      <c r="J13" s="15">
        <f>I12*(Refinitiv!E41)</f>
        <v>1.5762438926928426</v>
      </c>
      <c r="K13" s="15"/>
      <c r="L13" s="15">
        <v>0.33229551315307626</v>
      </c>
      <c r="M13" s="15">
        <v>0.31178766648120732</v>
      </c>
      <c r="N13" s="15">
        <v>-0.69091136152395582</v>
      </c>
      <c r="O13" s="15">
        <v>2.4374194080230322E-3</v>
      </c>
      <c r="P13" s="36">
        <v>154.91075185799772</v>
      </c>
      <c r="Q13" s="39">
        <f>Refinitiv!V19</f>
        <v>37.246425353261657</v>
      </c>
      <c r="R13" s="37">
        <v>1231363.5302061962</v>
      </c>
    </row>
  </sheetData>
  <mergeCells count="4">
    <mergeCell ref="A2:F2"/>
    <mergeCell ref="A3:F3"/>
    <mergeCell ref="A4:F4"/>
    <mergeCell ref="A5:F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34F9D-95DE-4EBA-B8B5-68ED3B5ED450}">
  <dimension ref="A1:AF2086"/>
  <sheetViews>
    <sheetView topLeftCell="A9" zoomScale="93" zoomScaleNormal="93" workbookViewId="0">
      <selection activeCell="T15" sqref="T15"/>
    </sheetView>
  </sheetViews>
  <sheetFormatPr defaultRowHeight="12.75" x14ac:dyDescent="0.2"/>
  <cols>
    <col min="1" max="1" width="14.5703125" bestFit="1" customWidth="1"/>
    <col min="2" max="2" width="14.85546875" bestFit="1" customWidth="1"/>
    <col min="3" max="3" width="16.28515625" bestFit="1" customWidth="1"/>
    <col min="4" max="4" width="13.42578125" bestFit="1" customWidth="1"/>
    <col min="5" max="5" width="10.85546875" bestFit="1" customWidth="1"/>
    <col min="19" max="19" width="14" bestFit="1" customWidth="1"/>
    <col min="20" max="20" width="9.42578125" bestFit="1" customWidth="1"/>
    <col min="21" max="21" width="18.28515625" bestFit="1" customWidth="1"/>
    <col min="22" max="22" width="12.85546875" bestFit="1" customWidth="1"/>
    <col min="23" max="23" width="10.85546875" bestFit="1" customWidth="1"/>
    <col min="24" max="24" width="5.28515625" bestFit="1" customWidth="1"/>
    <col min="25" max="25" width="15.28515625" bestFit="1" customWidth="1"/>
    <col min="26" max="27" width="15.140625" bestFit="1" customWidth="1"/>
    <col min="28" max="28" width="19.85546875" bestFit="1" customWidth="1"/>
    <col min="30" max="30" width="8.7109375" bestFit="1" customWidth="1"/>
    <col min="31" max="31" width="10.85546875" bestFit="1" customWidth="1"/>
    <col min="32" max="32" width="11.140625" bestFit="1" customWidth="1"/>
  </cols>
  <sheetData>
    <row r="1" spans="1:32" x14ac:dyDescent="0.2">
      <c r="B1" s="16"/>
      <c r="C1" s="5"/>
      <c r="V1" s="5" t="s">
        <v>132</v>
      </c>
      <c r="W1" s="3">
        <v>45793</v>
      </c>
    </row>
    <row r="2" spans="1:32" x14ac:dyDescent="0.2">
      <c r="C2" s="5"/>
      <c r="D2" s="5"/>
      <c r="E2" s="3"/>
      <c r="S2" s="16" t="s">
        <v>135</v>
      </c>
    </row>
    <row r="3" spans="1:32" x14ac:dyDescent="0.2">
      <c r="T3" s="5" t="s">
        <v>139</v>
      </c>
      <c r="U3" s="5" t="s">
        <v>136</v>
      </c>
      <c r="V3" s="5" t="s">
        <v>133</v>
      </c>
      <c r="W3" s="5" t="s">
        <v>137</v>
      </c>
      <c r="X3" s="5" t="s">
        <v>138</v>
      </c>
      <c r="Y3" s="5" t="s">
        <v>144</v>
      </c>
      <c r="Z3" s="5" t="s">
        <v>145</v>
      </c>
    </row>
    <row r="4" spans="1:32" ht="15" x14ac:dyDescent="0.25">
      <c r="C4" s="9"/>
      <c r="T4" s="3">
        <f>Answer!B8</f>
        <v>45751</v>
      </c>
      <c r="U4" s="23">
        <f>AF11</f>
        <v>1519.5</v>
      </c>
      <c r="V4" s="22">
        <f>C25</f>
        <v>2.2652332527313298E-2</v>
      </c>
      <c r="W4" s="25">
        <f>E36</f>
        <v>5.876802168541129E-5</v>
      </c>
      <c r="X4">
        <v>1600</v>
      </c>
      <c r="Y4" s="28">
        <f>D45</f>
        <v>17.98</v>
      </c>
      <c r="Z4" s="28">
        <f>E45</f>
        <v>97.09</v>
      </c>
      <c r="AA4" s="29"/>
      <c r="AB4" s="29"/>
      <c r="AD4" t="str">
        <f>_xll.RDP.HistoricalPricing(".OMXC25CAP","TRDPRC_1","START:11-Apr-2015 END:11-Apr-2025 INTERVAL:P1D SOURCE:RFV CONVERTCODE:YES",,"CH:Fd RH:Timestamp",AE5)</f>
        <v>Paused at 10:02:36</v>
      </c>
    </row>
    <row r="5" spans="1:32" x14ac:dyDescent="0.2">
      <c r="B5" s="18"/>
      <c r="T5" s="3">
        <f>Answer!B9</f>
        <v>45754</v>
      </c>
      <c r="U5" s="23">
        <f>AF10</f>
        <v>1489.13</v>
      </c>
      <c r="V5" s="22">
        <f t="shared" ref="V5:V9" si="0">C26</f>
        <v>1.6376058283144923E-2</v>
      </c>
      <c r="W5" s="25">
        <f t="shared" ref="W5:W9" si="1">E37</f>
        <v>5.888887800248814E-5</v>
      </c>
      <c r="X5">
        <v>1600</v>
      </c>
      <c r="Y5" s="28">
        <f t="shared" ref="Y5:Y9" si="2">D46</f>
        <v>10.08</v>
      </c>
      <c r="Z5" s="28">
        <f t="shared" ref="Z5:Z9" si="3">E46</f>
        <v>119.91</v>
      </c>
      <c r="AA5" s="3"/>
      <c r="AB5" s="23"/>
      <c r="AE5" s="9" t="s">
        <v>140</v>
      </c>
      <c r="AF5" s="9" t="s">
        <v>98</v>
      </c>
    </row>
    <row r="6" spans="1:32" x14ac:dyDescent="0.2">
      <c r="B6" s="18"/>
      <c r="T6" s="3">
        <f>Answer!B10</f>
        <v>45755</v>
      </c>
      <c r="U6" s="23">
        <f>AF9</f>
        <v>1524.26</v>
      </c>
      <c r="V6" s="22">
        <f t="shared" si="0"/>
        <v>-2.1607949565931414E-2</v>
      </c>
      <c r="W6" s="25">
        <f t="shared" si="1"/>
        <v>5.8540587121836614E-5</v>
      </c>
      <c r="X6">
        <v>1600</v>
      </c>
      <c r="Y6" s="28">
        <f t="shared" si="2"/>
        <v>29.03</v>
      </c>
      <c r="Z6" s="28">
        <f t="shared" si="3"/>
        <v>105.41</v>
      </c>
      <c r="AA6" s="3"/>
      <c r="AB6" s="23"/>
      <c r="AE6" s="3">
        <v>45758</v>
      </c>
      <c r="AF6">
        <v>1514.97</v>
      </c>
    </row>
    <row r="7" spans="1:32" x14ac:dyDescent="0.2">
      <c r="T7" s="3">
        <f>Answer!B11</f>
        <v>45756</v>
      </c>
      <c r="U7" s="23">
        <f>AF8</f>
        <v>1438.25</v>
      </c>
      <c r="V7" s="22">
        <f t="shared" si="0"/>
        <v>-3.707868707974369E-2</v>
      </c>
      <c r="W7" s="25">
        <f t="shared" si="1"/>
        <v>5.7731017885820327E-5</v>
      </c>
      <c r="X7">
        <v>1600</v>
      </c>
      <c r="Y7" s="28">
        <f t="shared" si="2"/>
        <v>9.7799999999999994</v>
      </c>
      <c r="Z7" s="28">
        <f t="shared" si="3"/>
        <v>171.29</v>
      </c>
      <c r="AA7" s="3"/>
      <c r="AB7" s="23"/>
      <c r="AE7" s="3">
        <v>45757</v>
      </c>
      <c r="AF7">
        <v>1503.7</v>
      </c>
    </row>
    <row r="8" spans="1:32" x14ac:dyDescent="0.2">
      <c r="T8" s="3">
        <f>Answer!B12</f>
        <v>45757</v>
      </c>
      <c r="U8" s="23">
        <f>AF7</f>
        <v>1503.7</v>
      </c>
      <c r="V8" s="22">
        <f t="shared" si="0"/>
        <v>-3.6783214044378038E-2</v>
      </c>
      <c r="W8" s="25">
        <f t="shared" si="1"/>
        <v>5.7797438232134794E-5</v>
      </c>
      <c r="X8">
        <v>1600</v>
      </c>
      <c r="Y8" s="28">
        <f t="shared" si="2"/>
        <v>22.46</v>
      </c>
      <c r="Z8" s="28">
        <f t="shared" si="3"/>
        <v>119.28</v>
      </c>
      <c r="AA8" s="3"/>
      <c r="AB8" s="23"/>
      <c r="AE8" s="3">
        <v>45756</v>
      </c>
      <c r="AF8">
        <v>1438.25</v>
      </c>
    </row>
    <row r="9" spans="1:32" x14ac:dyDescent="0.2">
      <c r="B9" s="5"/>
      <c r="T9" s="3">
        <f>Answer!B13</f>
        <v>45758</v>
      </c>
      <c r="U9" s="23">
        <f>AF6</f>
        <v>1514.97</v>
      </c>
      <c r="V9" s="22">
        <f t="shared" si="0"/>
        <v>-3.2344706037062083E-2</v>
      </c>
      <c r="W9" s="25">
        <f t="shared" si="1"/>
        <v>5.7462825336649284E-5</v>
      </c>
      <c r="X9">
        <v>1600</v>
      </c>
      <c r="Y9" s="28">
        <f t="shared" si="2"/>
        <v>27.71</v>
      </c>
      <c r="Z9" s="28">
        <f t="shared" si="3"/>
        <v>113.19</v>
      </c>
      <c r="AA9" s="3"/>
      <c r="AB9" s="23"/>
      <c r="AE9" s="3">
        <v>45755</v>
      </c>
      <c r="AF9">
        <v>1524.26</v>
      </c>
    </row>
    <row r="10" spans="1:32" x14ac:dyDescent="0.2">
      <c r="I10" s="18"/>
      <c r="V10" s="22"/>
      <c r="AA10" s="3"/>
      <c r="AB10" s="23"/>
      <c r="AE10" s="3">
        <v>45754</v>
      </c>
      <c r="AF10">
        <v>1489.13</v>
      </c>
    </row>
    <row r="11" spans="1:32" x14ac:dyDescent="0.2">
      <c r="B11" s="17"/>
      <c r="AA11" s="3"/>
      <c r="AB11" s="23"/>
      <c r="AE11" s="3">
        <v>45751</v>
      </c>
      <c r="AF11">
        <v>1519.5</v>
      </c>
    </row>
    <row r="12" spans="1:32" ht="15" x14ac:dyDescent="0.25">
      <c r="A12" s="19"/>
      <c r="B12" s="16"/>
      <c r="D12" s="18"/>
      <c r="S12" s="16"/>
      <c r="U12" s="24"/>
      <c r="AA12" s="3"/>
      <c r="AB12" s="23"/>
      <c r="AE12" s="3">
        <v>45750</v>
      </c>
      <c r="AF12">
        <v>1620</v>
      </c>
    </row>
    <row r="13" spans="1:32" x14ac:dyDescent="0.2">
      <c r="B13" s="18"/>
      <c r="C13" s="5"/>
      <c r="D13" s="5"/>
      <c r="S13" s="3"/>
      <c r="T13" s="16" t="s">
        <v>151</v>
      </c>
      <c r="U13" s="16" t="s">
        <v>153</v>
      </c>
      <c r="V13" s="5" t="s">
        <v>152</v>
      </c>
      <c r="W13" s="16" t="s">
        <v>154</v>
      </c>
      <c r="AA13" s="3"/>
      <c r="AB13" s="23"/>
      <c r="AE13" s="3">
        <v>45749</v>
      </c>
      <c r="AF13">
        <v>1660.46</v>
      </c>
    </row>
    <row r="14" spans="1:32" x14ac:dyDescent="0.2">
      <c r="B14" s="18"/>
      <c r="C14" s="18"/>
      <c r="S14" s="3">
        <v>45751</v>
      </c>
      <c r="T14" s="34">
        <v>0.36137680691172136</v>
      </c>
      <c r="U14" s="40">
        <f>ROUND(T14,0)*-1</f>
        <v>0</v>
      </c>
      <c r="V14" s="35">
        <f>U14+T14</f>
        <v>0.36137680691172136</v>
      </c>
      <c r="AA14" s="3"/>
      <c r="AB14" s="23"/>
      <c r="AE14" s="3">
        <v>45748</v>
      </c>
      <c r="AF14">
        <v>1675.54</v>
      </c>
    </row>
    <row r="15" spans="1:32" x14ac:dyDescent="0.2">
      <c r="S15" s="3">
        <v>45754</v>
      </c>
      <c r="T15" s="34">
        <v>-1051.4556256703488</v>
      </c>
      <c r="U15" s="40">
        <f>ROUND(T15/$H$53,0)*-1</f>
        <v>11</v>
      </c>
      <c r="V15" s="35">
        <f>U15*$H$53+T15</f>
        <v>48.544374329651191</v>
      </c>
      <c r="W15" s="40">
        <f>U15-U14</f>
        <v>11</v>
      </c>
      <c r="AA15" s="3"/>
      <c r="AB15" s="23"/>
      <c r="AE15" s="3">
        <v>45747</v>
      </c>
      <c r="AF15">
        <v>1667.25</v>
      </c>
    </row>
    <row r="16" spans="1:32" x14ac:dyDescent="0.2">
      <c r="B16" s="18"/>
      <c r="C16" s="18"/>
      <c r="S16" s="3">
        <v>45755</v>
      </c>
      <c r="T16" s="34">
        <v>826.64424222376192</v>
      </c>
      <c r="U16" s="40">
        <f t="shared" ref="U16:U19" si="4">ROUND(T16/$H$53,0)*-1</f>
        <v>-8</v>
      </c>
      <c r="V16" s="35">
        <f t="shared" ref="V16:V19" si="5">U16*$H$53+T16</f>
        <v>26.644242223761921</v>
      </c>
      <c r="W16" s="40">
        <f>U16-U15</f>
        <v>-19</v>
      </c>
      <c r="AA16" s="3"/>
      <c r="AB16" s="23"/>
      <c r="AE16" s="3">
        <v>45744</v>
      </c>
      <c r="AF16">
        <v>1704.81</v>
      </c>
    </row>
    <row r="17" spans="1:32" x14ac:dyDescent="0.2">
      <c r="S17" s="3">
        <v>45756</v>
      </c>
      <c r="T17" s="34">
        <v>-1396.6057107524603</v>
      </c>
      <c r="U17" s="40">
        <f t="shared" si="4"/>
        <v>14</v>
      </c>
      <c r="V17" s="35">
        <f t="shared" si="5"/>
        <v>3.3942892475397457</v>
      </c>
      <c r="W17" s="40">
        <f t="shared" ref="W17:W19" si="6">U17-U16</f>
        <v>22</v>
      </c>
      <c r="AA17" s="3"/>
      <c r="AB17" s="23"/>
      <c r="AE17" s="3">
        <v>45743</v>
      </c>
      <c r="AF17">
        <v>1710.6</v>
      </c>
    </row>
    <row r="18" spans="1:32" x14ac:dyDescent="0.2">
      <c r="S18" s="3">
        <v>45757</v>
      </c>
      <c r="T18" s="34">
        <v>203.27749721936652</v>
      </c>
      <c r="U18" s="40">
        <f t="shared" si="4"/>
        <v>-2</v>
      </c>
      <c r="V18" s="35">
        <f t="shared" si="5"/>
        <v>3.2774972193665235</v>
      </c>
      <c r="W18" s="40">
        <f t="shared" si="6"/>
        <v>-16</v>
      </c>
      <c r="AA18" s="3"/>
      <c r="AB18" s="23"/>
      <c r="AE18" s="3">
        <v>45742</v>
      </c>
      <c r="AF18">
        <v>1726.64</v>
      </c>
    </row>
    <row r="19" spans="1:32" x14ac:dyDescent="0.2">
      <c r="S19" s="3">
        <v>45758</v>
      </c>
      <c r="T19" s="34">
        <v>637.24642535326166</v>
      </c>
      <c r="U19" s="40">
        <f t="shared" si="4"/>
        <v>-6</v>
      </c>
      <c r="V19" s="35">
        <f t="shared" si="5"/>
        <v>37.246425353261657</v>
      </c>
      <c r="W19" s="40">
        <f t="shared" si="6"/>
        <v>-4</v>
      </c>
      <c r="AA19" s="3"/>
      <c r="AB19" s="23"/>
      <c r="AE19" s="3">
        <v>45741</v>
      </c>
      <c r="AF19">
        <v>1736.87</v>
      </c>
    </row>
    <row r="20" spans="1:32" x14ac:dyDescent="0.2">
      <c r="AA20" s="3"/>
      <c r="AB20" s="23"/>
      <c r="AE20" s="3">
        <v>45740</v>
      </c>
      <c r="AF20">
        <v>1733.38</v>
      </c>
    </row>
    <row r="21" spans="1:32" x14ac:dyDescent="0.2">
      <c r="AA21" s="3"/>
      <c r="AB21" s="23"/>
      <c r="AE21" s="3">
        <v>45737</v>
      </c>
      <c r="AF21">
        <v>1752.13</v>
      </c>
    </row>
    <row r="22" spans="1:32" x14ac:dyDescent="0.2">
      <c r="B22" s="5" t="s">
        <v>130</v>
      </c>
      <c r="AA22" s="3"/>
      <c r="AB22" s="23"/>
      <c r="AE22" s="3">
        <v>45736</v>
      </c>
      <c r="AF22">
        <v>1787.15</v>
      </c>
    </row>
    <row r="23" spans="1:32" x14ac:dyDescent="0.2">
      <c r="C23" s="5" t="s">
        <v>131</v>
      </c>
      <c r="AA23" s="3"/>
      <c r="AB23" s="23"/>
      <c r="AE23" s="3">
        <v>45735</v>
      </c>
      <c r="AF23">
        <v>1795.04</v>
      </c>
    </row>
    <row r="24" spans="1:32" x14ac:dyDescent="0.2">
      <c r="B24" s="5" t="s">
        <v>132</v>
      </c>
      <c r="C24" s="5" t="s">
        <v>133</v>
      </c>
      <c r="AA24" s="3"/>
      <c r="AB24" s="23"/>
      <c r="AE24" s="3">
        <v>45734</v>
      </c>
      <c r="AF24">
        <v>1791.73</v>
      </c>
    </row>
    <row r="25" spans="1:32" x14ac:dyDescent="0.2">
      <c r="A25" s="20">
        <v>45751</v>
      </c>
      <c r="B25" s="21">
        <f>_xlfn.DAYS($W$1,A25)/360</f>
        <v>0.11666666666666667</v>
      </c>
      <c r="C25" s="22">
        <f>E36-(1/B25)*LN(E55/U4)</f>
        <v>2.2652332527313298E-2</v>
      </c>
      <c r="AA25" s="3"/>
      <c r="AB25" s="23"/>
      <c r="AE25" s="3">
        <v>45733</v>
      </c>
      <c r="AF25">
        <v>1782.27</v>
      </c>
    </row>
    <row r="26" spans="1:32" x14ac:dyDescent="0.2">
      <c r="A26" s="20">
        <v>45754</v>
      </c>
      <c r="B26" s="21">
        <f t="shared" ref="B26:B30" si="7">_xlfn.DAYS($W$1,A26)/360</f>
        <v>0.10833333333333334</v>
      </c>
      <c r="C26" s="22">
        <f t="shared" ref="C26:C30" si="8">E37-(1/B26)*LN(E56/U5)</f>
        <v>1.6376058283144923E-2</v>
      </c>
      <c r="AA26" s="3"/>
      <c r="AB26" s="23"/>
      <c r="AE26" s="3">
        <v>45730</v>
      </c>
      <c r="AF26">
        <v>1769.52</v>
      </c>
    </row>
    <row r="27" spans="1:32" x14ac:dyDescent="0.2">
      <c r="A27" s="20">
        <f>A26+1</f>
        <v>45755</v>
      </c>
      <c r="B27" s="21">
        <f t="shared" si="7"/>
        <v>0.10555555555555556</v>
      </c>
      <c r="C27" s="22">
        <f t="shared" si="8"/>
        <v>-2.1607949565931414E-2</v>
      </c>
      <c r="AA27" s="3"/>
      <c r="AB27" s="23"/>
      <c r="AE27" s="3">
        <v>45729</v>
      </c>
      <c r="AF27">
        <v>1746.26</v>
      </c>
    </row>
    <row r="28" spans="1:32" x14ac:dyDescent="0.2">
      <c r="A28" s="20">
        <f t="shared" ref="A28:A30" si="9">A27+1</f>
        <v>45756</v>
      </c>
      <c r="B28" s="21">
        <f t="shared" si="7"/>
        <v>0.10277777777777777</v>
      </c>
      <c r="C28" s="22">
        <f t="shared" si="8"/>
        <v>-3.707868707974369E-2</v>
      </c>
      <c r="AA28" s="3"/>
      <c r="AB28" s="23"/>
      <c r="AE28" s="3">
        <v>45728</v>
      </c>
      <c r="AF28">
        <v>1750.76</v>
      </c>
    </row>
    <row r="29" spans="1:32" x14ac:dyDescent="0.2">
      <c r="A29" s="20">
        <f t="shared" si="9"/>
        <v>45757</v>
      </c>
      <c r="B29" s="21">
        <f t="shared" si="7"/>
        <v>0.1</v>
      </c>
      <c r="C29" s="22">
        <f t="shared" si="8"/>
        <v>-3.6783214044378038E-2</v>
      </c>
      <c r="AA29" s="3"/>
      <c r="AB29" s="23"/>
      <c r="AE29" s="3">
        <v>45727</v>
      </c>
      <c r="AF29">
        <v>1743.87</v>
      </c>
    </row>
    <row r="30" spans="1:32" x14ac:dyDescent="0.2">
      <c r="A30" s="20">
        <f t="shared" si="9"/>
        <v>45758</v>
      </c>
      <c r="B30" s="21">
        <f t="shared" si="7"/>
        <v>9.7222222222222224E-2</v>
      </c>
      <c r="C30" s="22">
        <f t="shared" si="8"/>
        <v>-3.2344706037062083E-2</v>
      </c>
      <c r="AA30" s="3"/>
      <c r="AB30" s="23"/>
      <c r="AE30" s="3">
        <v>45726</v>
      </c>
      <c r="AF30">
        <v>1778.38</v>
      </c>
    </row>
    <row r="31" spans="1:32" x14ac:dyDescent="0.2">
      <c r="AA31" s="3"/>
      <c r="AB31" s="23"/>
      <c r="AE31" s="3">
        <v>45723</v>
      </c>
      <c r="AF31">
        <v>1812.3</v>
      </c>
    </row>
    <row r="32" spans="1:32" x14ac:dyDescent="0.2">
      <c r="AA32" s="3"/>
      <c r="AB32" s="23"/>
      <c r="AE32" s="3">
        <v>45722</v>
      </c>
      <c r="AF32">
        <v>1822.62</v>
      </c>
    </row>
    <row r="33" spans="2:32" x14ac:dyDescent="0.2">
      <c r="AA33" s="3"/>
      <c r="AB33" s="23"/>
      <c r="AE33" s="3">
        <v>45721</v>
      </c>
      <c r="AF33">
        <v>1833.68</v>
      </c>
    </row>
    <row r="34" spans="2:32" x14ac:dyDescent="0.2">
      <c r="B34" t="str">
        <f>_xll.RDP.HistoricalPricing("DKKOIS1MZ=R","ZERO_YLD1","START:04-Apr-2025 END:11-Apr-2025 INTERVAL:P1D SOURCE:RFV CONVERTCODE:YES",,"SORT:ASC",C35)</f>
        <v>Paused at 10:02:36</v>
      </c>
      <c r="C34" s="5" t="s">
        <v>156</v>
      </c>
      <c r="AA34" s="3"/>
      <c r="AB34" s="23"/>
      <c r="AE34" s="3">
        <v>45720</v>
      </c>
      <c r="AF34">
        <v>1808.71</v>
      </c>
    </row>
    <row r="35" spans="2:32" x14ac:dyDescent="0.2">
      <c r="B35" s="26">
        <v>45751</v>
      </c>
      <c r="C35" s="43">
        <v>2.1682039999999998</v>
      </c>
      <c r="D35" s="9"/>
      <c r="AA35" s="3"/>
      <c r="AB35" s="23"/>
      <c r="AE35" s="3">
        <v>45719</v>
      </c>
      <c r="AF35">
        <v>1849.27</v>
      </c>
    </row>
    <row r="36" spans="2:32" x14ac:dyDescent="0.2">
      <c r="B36" s="26">
        <v>45754</v>
      </c>
      <c r="C36" s="44">
        <v>2.1727110000000001</v>
      </c>
      <c r="E36" s="25">
        <f>LN(1+C35/100)/365</f>
        <v>5.876802168541129E-5</v>
      </c>
      <c r="AA36" s="3"/>
      <c r="AB36" s="23"/>
      <c r="AE36" s="3">
        <v>45716</v>
      </c>
      <c r="AF36">
        <v>1851.39</v>
      </c>
    </row>
    <row r="37" spans="2:32" x14ac:dyDescent="0.2">
      <c r="B37" s="26">
        <v>45755</v>
      </c>
      <c r="C37" s="44">
        <v>2.1597230000000001</v>
      </c>
      <c r="E37" s="25">
        <f t="shared" ref="E37:E41" si="10">LN(1+C36/100)/365</f>
        <v>5.888887800248814E-5</v>
      </c>
      <c r="AA37" s="3"/>
      <c r="AB37" s="23"/>
      <c r="AE37" s="3">
        <v>45715</v>
      </c>
      <c r="AF37">
        <v>1851.29</v>
      </c>
    </row>
    <row r="38" spans="2:32" x14ac:dyDescent="0.2">
      <c r="B38" s="26">
        <v>45756</v>
      </c>
      <c r="C38" s="44">
        <v>2.12954</v>
      </c>
      <c r="E38" s="25">
        <f t="shared" si="10"/>
        <v>5.8540587121836614E-5</v>
      </c>
      <c r="AA38" s="3"/>
      <c r="AB38" s="23"/>
      <c r="AE38" s="3">
        <v>45714</v>
      </c>
      <c r="AF38">
        <v>1867.63</v>
      </c>
    </row>
    <row r="39" spans="2:32" x14ac:dyDescent="0.2">
      <c r="B39" s="26">
        <v>45757</v>
      </c>
      <c r="C39" s="44">
        <v>2.1320160000000001</v>
      </c>
      <c r="E39" s="25">
        <f t="shared" si="10"/>
        <v>5.7731017885820327E-5</v>
      </c>
      <c r="AA39" s="3"/>
      <c r="AB39" s="23"/>
      <c r="AE39" s="3">
        <v>45713</v>
      </c>
      <c r="AF39">
        <v>1860.02</v>
      </c>
    </row>
    <row r="40" spans="2:32" x14ac:dyDescent="0.2">
      <c r="B40" s="26">
        <v>45758</v>
      </c>
      <c r="C40" s="44">
        <v>2.1195430000000002</v>
      </c>
      <c r="E40" s="25">
        <f t="shared" si="10"/>
        <v>5.7797438232134794E-5</v>
      </c>
      <c r="AA40" s="3"/>
      <c r="AB40" s="23"/>
      <c r="AE40" s="3">
        <v>45712</v>
      </c>
      <c r="AF40">
        <v>1836.4</v>
      </c>
    </row>
    <row r="41" spans="2:32" x14ac:dyDescent="0.2">
      <c r="C41" s="3"/>
      <c r="E41" s="25">
        <f t="shared" si="10"/>
        <v>5.7462825336649284E-5</v>
      </c>
      <c r="AA41" s="3"/>
      <c r="AB41" s="23"/>
      <c r="AE41" s="3">
        <v>45709</v>
      </c>
      <c r="AF41">
        <v>1828.82</v>
      </c>
    </row>
    <row r="42" spans="2:32" x14ac:dyDescent="0.2">
      <c r="AA42" s="3"/>
      <c r="AB42" s="23"/>
      <c r="AE42" s="3">
        <v>45708</v>
      </c>
      <c r="AF42">
        <v>1813.55</v>
      </c>
    </row>
    <row r="43" spans="2:32" x14ac:dyDescent="0.2">
      <c r="AA43" s="3"/>
      <c r="AB43" s="23"/>
      <c r="AE43" s="3">
        <v>45707</v>
      </c>
      <c r="AF43">
        <v>1813.79</v>
      </c>
    </row>
    <row r="44" spans="2:32" x14ac:dyDescent="0.2">
      <c r="D44" s="16" t="s">
        <v>142</v>
      </c>
      <c r="E44" s="16" t="s">
        <v>143</v>
      </c>
      <c r="AA44" s="3"/>
      <c r="AB44" s="23"/>
      <c r="AE44" s="3">
        <v>45706</v>
      </c>
      <c r="AF44">
        <v>1816.87</v>
      </c>
    </row>
    <row r="45" spans="2:32" x14ac:dyDescent="0.2">
      <c r="C45" s="26">
        <v>45751</v>
      </c>
      <c r="D45" s="27">
        <v>17.98</v>
      </c>
      <c r="E45" s="27">
        <v>97.09</v>
      </c>
      <c r="AA45" s="3"/>
      <c r="AB45" s="23"/>
      <c r="AE45" s="3">
        <v>45705</v>
      </c>
      <c r="AF45">
        <v>1792.24</v>
      </c>
    </row>
    <row r="46" spans="2:32" x14ac:dyDescent="0.2">
      <c r="C46" s="26">
        <v>45754</v>
      </c>
      <c r="D46" s="27">
        <v>10.08</v>
      </c>
      <c r="E46" s="27">
        <v>119.91</v>
      </c>
      <c r="AA46" s="3"/>
      <c r="AB46" s="23"/>
      <c r="AE46" s="3">
        <v>45702</v>
      </c>
      <c r="AF46">
        <v>1787.96</v>
      </c>
    </row>
    <row r="47" spans="2:32" x14ac:dyDescent="0.2">
      <c r="C47" s="26">
        <v>45755</v>
      </c>
      <c r="D47" s="27">
        <v>29.03</v>
      </c>
      <c r="E47" s="27">
        <v>105.41</v>
      </c>
      <c r="AA47" s="3"/>
      <c r="AB47" s="23"/>
      <c r="AE47" s="3">
        <v>45701</v>
      </c>
      <c r="AF47">
        <v>1789.22</v>
      </c>
    </row>
    <row r="48" spans="2:32" x14ac:dyDescent="0.2">
      <c r="C48" s="26">
        <v>45756</v>
      </c>
      <c r="D48" s="27">
        <v>9.7799999999999994</v>
      </c>
      <c r="E48" s="27">
        <v>171.29</v>
      </c>
      <c r="AA48" s="3"/>
      <c r="AB48" s="23"/>
      <c r="AE48" s="3">
        <v>45700</v>
      </c>
      <c r="AF48">
        <v>1782.7</v>
      </c>
    </row>
    <row r="49" spans="3:32" x14ac:dyDescent="0.2">
      <c r="C49" s="26">
        <v>45757</v>
      </c>
      <c r="D49" s="27">
        <v>22.46</v>
      </c>
      <c r="E49" s="27">
        <v>119.28</v>
      </c>
      <c r="AA49" s="3"/>
      <c r="AB49" s="23"/>
      <c r="AE49" s="3">
        <v>45699</v>
      </c>
      <c r="AF49">
        <v>1794.67</v>
      </c>
    </row>
    <row r="50" spans="3:32" x14ac:dyDescent="0.2">
      <c r="C50" s="26">
        <v>45758</v>
      </c>
      <c r="D50" s="27">
        <v>27.71</v>
      </c>
      <c r="E50" s="27">
        <v>113.19</v>
      </c>
      <c r="AA50" s="3"/>
      <c r="AB50" s="23"/>
      <c r="AE50" s="3">
        <v>45698</v>
      </c>
      <c r="AF50">
        <v>1785.23</v>
      </c>
    </row>
    <row r="51" spans="3:32" x14ac:dyDescent="0.2">
      <c r="AA51" s="3"/>
      <c r="AB51" s="23"/>
      <c r="AE51" s="3">
        <v>45695</v>
      </c>
      <c r="AF51">
        <v>1790.43</v>
      </c>
    </row>
    <row r="52" spans="3:32" x14ac:dyDescent="0.2">
      <c r="AA52" s="3"/>
      <c r="AB52" s="23"/>
      <c r="AE52" s="3">
        <v>45694</v>
      </c>
      <c r="AF52">
        <v>1789.84</v>
      </c>
    </row>
    <row r="53" spans="3:32" x14ac:dyDescent="0.2">
      <c r="C53" t="str">
        <f>_xll.RDP.HistoricalPricing("C25CAPc1","TRDPRC_1","START:04-Apr-2025 END:11-Apr-2025 INTERVAL:P1D SOURCE:RFV",,"SORT:ASC CH:Fd RH:Timestamp",D54)</f>
        <v>Paused at 10:02:36</v>
      </c>
      <c r="E53" s="16" t="s">
        <v>78</v>
      </c>
      <c r="G53" s="5" t="s">
        <v>155</v>
      </c>
      <c r="H53">
        <v>100</v>
      </c>
      <c r="AA53" s="3"/>
      <c r="AB53" s="23"/>
      <c r="AE53" s="3">
        <v>45693</v>
      </c>
      <c r="AF53">
        <v>1765.5</v>
      </c>
    </row>
    <row r="54" spans="3:32" x14ac:dyDescent="0.2">
      <c r="D54" s="9" t="s">
        <v>140</v>
      </c>
      <c r="E54" s="9" t="s">
        <v>98</v>
      </c>
      <c r="AA54" s="3"/>
      <c r="AB54" s="23"/>
      <c r="AE54" s="3">
        <v>45692</v>
      </c>
      <c r="AF54">
        <v>1746.74</v>
      </c>
    </row>
    <row r="55" spans="3:32" x14ac:dyDescent="0.2">
      <c r="D55" s="31">
        <v>45751</v>
      </c>
      <c r="E55">
        <v>1515.5</v>
      </c>
      <c r="AA55" s="3"/>
      <c r="AB55" s="23"/>
      <c r="AE55" s="3">
        <v>45691</v>
      </c>
      <c r="AF55">
        <v>1743.4</v>
      </c>
    </row>
    <row r="56" spans="3:32" x14ac:dyDescent="0.2">
      <c r="D56" s="3">
        <v>45754</v>
      </c>
      <c r="E56">
        <v>1486.5</v>
      </c>
      <c r="AA56" s="3"/>
      <c r="AB56" s="23"/>
      <c r="AE56" s="3">
        <v>45688</v>
      </c>
      <c r="AF56">
        <v>1773.18</v>
      </c>
    </row>
    <row r="57" spans="3:32" x14ac:dyDescent="0.2">
      <c r="D57" s="3">
        <v>45755</v>
      </c>
      <c r="E57">
        <v>1527.75</v>
      </c>
      <c r="AA57" s="3"/>
      <c r="AB57" s="23"/>
      <c r="AE57" s="3">
        <v>45687</v>
      </c>
      <c r="AF57">
        <v>1781.77</v>
      </c>
    </row>
    <row r="58" spans="3:32" x14ac:dyDescent="0.2">
      <c r="D58" s="3">
        <v>45756</v>
      </c>
      <c r="E58">
        <v>1443.75</v>
      </c>
      <c r="AA58" s="3"/>
      <c r="AB58" s="23"/>
      <c r="AE58" s="3">
        <v>45686</v>
      </c>
      <c r="AF58">
        <v>1770.21</v>
      </c>
    </row>
    <row r="59" spans="3:32" x14ac:dyDescent="0.2">
      <c r="D59" s="3">
        <v>45757</v>
      </c>
      <c r="E59">
        <v>1509.25</v>
      </c>
      <c r="AA59" s="3"/>
      <c r="AB59" s="23"/>
      <c r="AE59" s="3">
        <v>45685</v>
      </c>
      <c r="AF59">
        <v>1763.87</v>
      </c>
    </row>
    <row r="60" spans="3:32" x14ac:dyDescent="0.2">
      <c r="D60" s="3">
        <v>45758</v>
      </c>
      <c r="E60">
        <v>1519.75</v>
      </c>
      <c r="AA60" s="3"/>
      <c r="AB60" s="23"/>
      <c r="AE60" s="3">
        <v>45684</v>
      </c>
      <c r="AF60">
        <v>1775.92</v>
      </c>
    </row>
    <row r="61" spans="3:32" x14ac:dyDescent="0.2">
      <c r="AA61" s="3"/>
      <c r="AB61" s="23"/>
      <c r="AE61" s="3">
        <v>45681</v>
      </c>
      <c r="AF61">
        <v>1767.89</v>
      </c>
    </row>
    <row r="62" spans="3:32" x14ac:dyDescent="0.2">
      <c r="AA62" s="3"/>
      <c r="AB62" s="23"/>
      <c r="AE62" s="3">
        <v>45680</v>
      </c>
      <c r="AF62">
        <v>1759.35</v>
      </c>
    </row>
    <row r="63" spans="3:32" x14ac:dyDescent="0.2">
      <c r="AA63" s="3"/>
      <c r="AB63" s="23"/>
      <c r="AE63" s="3">
        <v>45679</v>
      </c>
      <c r="AF63">
        <v>1755.73</v>
      </c>
    </row>
    <row r="64" spans="3:32" x14ac:dyDescent="0.2">
      <c r="AA64" s="3"/>
      <c r="AB64" s="23"/>
      <c r="AE64" s="3">
        <v>45678</v>
      </c>
      <c r="AF64">
        <v>1758.15</v>
      </c>
    </row>
    <row r="65" spans="27:32" x14ac:dyDescent="0.2">
      <c r="AA65" s="3"/>
      <c r="AB65" s="23"/>
      <c r="AE65" s="3">
        <v>45677</v>
      </c>
      <c r="AF65">
        <v>1740.89</v>
      </c>
    </row>
    <row r="66" spans="27:32" x14ac:dyDescent="0.2">
      <c r="AA66" s="3"/>
      <c r="AB66" s="23"/>
      <c r="AE66" s="3">
        <v>45674</v>
      </c>
      <c r="AF66">
        <v>1741.44</v>
      </c>
    </row>
    <row r="67" spans="27:32" x14ac:dyDescent="0.2">
      <c r="AA67" s="3"/>
      <c r="AB67" s="23"/>
      <c r="AE67" s="3">
        <v>45673</v>
      </c>
      <c r="AF67">
        <v>1748.34</v>
      </c>
    </row>
    <row r="68" spans="27:32" x14ac:dyDescent="0.2">
      <c r="AA68" s="3"/>
      <c r="AB68" s="23"/>
      <c r="AE68" s="3">
        <v>45672</v>
      </c>
      <c r="AF68">
        <v>1757.69</v>
      </c>
    </row>
    <row r="69" spans="27:32" x14ac:dyDescent="0.2">
      <c r="AA69" s="3"/>
      <c r="AB69" s="23"/>
      <c r="AE69" s="3">
        <v>45671</v>
      </c>
      <c r="AF69">
        <v>1742.8</v>
      </c>
    </row>
    <row r="70" spans="27:32" x14ac:dyDescent="0.2">
      <c r="AA70" s="3"/>
      <c r="AB70" s="23"/>
      <c r="AE70" s="3">
        <v>45670</v>
      </c>
      <c r="AF70">
        <v>1759.45</v>
      </c>
    </row>
    <row r="71" spans="27:32" x14ac:dyDescent="0.2">
      <c r="AA71" s="3"/>
      <c r="AB71" s="23"/>
      <c r="AE71" s="3">
        <v>45667</v>
      </c>
      <c r="AF71">
        <v>1778.41</v>
      </c>
    </row>
    <row r="72" spans="27:32" x14ac:dyDescent="0.2">
      <c r="AA72" s="3"/>
      <c r="AB72" s="23"/>
      <c r="AE72" s="3">
        <v>45666</v>
      </c>
      <c r="AF72">
        <v>1781.96</v>
      </c>
    </row>
    <row r="73" spans="27:32" x14ac:dyDescent="0.2">
      <c r="AA73" s="3"/>
      <c r="AB73" s="23"/>
      <c r="AE73" s="3">
        <v>45665</v>
      </c>
      <c r="AF73">
        <v>1780.57</v>
      </c>
    </row>
    <row r="74" spans="27:32" x14ac:dyDescent="0.2">
      <c r="AA74" s="3"/>
      <c r="AB74" s="23"/>
      <c r="AE74" s="3">
        <v>45664</v>
      </c>
      <c r="AF74">
        <v>1791.36</v>
      </c>
    </row>
    <row r="75" spans="27:32" x14ac:dyDescent="0.2">
      <c r="AA75" s="3"/>
      <c r="AB75" s="23"/>
      <c r="AE75" s="3">
        <v>45663</v>
      </c>
      <c r="AF75">
        <v>1795.25</v>
      </c>
    </row>
    <row r="76" spans="27:32" x14ac:dyDescent="0.2">
      <c r="AA76" s="3"/>
      <c r="AB76" s="23"/>
      <c r="AE76" s="3">
        <v>45660</v>
      </c>
      <c r="AF76">
        <v>1806.12</v>
      </c>
    </row>
    <row r="77" spans="27:32" x14ac:dyDescent="0.2">
      <c r="AA77" s="3"/>
      <c r="AB77" s="23"/>
      <c r="AE77" s="3">
        <v>45659</v>
      </c>
      <c r="AF77">
        <v>1807.25</v>
      </c>
    </row>
    <row r="78" spans="27:32" x14ac:dyDescent="0.2">
      <c r="AA78" s="3"/>
      <c r="AB78" s="23"/>
      <c r="AE78" s="3">
        <v>45656</v>
      </c>
      <c r="AF78">
        <v>1776.95</v>
      </c>
    </row>
    <row r="79" spans="27:32" x14ac:dyDescent="0.2">
      <c r="AA79" s="3"/>
      <c r="AB79" s="23"/>
      <c r="AE79" s="3">
        <v>45653</v>
      </c>
      <c r="AF79">
        <v>1797.17</v>
      </c>
    </row>
    <row r="80" spans="27:32" x14ac:dyDescent="0.2">
      <c r="AA80" s="3"/>
      <c r="AB80" s="23"/>
      <c r="AE80" s="3">
        <v>45649</v>
      </c>
      <c r="AF80">
        <v>1768.79</v>
      </c>
    </row>
    <row r="81" spans="27:32" x14ac:dyDescent="0.2">
      <c r="AA81" s="3"/>
      <c r="AB81" s="23"/>
      <c r="AE81" s="3">
        <v>45646</v>
      </c>
      <c r="AF81">
        <v>1740.32</v>
      </c>
    </row>
    <row r="82" spans="27:32" x14ac:dyDescent="0.2">
      <c r="AA82" s="3"/>
      <c r="AB82" s="23"/>
      <c r="AE82" s="3">
        <v>45645</v>
      </c>
      <c r="AF82">
        <v>1791.55</v>
      </c>
    </row>
    <row r="83" spans="27:32" x14ac:dyDescent="0.2">
      <c r="AA83" s="3"/>
      <c r="AB83" s="23"/>
      <c r="AE83" s="3">
        <v>45644</v>
      </c>
      <c r="AF83">
        <v>1820.59</v>
      </c>
    </row>
    <row r="84" spans="27:32" x14ac:dyDescent="0.2">
      <c r="AA84" s="3"/>
      <c r="AB84" s="23"/>
      <c r="AE84" s="3">
        <v>45643</v>
      </c>
      <c r="AF84">
        <v>1813.44</v>
      </c>
    </row>
    <row r="85" spans="27:32" x14ac:dyDescent="0.2">
      <c r="AA85" s="3"/>
      <c r="AB85" s="23"/>
      <c r="AE85" s="3">
        <v>45642</v>
      </c>
      <c r="AF85">
        <v>1840.15</v>
      </c>
    </row>
    <row r="86" spans="27:32" x14ac:dyDescent="0.2">
      <c r="AA86" s="3"/>
      <c r="AB86" s="23"/>
      <c r="AE86" s="3">
        <v>45639</v>
      </c>
      <c r="AF86">
        <v>1834.58</v>
      </c>
    </row>
    <row r="87" spans="27:32" x14ac:dyDescent="0.2">
      <c r="AA87" s="3"/>
      <c r="AB87" s="23"/>
      <c r="AE87" s="3">
        <v>45638</v>
      </c>
      <c r="AF87">
        <v>1847.89</v>
      </c>
    </row>
    <row r="88" spans="27:32" x14ac:dyDescent="0.2">
      <c r="AA88" s="3"/>
      <c r="AB88" s="23"/>
      <c r="AE88" s="3">
        <v>45637</v>
      </c>
      <c r="AF88">
        <v>1858.19</v>
      </c>
    </row>
    <row r="89" spans="27:32" x14ac:dyDescent="0.2">
      <c r="AA89" s="3"/>
      <c r="AB89" s="23"/>
      <c r="AE89" s="3">
        <v>45636</v>
      </c>
      <c r="AF89">
        <v>1859.74</v>
      </c>
    </row>
    <row r="90" spans="27:32" x14ac:dyDescent="0.2">
      <c r="AA90" s="3"/>
      <c r="AB90" s="23"/>
      <c r="AE90" s="3">
        <v>45635</v>
      </c>
      <c r="AF90">
        <v>1860.52</v>
      </c>
    </row>
    <row r="91" spans="27:32" x14ac:dyDescent="0.2">
      <c r="AA91" s="3"/>
      <c r="AB91" s="23"/>
      <c r="AE91" s="3">
        <v>45632</v>
      </c>
      <c r="AF91">
        <v>1855.91</v>
      </c>
    </row>
    <row r="92" spans="27:32" x14ac:dyDescent="0.2">
      <c r="AA92" s="3"/>
      <c r="AB92" s="23"/>
      <c r="AE92" s="3">
        <v>45631</v>
      </c>
      <c r="AF92">
        <v>1854.9</v>
      </c>
    </row>
    <row r="93" spans="27:32" x14ac:dyDescent="0.2">
      <c r="AA93" s="3"/>
      <c r="AB93" s="23"/>
      <c r="AE93" s="3">
        <v>45630</v>
      </c>
      <c r="AF93">
        <v>1852.77</v>
      </c>
    </row>
    <row r="94" spans="27:32" x14ac:dyDescent="0.2">
      <c r="AA94" s="3"/>
      <c r="AB94" s="23"/>
      <c r="AE94" s="3">
        <v>45629</v>
      </c>
      <c r="AF94">
        <v>1867.12</v>
      </c>
    </row>
    <row r="95" spans="27:32" x14ac:dyDescent="0.2">
      <c r="AA95" s="3"/>
      <c r="AB95" s="23"/>
      <c r="AE95" s="3">
        <v>45628</v>
      </c>
      <c r="AF95">
        <v>1874.03</v>
      </c>
    </row>
    <row r="96" spans="27:32" x14ac:dyDescent="0.2">
      <c r="AA96" s="3"/>
      <c r="AB96" s="23"/>
      <c r="AE96" s="3">
        <v>45625</v>
      </c>
      <c r="AF96">
        <v>1852.1</v>
      </c>
    </row>
    <row r="97" spans="27:32" x14ac:dyDescent="0.2">
      <c r="AA97" s="3"/>
      <c r="AB97" s="23"/>
      <c r="AE97" s="3">
        <v>45624</v>
      </c>
      <c r="AF97">
        <v>1840.45</v>
      </c>
    </row>
    <row r="98" spans="27:32" x14ac:dyDescent="0.2">
      <c r="AA98" s="3"/>
      <c r="AB98" s="23"/>
      <c r="AE98" s="3">
        <v>45623</v>
      </c>
      <c r="AF98">
        <v>1828.21</v>
      </c>
    </row>
    <row r="99" spans="27:32" x14ac:dyDescent="0.2">
      <c r="AA99" s="3"/>
      <c r="AB99" s="23"/>
      <c r="AE99" s="3">
        <v>45622</v>
      </c>
      <c r="AF99">
        <v>1826.03</v>
      </c>
    </row>
    <row r="100" spans="27:32" x14ac:dyDescent="0.2">
      <c r="AA100" s="3"/>
      <c r="AB100" s="23"/>
      <c r="AE100" s="3">
        <v>45621</v>
      </c>
      <c r="AF100">
        <v>1843.65</v>
      </c>
    </row>
    <row r="101" spans="27:32" x14ac:dyDescent="0.2">
      <c r="AA101" s="3"/>
      <c r="AB101" s="23"/>
      <c r="AE101" s="3">
        <v>45618</v>
      </c>
      <c r="AF101">
        <v>1842.96</v>
      </c>
    </row>
    <row r="102" spans="27:32" x14ac:dyDescent="0.2">
      <c r="AA102" s="3"/>
      <c r="AB102" s="23"/>
      <c r="AE102" s="3">
        <v>45617</v>
      </c>
      <c r="AF102">
        <v>1812.51</v>
      </c>
    </row>
    <row r="103" spans="27:32" x14ac:dyDescent="0.2">
      <c r="AA103" s="3"/>
      <c r="AB103" s="23"/>
      <c r="AE103" s="3">
        <v>45616</v>
      </c>
      <c r="AF103">
        <v>1826.95</v>
      </c>
    </row>
    <row r="104" spans="27:32" x14ac:dyDescent="0.2">
      <c r="AA104" s="3"/>
      <c r="AB104" s="23"/>
      <c r="AE104" s="3">
        <v>45615</v>
      </c>
      <c r="AF104">
        <v>1807.57</v>
      </c>
    </row>
    <row r="105" spans="27:32" x14ac:dyDescent="0.2">
      <c r="AA105" s="3"/>
      <c r="AB105" s="23"/>
      <c r="AE105" s="3">
        <v>45614</v>
      </c>
      <c r="AF105">
        <v>1808.26</v>
      </c>
    </row>
    <row r="106" spans="27:32" x14ac:dyDescent="0.2">
      <c r="AA106" s="3"/>
      <c r="AB106" s="23"/>
      <c r="AE106" s="3">
        <v>45611</v>
      </c>
      <c r="AF106">
        <v>1818.23</v>
      </c>
    </row>
    <row r="107" spans="27:32" x14ac:dyDescent="0.2">
      <c r="AA107" s="3"/>
      <c r="AB107" s="23"/>
      <c r="AE107" s="3">
        <v>45610</v>
      </c>
      <c r="AF107">
        <v>1840.02</v>
      </c>
    </row>
    <row r="108" spans="27:32" x14ac:dyDescent="0.2">
      <c r="AA108" s="3"/>
      <c r="AB108" s="23"/>
      <c r="AE108" s="3">
        <v>45609</v>
      </c>
      <c r="AF108">
        <v>1826.09</v>
      </c>
    </row>
    <row r="109" spans="27:32" x14ac:dyDescent="0.2">
      <c r="AA109" s="3"/>
      <c r="AB109" s="23"/>
      <c r="AE109" s="3">
        <v>45608</v>
      </c>
      <c r="AF109">
        <v>1837.7</v>
      </c>
    </row>
    <row r="110" spans="27:32" x14ac:dyDescent="0.2">
      <c r="AA110" s="3"/>
      <c r="AB110" s="23"/>
      <c r="AE110" s="3">
        <v>45607</v>
      </c>
      <c r="AF110">
        <v>1880.87</v>
      </c>
    </row>
    <row r="111" spans="27:32" x14ac:dyDescent="0.2">
      <c r="AA111" s="3"/>
      <c r="AB111" s="23"/>
      <c r="AE111" s="3">
        <v>45604</v>
      </c>
      <c r="AF111">
        <v>1858.21</v>
      </c>
    </row>
    <row r="112" spans="27:32" x14ac:dyDescent="0.2">
      <c r="AA112" s="3"/>
      <c r="AB112" s="23"/>
      <c r="AE112" s="3">
        <v>45603</v>
      </c>
      <c r="AF112">
        <v>1853.49</v>
      </c>
    </row>
    <row r="113" spans="27:32" x14ac:dyDescent="0.2">
      <c r="AA113" s="3"/>
      <c r="AB113" s="23"/>
      <c r="AE113" s="3">
        <v>45602</v>
      </c>
      <c r="AF113">
        <v>1843.29</v>
      </c>
    </row>
    <row r="114" spans="27:32" x14ac:dyDescent="0.2">
      <c r="AA114" s="3"/>
      <c r="AB114" s="23"/>
      <c r="AE114" s="3">
        <v>45601</v>
      </c>
      <c r="AF114">
        <v>1883.47</v>
      </c>
    </row>
    <row r="115" spans="27:32" x14ac:dyDescent="0.2">
      <c r="AA115" s="3"/>
      <c r="AB115" s="23"/>
      <c r="AE115" s="3">
        <v>45600</v>
      </c>
      <c r="AF115">
        <v>1912.51</v>
      </c>
    </row>
    <row r="116" spans="27:32" x14ac:dyDescent="0.2">
      <c r="AA116" s="3"/>
      <c r="AB116" s="23"/>
      <c r="AE116" s="3">
        <v>45597</v>
      </c>
      <c r="AF116">
        <v>1911.12</v>
      </c>
    </row>
    <row r="117" spans="27:32" x14ac:dyDescent="0.2">
      <c r="AA117" s="3"/>
      <c r="AB117" s="23"/>
      <c r="AE117" s="3">
        <v>45596</v>
      </c>
      <c r="AF117">
        <v>1875.7</v>
      </c>
    </row>
    <row r="118" spans="27:32" x14ac:dyDescent="0.2">
      <c r="AA118" s="3"/>
      <c r="AB118" s="23"/>
      <c r="AE118" s="3">
        <v>45595</v>
      </c>
      <c r="AF118">
        <v>1882.9</v>
      </c>
    </row>
    <row r="119" spans="27:32" x14ac:dyDescent="0.2">
      <c r="AA119" s="3"/>
      <c r="AB119" s="23"/>
      <c r="AE119" s="3">
        <v>45594</v>
      </c>
      <c r="AF119">
        <v>1906.55</v>
      </c>
    </row>
    <row r="120" spans="27:32" x14ac:dyDescent="0.2">
      <c r="AA120" s="3"/>
      <c r="AB120" s="23"/>
      <c r="AE120" s="3">
        <v>45593</v>
      </c>
      <c r="AF120">
        <v>1921.39</v>
      </c>
    </row>
    <row r="121" spans="27:32" x14ac:dyDescent="0.2">
      <c r="AA121" s="3"/>
      <c r="AB121" s="23"/>
      <c r="AE121" s="3">
        <v>45590</v>
      </c>
      <c r="AF121">
        <v>1918.77</v>
      </c>
    </row>
    <row r="122" spans="27:32" x14ac:dyDescent="0.2">
      <c r="AA122" s="3"/>
      <c r="AB122" s="23"/>
      <c r="AE122" s="3">
        <v>45589</v>
      </c>
      <c r="AF122">
        <v>1922.53</v>
      </c>
    </row>
    <row r="123" spans="27:32" x14ac:dyDescent="0.2">
      <c r="AA123" s="3"/>
      <c r="AB123" s="23"/>
      <c r="AE123" s="3">
        <v>45588</v>
      </c>
      <c r="AF123">
        <v>1923.45</v>
      </c>
    </row>
    <row r="124" spans="27:32" x14ac:dyDescent="0.2">
      <c r="AA124" s="3"/>
      <c r="AB124" s="23"/>
      <c r="AE124" s="3">
        <v>45587</v>
      </c>
      <c r="AF124">
        <v>1924.34</v>
      </c>
    </row>
    <row r="125" spans="27:32" x14ac:dyDescent="0.2">
      <c r="AA125" s="3"/>
      <c r="AB125" s="23"/>
      <c r="AE125" s="3">
        <v>45586</v>
      </c>
      <c r="AF125">
        <v>1933.07</v>
      </c>
    </row>
    <row r="126" spans="27:32" x14ac:dyDescent="0.2">
      <c r="AA126" s="3"/>
      <c r="AB126" s="23"/>
      <c r="AE126" s="3">
        <v>45583</v>
      </c>
      <c r="AF126">
        <v>1935.83</v>
      </c>
    </row>
    <row r="127" spans="27:32" x14ac:dyDescent="0.2">
      <c r="AA127" s="3"/>
      <c r="AB127" s="23"/>
      <c r="AE127" s="3">
        <v>45582</v>
      </c>
      <c r="AF127">
        <v>1939.75</v>
      </c>
    </row>
    <row r="128" spans="27:32" x14ac:dyDescent="0.2">
      <c r="AA128" s="3"/>
      <c r="AB128" s="23"/>
      <c r="AE128" s="3">
        <v>45581</v>
      </c>
      <c r="AF128">
        <v>1924.24</v>
      </c>
    </row>
    <row r="129" spans="27:32" x14ac:dyDescent="0.2">
      <c r="AA129" s="3"/>
      <c r="AB129" s="23"/>
      <c r="AE129" s="3">
        <v>45580</v>
      </c>
      <c r="AF129">
        <v>1930.4</v>
      </c>
    </row>
    <row r="130" spans="27:32" x14ac:dyDescent="0.2">
      <c r="AA130" s="3"/>
      <c r="AB130" s="23"/>
      <c r="AE130" s="3">
        <v>45579</v>
      </c>
      <c r="AF130">
        <v>1944.29</v>
      </c>
    </row>
    <row r="131" spans="27:32" x14ac:dyDescent="0.2">
      <c r="AA131" s="3"/>
      <c r="AB131" s="23"/>
      <c r="AE131" s="3">
        <v>45576</v>
      </c>
      <c r="AF131">
        <v>1942.79</v>
      </c>
    </row>
    <row r="132" spans="27:32" x14ac:dyDescent="0.2">
      <c r="AA132" s="3"/>
      <c r="AB132" s="23"/>
      <c r="AE132" s="3">
        <v>45575</v>
      </c>
      <c r="AF132">
        <v>1934.97</v>
      </c>
    </row>
    <row r="133" spans="27:32" x14ac:dyDescent="0.2">
      <c r="AA133" s="3"/>
      <c r="AB133" s="23"/>
      <c r="AE133" s="3">
        <v>45574</v>
      </c>
      <c r="AF133">
        <v>1947.53</v>
      </c>
    </row>
    <row r="134" spans="27:32" x14ac:dyDescent="0.2">
      <c r="AA134" s="3"/>
      <c r="AB134" s="23"/>
      <c r="AE134" s="3">
        <v>45573</v>
      </c>
      <c r="AF134">
        <v>1942.01</v>
      </c>
    </row>
    <row r="135" spans="27:32" x14ac:dyDescent="0.2">
      <c r="AA135" s="3"/>
      <c r="AB135" s="23"/>
      <c r="AE135" s="3">
        <v>45572</v>
      </c>
      <c r="AF135">
        <v>1937.75</v>
      </c>
    </row>
    <row r="136" spans="27:32" x14ac:dyDescent="0.2">
      <c r="AA136" s="3"/>
      <c r="AB136" s="23"/>
      <c r="AE136" s="3">
        <v>45569</v>
      </c>
      <c r="AF136">
        <v>1916.18</v>
      </c>
    </row>
    <row r="137" spans="27:32" x14ac:dyDescent="0.2">
      <c r="AA137" s="3"/>
      <c r="AB137" s="23"/>
      <c r="AE137" s="3">
        <v>45568</v>
      </c>
      <c r="AF137">
        <v>1911.14</v>
      </c>
    </row>
    <row r="138" spans="27:32" x14ac:dyDescent="0.2">
      <c r="AA138" s="3"/>
      <c r="AB138" s="23"/>
      <c r="AE138" s="3">
        <v>45567</v>
      </c>
      <c r="AF138">
        <v>1925.37</v>
      </c>
    </row>
    <row r="139" spans="27:32" x14ac:dyDescent="0.2">
      <c r="AA139" s="3"/>
      <c r="AB139" s="23"/>
      <c r="AE139" s="3">
        <v>45566</v>
      </c>
      <c r="AF139">
        <v>1924.97</v>
      </c>
    </row>
    <row r="140" spans="27:32" x14ac:dyDescent="0.2">
      <c r="AA140" s="3"/>
      <c r="AB140" s="23"/>
      <c r="AE140" s="3">
        <v>45565</v>
      </c>
      <c r="AF140">
        <v>1949.87</v>
      </c>
    </row>
    <row r="141" spans="27:32" x14ac:dyDescent="0.2">
      <c r="AA141" s="3"/>
      <c r="AB141" s="23"/>
      <c r="AE141" s="3">
        <v>45562</v>
      </c>
      <c r="AF141">
        <v>1960.42</v>
      </c>
    </row>
    <row r="142" spans="27:32" x14ac:dyDescent="0.2">
      <c r="AA142" s="3"/>
      <c r="AB142" s="23"/>
      <c r="AE142" s="3">
        <v>45561</v>
      </c>
      <c r="AF142">
        <v>1965.78</v>
      </c>
    </row>
    <row r="143" spans="27:32" x14ac:dyDescent="0.2">
      <c r="AA143" s="3"/>
      <c r="AB143" s="23"/>
      <c r="AE143" s="3">
        <v>45560</v>
      </c>
      <c r="AF143">
        <v>1970.56</v>
      </c>
    </row>
    <row r="144" spans="27:32" x14ac:dyDescent="0.2">
      <c r="AA144" s="3"/>
      <c r="AB144" s="23"/>
      <c r="AE144" s="3">
        <v>45559</v>
      </c>
      <c r="AF144">
        <v>1965.87</v>
      </c>
    </row>
    <row r="145" spans="27:32" x14ac:dyDescent="0.2">
      <c r="AA145" s="3"/>
      <c r="AB145" s="23"/>
      <c r="AE145" s="3">
        <v>45558</v>
      </c>
      <c r="AF145">
        <v>1976.84</v>
      </c>
    </row>
    <row r="146" spans="27:32" x14ac:dyDescent="0.2">
      <c r="AA146" s="3"/>
      <c r="AB146" s="23"/>
      <c r="AE146" s="3">
        <v>45555</v>
      </c>
      <c r="AF146">
        <v>1986.54</v>
      </c>
    </row>
    <row r="147" spans="27:32" x14ac:dyDescent="0.2">
      <c r="AA147" s="3"/>
      <c r="AB147" s="23"/>
      <c r="AE147" s="3">
        <v>45554</v>
      </c>
      <c r="AF147">
        <v>2019.18</v>
      </c>
    </row>
    <row r="148" spans="27:32" x14ac:dyDescent="0.2">
      <c r="AA148" s="3"/>
      <c r="AB148" s="23"/>
      <c r="AE148" s="3">
        <v>45553</v>
      </c>
      <c r="AF148">
        <v>2011.93</v>
      </c>
    </row>
    <row r="149" spans="27:32" x14ac:dyDescent="0.2">
      <c r="AA149" s="3"/>
      <c r="AB149" s="23"/>
      <c r="AE149" s="3">
        <v>45552</v>
      </c>
      <c r="AF149">
        <v>2030.35</v>
      </c>
    </row>
    <row r="150" spans="27:32" x14ac:dyDescent="0.2">
      <c r="AA150" s="3"/>
      <c r="AB150" s="23"/>
      <c r="AE150" s="3">
        <v>45551</v>
      </c>
      <c r="AF150">
        <v>2028.56</v>
      </c>
    </row>
    <row r="151" spans="27:32" x14ac:dyDescent="0.2">
      <c r="AA151" s="3"/>
      <c r="AB151" s="23"/>
      <c r="AE151" s="3">
        <v>45548</v>
      </c>
      <c r="AF151">
        <v>2039.66</v>
      </c>
    </row>
    <row r="152" spans="27:32" x14ac:dyDescent="0.2">
      <c r="AA152" s="3"/>
      <c r="AB152" s="23"/>
      <c r="AE152" s="3">
        <v>45547</v>
      </c>
      <c r="AF152">
        <v>2009.95</v>
      </c>
    </row>
    <row r="153" spans="27:32" x14ac:dyDescent="0.2">
      <c r="AA153" s="3"/>
      <c r="AB153" s="23"/>
      <c r="AE153" s="3">
        <v>45546</v>
      </c>
      <c r="AF153">
        <v>1973.23</v>
      </c>
    </row>
    <row r="154" spans="27:32" x14ac:dyDescent="0.2">
      <c r="AA154" s="3"/>
      <c r="AB154" s="23"/>
      <c r="AE154" s="3">
        <v>45545</v>
      </c>
      <c r="AF154">
        <v>1951.4</v>
      </c>
    </row>
    <row r="155" spans="27:32" x14ac:dyDescent="0.2">
      <c r="AA155" s="3"/>
      <c r="AB155" s="23"/>
      <c r="AE155" s="3">
        <v>45544</v>
      </c>
      <c r="AF155">
        <v>1959.98</v>
      </c>
    </row>
    <row r="156" spans="27:32" x14ac:dyDescent="0.2">
      <c r="AA156" s="3"/>
      <c r="AB156" s="23"/>
      <c r="AE156" s="3">
        <v>45541</v>
      </c>
      <c r="AF156">
        <v>1955.48</v>
      </c>
    </row>
    <row r="157" spans="27:32" x14ac:dyDescent="0.2">
      <c r="AA157" s="3"/>
      <c r="AB157" s="23"/>
      <c r="AE157" s="3">
        <v>45540</v>
      </c>
      <c r="AF157">
        <v>1962.72</v>
      </c>
    </row>
    <row r="158" spans="27:32" x14ac:dyDescent="0.2">
      <c r="AA158" s="3"/>
      <c r="AB158" s="23"/>
      <c r="AE158" s="3">
        <v>45539</v>
      </c>
      <c r="AF158">
        <v>1979.06</v>
      </c>
    </row>
    <row r="159" spans="27:32" x14ac:dyDescent="0.2">
      <c r="AA159" s="3"/>
      <c r="AB159" s="23"/>
      <c r="AE159" s="3">
        <v>45538</v>
      </c>
      <c r="AF159">
        <v>1987.29</v>
      </c>
    </row>
    <row r="160" spans="27:32" x14ac:dyDescent="0.2">
      <c r="AA160" s="3"/>
      <c r="AB160" s="23"/>
      <c r="AE160" s="3">
        <v>45537</v>
      </c>
      <c r="AF160">
        <v>1993.13</v>
      </c>
    </row>
    <row r="161" spans="27:32" x14ac:dyDescent="0.2">
      <c r="AA161" s="3"/>
      <c r="AB161" s="23"/>
      <c r="AE161" s="3">
        <v>45534</v>
      </c>
      <c r="AF161">
        <v>1989.3</v>
      </c>
    </row>
    <row r="162" spans="27:32" x14ac:dyDescent="0.2">
      <c r="AA162" s="3"/>
      <c r="AB162" s="23"/>
      <c r="AE162" s="3">
        <v>45533</v>
      </c>
      <c r="AF162">
        <v>1991.13</v>
      </c>
    </row>
    <row r="163" spans="27:32" x14ac:dyDescent="0.2">
      <c r="AA163" s="3"/>
      <c r="AB163" s="23"/>
      <c r="AE163" s="3">
        <v>45532</v>
      </c>
      <c r="AF163">
        <v>1969.83</v>
      </c>
    </row>
    <row r="164" spans="27:32" x14ac:dyDescent="0.2">
      <c r="AA164" s="3"/>
      <c r="AB164" s="23"/>
      <c r="AE164" s="3">
        <v>45531</v>
      </c>
      <c r="AF164">
        <v>1972.71</v>
      </c>
    </row>
    <row r="165" spans="27:32" x14ac:dyDescent="0.2">
      <c r="AA165" s="3"/>
      <c r="AB165" s="23"/>
      <c r="AE165" s="3">
        <v>45530</v>
      </c>
      <c r="AF165">
        <v>1963.98</v>
      </c>
    </row>
    <row r="166" spans="27:32" x14ac:dyDescent="0.2">
      <c r="AA166" s="3"/>
      <c r="AB166" s="23"/>
      <c r="AE166" s="3">
        <v>45527</v>
      </c>
      <c r="AF166">
        <v>1972.43</v>
      </c>
    </row>
    <row r="167" spans="27:32" x14ac:dyDescent="0.2">
      <c r="AA167" s="3"/>
      <c r="AB167" s="23"/>
      <c r="AE167" s="3">
        <v>45526</v>
      </c>
      <c r="AF167">
        <v>1969.52</v>
      </c>
    </row>
    <row r="168" spans="27:32" x14ac:dyDescent="0.2">
      <c r="AA168" s="3"/>
      <c r="AB168" s="23"/>
      <c r="AE168" s="3">
        <v>45525</v>
      </c>
      <c r="AF168">
        <v>1956.87</v>
      </c>
    </row>
    <row r="169" spans="27:32" x14ac:dyDescent="0.2">
      <c r="AA169" s="3"/>
      <c r="AB169" s="23"/>
      <c r="AE169" s="3">
        <v>45524</v>
      </c>
      <c r="AF169">
        <v>1961.66</v>
      </c>
    </row>
    <row r="170" spans="27:32" x14ac:dyDescent="0.2">
      <c r="AA170" s="3"/>
      <c r="AB170" s="23"/>
      <c r="AE170" s="3">
        <v>45523</v>
      </c>
      <c r="AF170">
        <v>1988.17</v>
      </c>
    </row>
    <row r="171" spans="27:32" x14ac:dyDescent="0.2">
      <c r="AA171" s="3"/>
      <c r="AB171" s="23"/>
      <c r="AE171" s="3">
        <v>45520</v>
      </c>
      <c r="AF171">
        <v>1974.11</v>
      </c>
    </row>
    <row r="172" spans="27:32" x14ac:dyDescent="0.2">
      <c r="AA172" s="3"/>
      <c r="AB172" s="23"/>
      <c r="AE172" s="3">
        <v>45519</v>
      </c>
      <c r="AF172">
        <v>1979.1</v>
      </c>
    </row>
    <row r="173" spans="27:32" x14ac:dyDescent="0.2">
      <c r="AA173" s="3"/>
      <c r="AB173" s="23"/>
      <c r="AE173" s="3">
        <v>45518</v>
      </c>
      <c r="AF173">
        <v>1957.47</v>
      </c>
    </row>
    <row r="174" spans="27:32" x14ac:dyDescent="0.2">
      <c r="AA174" s="3"/>
      <c r="AB174" s="23"/>
      <c r="AE174" s="3">
        <v>45517</v>
      </c>
      <c r="AF174">
        <v>1951.79</v>
      </c>
    </row>
    <row r="175" spans="27:32" x14ac:dyDescent="0.2">
      <c r="AA175" s="3"/>
      <c r="AB175" s="23"/>
      <c r="AE175" s="3">
        <v>45516</v>
      </c>
      <c r="AF175">
        <v>1927.51</v>
      </c>
    </row>
    <row r="176" spans="27:32" x14ac:dyDescent="0.2">
      <c r="AA176" s="3"/>
      <c r="AB176" s="23"/>
      <c r="AE176" s="3">
        <v>45513</v>
      </c>
      <c r="AF176">
        <v>1944.39</v>
      </c>
    </row>
    <row r="177" spans="27:32" x14ac:dyDescent="0.2">
      <c r="AA177" s="3"/>
      <c r="AB177" s="23"/>
      <c r="AE177" s="3">
        <v>45512</v>
      </c>
      <c r="AF177">
        <v>1926.09</v>
      </c>
    </row>
    <row r="178" spans="27:32" x14ac:dyDescent="0.2">
      <c r="AA178" s="3"/>
      <c r="AB178" s="23"/>
      <c r="AE178" s="3">
        <v>45511</v>
      </c>
      <c r="AF178">
        <v>1921.14</v>
      </c>
    </row>
    <row r="179" spans="27:32" x14ac:dyDescent="0.2">
      <c r="AA179" s="3"/>
      <c r="AB179" s="23"/>
      <c r="AE179" s="3">
        <v>45510</v>
      </c>
      <c r="AF179">
        <v>1908.23</v>
      </c>
    </row>
    <row r="180" spans="27:32" x14ac:dyDescent="0.2">
      <c r="AA180" s="3"/>
      <c r="AB180" s="23"/>
      <c r="AE180" s="3">
        <v>45509</v>
      </c>
      <c r="AF180">
        <v>1877.89</v>
      </c>
    </row>
    <row r="181" spans="27:32" x14ac:dyDescent="0.2">
      <c r="AA181" s="3"/>
      <c r="AB181" s="23"/>
      <c r="AE181" s="3">
        <v>45506</v>
      </c>
      <c r="AF181">
        <v>1946.99</v>
      </c>
    </row>
    <row r="182" spans="27:32" x14ac:dyDescent="0.2">
      <c r="AA182" s="3"/>
      <c r="AB182" s="23"/>
      <c r="AE182" s="3">
        <v>45505</v>
      </c>
      <c r="AF182">
        <v>1996.49</v>
      </c>
    </row>
    <row r="183" spans="27:32" x14ac:dyDescent="0.2">
      <c r="AA183" s="3"/>
      <c r="AB183" s="23"/>
      <c r="AE183" s="3">
        <v>45504</v>
      </c>
      <c r="AF183">
        <v>2010.67</v>
      </c>
    </row>
    <row r="184" spans="27:32" x14ac:dyDescent="0.2">
      <c r="AA184" s="3"/>
      <c r="AB184" s="23"/>
      <c r="AE184" s="3">
        <v>45503</v>
      </c>
      <c r="AF184">
        <v>1995.74</v>
      </c>
    </row>
    <row r="185" spans="27:32" x14ac:dyDescent="0.2">
      <c r="AA185" s="3"/>
      <c r="AB185" s="23"/>
      <c r="AE185" s="3">
        <v>45502</v>
      </c>
      <c r="AF185">
        <v>1973.08</v>
      </c>
    </row>
    <row r="186" spans="27:32" x14ac:dyDescent="0.2">
      <c r="AA186" s="3"/>
      <c r="AB186" s="23"/>
      <c r="AE186" s="3">
        <v>45499</v>
      </c>
      <c r="AF186">
        <v>1964.71</v>
      </c>
    </row>
    <row r="187" spans="27:32" x14ac:dyDescent="0.2">
      <c r="AA187" s="3"/>
      <c r="AB187" s="23"/>
      <c r="AE187" s="3">
        <v>45498</v>
      </c>
      <c r="AF187">
        <v>1963.25</v>
      </c>
    </row>
    <row r="188" spans="27:32" x14ac:dyDescent="0.2">
      <c r="AA188" s="3"/>
      <c r="AB188" s="23"/>
      <c r="AE188" s="3">
        <v>45497</v>
      </c>
      <c r="AF188">
        <v>1972.72</v>
      </c>
    </row>
    <row r="189" spans="27:32" x14ac:dyDescent="0.2">
      <c r="AA189" s="3"/>
      <c r="AB189" s="23"/>
      <c r="AE189" s="3">
        <v>45496</v>
      </c>
      <c r="AF189">
        <v>1962.52</v>
      </c>
    </row>
    <row r="190" spans="27:32" x14ac:dyDescent="0.2">
      <c r="AA190" s="3"/>
      <c r="AB190" s="23"/>
      <c r="AE190" s="3">
        <v>45495</v>
      </c>
      <c r="AF190">
        <v>1955.52</v>
      </c>
    </row>
    <row r="191" spans="27:32" x14ac:dyDescent="0.2">
      <c r="AA191" s="3"/>
      <c r="AB191" s="23"/>
      <c r="AE191" s="3">
        <v>45492</v>
      </c>
      <c r="AF191">
        <v>1939.44</v>
      </c>
    </row>
    <row r="192" spans="27:32" x14ac:dyDescent="0.2">
      <c r="AA192" s="3"/>
      <c r="AB192" s="23"/>
      <c r="AE192" s="3">
        <v>45491</v>
      </c>
      <c r="AF192">
        <v>1921.3</v>
      </c>
    </row>
    <row r="193" spans="27:32" x14ac:dyDescent="0.2">
      <c r="AA193" s="3"/>
      <c r="AB193" s="23"/>
      <c r="AE193" s="3">
        <v>45490</v>
      </c>
      <c r="AF193">
        <v>1916.41</v>
      </c>
    </row>
    <row r="194" spans="27:32" x14ac:dyDescent="0.2">
      <c r="AA194" s="3"/>
      <c r="AB194" s="23"/>
      <c r="AE194" s="3">
        <v>45489</v>
      </c>
      <c r="AF194">
        <v>1957.66</v>
      </c>
    </row>
    <row r="195" spans="27:32" x14ac:dyDescent="0.2">
      <c r="AA195" s="3"/>
      <c r="AB195" s="23"/>
      <c r="AE195" s="3">
        <v>45488</v>
      </c>
      <c r="AF195">
        <v>1962.78</v>
      </c>
    </row>
    <row r="196" spans="27:32" x14ac:dyDescent="0.2">
      <c r="AA196" s="3"/>
      <c r="AB196" s="23"/>
      <c r="AE196" s="3">
        <v>45485</v>
      </c>
      <c r="AF196">
        <v>1997.67</v>
      </c>
    </row>
    <row r="197" spans="27:32" x14ac:dyDescent="0.2">
      <c r="AA197" s="3"/>
      <c r="AB197" s="23"/>
      <c r="AE197" s="3">
        <v>45484</v>
      </c>
      <c r="AF197">
        <v>1989.55</v>
      </c>
    </row>
    <row r="198" spans="27:32" x14ac:dyDescent="0.2">
      <c r="AA198" s="3"/>
      <c r="AB198" s="23"/>
      <c r="AE198" s="3">
        <v>45483</v>
      </c>
      <c r="AF198">
        <v>1980.48</v>
      </c>
    </row>
    <row r="199" spans="27:32" x14ac:dyDescent="0.2">
      <c r="AA199" s="3"/>
      <c r="AB199" s="23"/>
      <c r="AE199" s="3">
        <v>45482</v>
      </c>
      <c r="AF199">
        <v>1959.38</v>
      </c>
    </row>
    <row r="200" spans="27:32" x14ac:dyDescent="0.2">
      <c r="AA200" s="3"/>
      <c r="AB200" s="23"/>
      <c r="AE200" s="3">
        <v>45481</v>
      </c>
      <c r="AF200">
        <v>1976.27</v>
      </c>
    </row>
    <row r="201" spans="27:32" x14ac:dyDescent="0.2">
      <c r="AA201" s="3"/>
      <c r="AB201" s="23"/>
      <c r="AE201" s="3">
        <v>45478</v>
      </c>
      <c r="AF201">
        <v>1978.74</v>
      </c>
    </row>
    <row r="202" spans="27:32" x14ac:dyDescent="0.2">
      <c r="AA202" s="3"/>
      <c r="AB202" s="23"/>
      <c r="AE202" s="3">
        <v>45477</v>
      </c>
      <c r="AF202">
        <v>1980.57</v>
      </c>
    </row>
    <row r="203" spans="27:32" x14ac:dyDescent="0.2">
      <c r="AA203" s="3"/>
      <c r="AB203" s="23"/>
      <c r="AE203" s="3">
        <v>45476</v>
      </c>
      <c r="AF203">
        <v>1967.92</v>
      </c>
    </row>
    <row r="204" spans="27:32" x14ac:dyDescent="0.2">
      <c r="AA204" s="3"/>
      <c r="AB204" s="23"/>
      <c r="AE204" s="3">
        <v>45475</v>
      </c>
      <c r="AF204">
        <v>1958.12</v>
      </c>
    </row>
    <row r="205" spans="27:32" x14ac:dyDescent="0.2">
      <c r="AA205" s="3"/>
      <c r="AB205" s="23"/>
      <c r="AE205" s="3">
        <v>45474</v>
      </c>
      <c r="AF205">
        <v>1971.44</v>
      </c>
    </row>
    <row r="206" spans="27:32" x14ac:dyDescent="0.2">
      <c r="AA206" s="3"/>
      <c r="AB206" s="23"/>
      <c r="AE206" s="3">
        <v>45471</v>
      </c>
      <c r="AF206">
        <v>1953.52</v>
      </c>
    </row>
    <row r="207" spans="27:32" x14ac:dyDescent="0.2">
      <c r="AA207" s="3"/>
      <c r="AB207" s="23"/>
      <c r="AE207" s="3">
        <v>45470</v>
      </c>
      <c r="AF207">
        <v>1967.72</v>
      </c>
    </row>
    <row r="208" spans="27:32" x14ac:dyDescent="0.2">
      <c r="AA208" s="3"/>
      <c r="AB208" s="23"/>
      <c r="AE208" s="3">
        <v>45469</v>
      </c>
      <c r="AF208">
        <v>1991.69</v>
      </c>
    </row>
    <row r="209" spans="27:32" x14ac:dyDescent="0.2">
      <c r="AA209" s="3"/>
      <c r="AB209" s="23"/>
      <c r="AE209" s="3">
        <v>45468</v>
      </c>
      <c r="AF209">
        <v>1995.33</v>
      </c>
    </row>
    <row r="210" spans="27:32" x14ac:dyDescent="0.2">
      <c r="AA210" s="3"/>
      <c r="AB210" s="23"/>
      <c r="AE210" s="3">
        <v>45467</v>
      </c>
      <c r="AF210">
        <v>1985.8</v>
      </c>
    </row>
    <row r="211" spans="27:32" x14ac:dyDescent="0.2">
      <c r="AA211" s="3"/>
      <c r="AB211" s="23"/>
      <c r="AE211" s="3">
        <v>45464</v>
      </c>
      <c r="AF211">
        <v>1971.67</v>
      </c>
    </row>
    <row r="212" spans="27:32" x14ac:dyDescent="0.2">
      <c r="AA212" s="3"/>
      <c r="AB212" s="23"/>
      <c r="AE212" s="3">
        <v>45463</v>
      </c>
      <c r="AF212">
        <v>1984.32</v>
      </c>
    </row>
    <row r="213" spans="27:32" x14ac:dyDescent="0.2">
      <c r="AA213" s="3"/>
      <c r="AB213" s="23"/>
      <c r="AE213" s="3">
        <v>45462</v>
      </c>
      <c r="AF213">
        <v>1964.27</v>
      </c>
    </row>
    <row r="214" spans="27:32" x14ac:dyDescent="0.2">
      <c r="AA214" s="3"/>
      <c r="AB214" s="23"/>
      <c r="AE214" s="3">
        <v>45461</v>
      </c>
      <c r="AF214">
        <v>1965.55</v>
      </c>
    </row>
    <row r="215" spans="27:32" x14ac:dyDescent="0.2">
      <c r="AA215" s="3"/>
      <c r="AB215" s="23"/>
      <c r="AE215" s="3">
        <v>45460</v>
      </c>
      <c r="AF215">
        <v>1956.15</v>
      </c>
    </row>
    <row r="216" spans="27:32" x14ac:dyDescent="0.2">
      <c r="AA216" s="3"/>
      <c r="AB216" s="23"/>
      <c r="AE216" s="3">
        <v>45457</v>
      </c>
      <c r="AF216">
        <v>1967.76</v>
      </c>
    </row>
    <row r="217" spans="27:32" x14ac:dyDescent="0.2">
      <c r="AA217" s="3"/>
      <c r="AB217" s="23"/>
      <c r="AE217" s="3">
        <v>45456</v>
      </c>
      <c r="AF217">
        <v>1985.23</v>
      </c>
    </row>
    <row r="218" spans="27:32" x14ac:dyDescent="0.2">
      <c r="AA218" s="3"/>
      <c r="AB218" s="23"/>
      <c r="AE218" s="3">
        <v>45455</v>
      </c>
      <c r="AF218">
        <v>2004.08</v>
      </c>
    </row>
    <row r="219" spans="27:32" x14ac:dyDescent="0.2">
      <c r="AA219" s="3"/>
      <c r="AB219" s="23"/>
      <c r="AE219" s="3">
        <v>45454</v>
      </c>
      <c r="AF219">
        <v>1991.44</v>
      </c>
    </row>
    <row r="220" spans="27:32" x14ac:dyDescent="0.2">
      <c r="AA220" s="3"/>
      <c r="AB220" s="23"/>
      <c r="AE220" s="3">
        <v>45453</v>
      </c>
      <c r="AF220">
        <v>2008.69</v>
      </c>
    </row>
    <row r="221" spans="27:32" x14ac:dyDescent="0.2">
      <c r="AA221" s="3"/>
      <c r="AB221" s="23"/>
      <c r="AE221" s="3">
        <v>45450</v>
      </c>
      <c r="AF221">
        <v>2015.3</v>
      </c>
    </row>
    <row r="222" spans="27:32" x14ac:dyDescent="0.2">
      <c r="AA222" s="3"/>
      <c r="AB222" s="23"/>
      <c r="AE222" s="3">
        <v>45449</v>
      </c>
      <c r="AF222">
        <v>2009.49</v>
      </c>
    </row>
    <row r="223" spans="27:32" x14ac:dyDescent="0.2">
      <c r="AA223" s="3"/>
      <c r="AB223" s="23"/>
      <c r="AE223" s="3">
        <v>45447</v>
      </c>
      <c r="AF223">
        <v>1975.68</v>
      </c>
    </row>
    <row r="224" spans="27:32" x14ac:dyDescent="0.2">
      <c r="AA224" s="3"/>
      <c r="AB224" s="23"/>
      <c r="AE224" s="3">
        <v>45446</v>
      </c>
      <c r="AF224">
        <v>1975.6</v>
      </c>
    </row>
    <row r="225" spans="27:32" x14ac:dyDescent="0.2">
      <c r="AA225" s="3"/>
      <c r="AB225" s="23"/>
      <c r="AE225" s="3">
        <v>45443</v>
      </c>
      <c r="AF225">
        <v>1982.2</v>
      </c>
    </row>
    <row r="226" spans="27:32" x14ac:dyDescent="0.2">
      <c r="AA226" s="3"/>
      <c r="AB226" s="23"/>
      <c r="AE226" s="3">
        <v>45442</v>
      </c>
      <c r="AF226">
        <v>1968.92</v>
      </c>
    </row>
    <row r="227" spans="27:32" x14ac:dyDescent="0.2">
      <c r="AA227" s="3"/>
      <c r="AB227" s="23"/>
      <c r="AE227" s="3">
        <v>45441</v>
      </c>
      <c r="AF227">
        <v>1959.43</v>
      </c>
    </row>
    <row r="228" spans="27:32" x14ac:dyDescent="0.2">
      <c r="AA228" s="3"/>
      <c r="AB228" s="23"/>
      <c r="AE228" s="3">
        <v>45440</v>
      </c>
      <c r="AF228">
        <v>1987.08</v>
      </c>
    </row>
    <row r="229" spans="27:32" x14ac:dyDescent="0.2">
      <c r="AA229" s="3"/>
      <c r="AB229" s="23"/>
      <c r="AE229" s="3">
        <v>45439</v>
      </c>
      <c r="AF229">
        <v>1990.41</v>
      </c>
    </row>
    <row r="230" spans="27:32" x14ac:dyDescent="0.2">
      <c r="AA230" s="3"/>
      <c r="AB230" s="23"/>
      <c r="AE230" s="3">
        <v>45436</v>
      </c>
      <c r="AF230">
        <v>1972.85</v>
      </c>
    </row>
    <row r="231" spans="27:32" x14ac:dyDescent="0.2">
      <c r="AA231" s="3"/>
      <c r="AB231" s="23"/>
      <c r="AE231" s="3">
        <v>45435</v>
      </c>
      <c r="AF231">
        <v>1986.03</v>
      </c>
    </row>
    <row r="232" spans="27:32" x14ac:dyDescent="0.2">
      <c r="AA232" s="3"/>
      <c r="AB232" s="23"/>
      <c r="AE232" s="3">
        <v>45434</v>
      </c>
      <c r="AF232">
        <v>1981.36</v>
      </c>
    </row>
    <row r="233" spans="27:32" x14ac:dyDescent="0.2">
      <c r="AA233" s="3"/>
      <c r="AB233" s="23"/>
      <c r="AE233" s="3">
        <v>45433</v>
      </c>
      <c r="AF233">
        <v>1984.46</v>
      </c>
    </row>
    <row r="234" spans="27:32" x14ac:dyDescent="0.2">
      <c r="AA234" s="3"/>
      <c r="AB234" s="23"/>
      <c r="AE234" s="3">
        <v>45429</v>
      </c>
      <c r="AF234">
        <v>1983.77</v>
      </c>
    </row>
    <row r="235" spans="27:32" x14ac:dyDescent="0.2">
      <c r="AA235" s="3"/>
      <c r="AB235" s="23"/>
      <c r="AE235" s="3">
        <v>45428</v>
      </c>
      <c r="AF235">
        <v>1995.11</v>
      </c>
    </row>
    <row r="236" spans="27:32" x14ac:dyDescent="0.2">
      <c r="AA236" s="3"/>
      <c r="AB236" s="23"/>
      <c r="AE236" s="3">
        <v>45427</v>
      </c>
      <c r="AF236">
        <v>1983.82</v>
      </c>
    </row>
    <row r="237" spans="27:32" x14ac:dyDescent="0.2">
      <c r="AA237" s="3"/>
      <c r="AB237" s="23"/>
      <c r="AE237" s="3">
        <v>45426</v>
      </c>
      <c r="AF237">
        <v>1961.34</v>
      </c>
    </row>
    <row r="238" spans="27:32" x14ac:dyDescent="0.2">
      <c r="AA238" s="3"/>
      <c r="AB238" s="23"/>
      <c r="AE238" s="3">
        <v>45425</v>
      </c>
      <c r="AF238">
        <v>1959.21</v>
      </c>
    </row>
    <row r="239" spans="27:32" x14ac:dyDescent="0.2">
      <c r="AA239" s="3"/>
      <c r="AB239" s="23"/>
      <c r="AE239" s="3">
        <v>45420</v>
      </c>
      <c r="AF239">
        <v>1931.79</v>
      </c>
    </row>
    <row r="240" spans="27:32" x14ac:dyDescent="0.2">
      <c r="AA240" s="3"/>
      <c r="AB240" s="23"/>
      <c r="AE240" s="3">
        <v>45419</v>
      </c>
      <c r="AF240">
        <v>1924.04</v>
      </c>
    </row>
    <row r="241" spans="27:32" x14ac:dyDescent="0.2">
      <c r="AA241" s="3"/>
      <c r="AB241" s="23"/>
      <c r="AE241" s="3">
        <v>45418</v>
      </c>
      <c r="AF241">
        <v>1896.88</v>
      </c>
    </row>
    <row r="242" spans="27:32" x14ac:dyDescent="0.2">
      <c r="AA242" s="3"/>
      <c r="AB242" s="23"/>
      <c r="AE242" s="3">
        <v>45415</v>
      </c>
      <c r="AF242">
        <v>1887.99</v>
      </c>
    </row>
    <row r="243" spans="27:32" x14ac:dyDescent="0.2">
      <c r="AA243" s="3"/>
      <c r="AB243" s="23"/>
      <c r="AE243" s="3">
        <v>45414</v>
      </c>
      <c r="AF243">
        <v>1881.27</v>
      </c>
    </row>
    <row r="244" spans="27:32" x14ac:dyDescent="0.2">
      <c r="AA244" s="3"/>
      <c r="AB244" s="23"/>
      <c r="AE244" s="3">
        <v>45413</v>
      </c>
      <c r="AF244">
        <v>1893.35</v>
      </c>
    </row>
    <row r="245" spans="27:32" x14ac:dyDescent="0.2">
      <c r="AA245" s="3"/>
      <c r="AB245" s="23"/>
      <c r="AE245" s="3">
        <v>45412</v>
      </c>
      <c r="AF245">
        <v>1905.07</v>
      </c>
    </row>
    <row r="246" spans="27:32" x14ac:dyDescent="0.2">
      <c r="AA246" s="3"/>
      <c r="AB246" s="23"/>
      <c r="AE246" s="3">
        <v>45411</v>
      </c>
      <c r="AF246">
        <v>1906.47</v>
      </c>
    </row>
    <row r="247" spans="27:32" x14ac:dyDescent="0.2">
      <c r="AA247" s="3"/>
      <c r="AB247" s="23"/>
      <c r="AE247" s="3">
        <v>45408</v>
      </c>
      <c r="AF247">
        <v>1902.64</v>
      </c>
    </row>
    <row r="248" spans="27:32" x14ac:dyDescent="0.2">
      <c r="AA248" s="3"/>
      <c r="AB248" s="23"/>
      <c r="AE248" s="3">
        <v>45407</v>
      </c>
      <c r="AF248">
        <v>1861.28</v>
      </c>
    </row>
    <row r="249" spans="27:32" x14ac:dyDescent="0.2">
      <c r="AA249" s="3"/>
      <c r="AB249" s="23"/>
      <c r="AE249" s="3">
        <v>45406</v>
      </c>
      <c r="AF249">
        <v>1898.82</v>
      </c>
    </row>
    <row r="250" spans="27:32" x14ac:dyDescent="0.2">
      <c r="AA250" s="3"/>
      <c r="AB250" s="23"/>
      <c r="AE250" s="3">
        <v>45405</v>
      </c>
      <c r="AF250">
        <v>1923.12</v>
      </c>
    </row>
    <row r="251" spans="27:32" x14ac:dyDescent="0.2">
      <c r="AA251" s="3"/>
      <c r="AB251" s="23"/>
      <c r="AE251" s="3">
        <v>45404</v>
      </c>
      <c r="AF251">
        <v>1904.9</v>
      </c>
    </row>
    <row r="252" spans="27:32" x14ac:dyDescent="0.2">
      <c r="AA252" s="3"/>
      <c r="AB252" s="23"/>
      <c r="AE252" s="3">
        <v>45401</v>
      </c>
      <c r="AF252">
        <v>1885.66</v>
      </c>
    </row>
    <row r="253" spans="27:32" x14ac:dyDescent="0.2">
      <c r="AA253" s="3"/>
      <c r="AB253" s="23"/>
      <c r="AE253" s="3">
        <v>45400</v>
      </c>
      <c r="AF253">
        <v>1872.88</v>
      </c>
    </row>
    <row r="254" spans="27:32" x14ac:dyDescent="0.2">
      <c r="AA254" s="3"/>
      <c r="AB254" s="23"/>
      <c r="AE254" s="3">
        <v>45399</v>
      </c>
      <c r="AF254">
        <v>1880.5</v>
      </c>
    </row>
    <row r="255" spans="27:32" x14ac:dyDescent="0.2">
      <c r="AA255" s="3"/>
      <c r="AB255" s="23"/>
      <c r="AE255" s="3">
        <v>45398</v>
      </c>
      <c r="AF255">
        <v>1887.16</v>
      </c>
    </row>
    <row r="256" spans="27:32" x14ac:dyDescent="0.2">
      <c r="AA256" s="3"/>
      <c r="AB256" s="23"/>
      <c r="AE256" s="3">
        <v>45397</v>
      </c>
      <c r="AF256">
        <v>1911.22</v>
      </c>
    </row>
    <row r="257" spans="27:32" x14ac:dyDescent="0.2">
      <c r="AA257" s="3"/>
      <c r="AB257" s="23"/>
      <c r="AE257" s="3">
        <v>45394</v>
      </c>
      <c r="AF257">
        <v>1905.94</v>
      </c>
    </row>
    <row r="258" spans="27:32" x14ac:dyDescent="0.2">
      <c r="AA258" s="3"/>
      <c r="AB258" s="23"/>
      <c r="AE258" s="3">
        <v>45393</v>
      </c>
      <c r="AF258">
        <v>1911.12</v>
      </c>
    </row>
    <row r="259" spans="27:32" x14ac:dyDescent="0.2">
      <c r="AA259" s="3"/>
      <c r="AB259" s="23"/>
      <c r="AE259" s="3">
        <v>45392</v>
      </c>
      <c r="AF259">
        <v>1907.76</v>
      </c>
    </row>
    <row r="260" spans="27:32" x14ac:dyDescent="0.2">
      <c r="AA260" s="3"/>
      <c r="AB260" s="23"/>
      <c r="AE260" s="3">
        <v>45391</v>
      </c>
      <c r="AF260">
        <v>1913.71</v>
      </c>
    </row>
    <row r="261" spans="27:32" x14ac:dyDescent="0.2">
      <c r="AA261" s="3"/>
      <c r="AB261" s="23"/>
      <c r="AE261" s="3">
        <v>45390</v>
      </c>
      <c r="AF261">
        <v>1927.11</v>
      </c>
    </row>
    <row r="262" spans="27:32" x14ac:dyDescent="0.2">
      <c r="AA262" s="3"/>
      <c r="AB262" s="23"/>
      <c r="AE262" s="3">
        <v>45387</v>
      </c>
      <c r="AF262">
        <v>1922.02</v>
      </c>
    </row>
    <row r="263" spans="27:32" x14ac:dyDescent="0.2">
      <c r="AA263" s="3"/>
      <c r="AB263" s="23"/>
      <c r="AE263" s="3">
        <v>45386</v>
      </c>
      <c r="AF263">
        <v>1931.73</v>
      </c>
    </row>
    <row r="264" spans="27:32" x14ac:dyDescent="0.2">
      <c r="AA264" s="3"/>
      <c r="AB264" s="23"/>
      <c r="AE264" s="3">
        <v>45385</v>
      </c>
      <c r="AF264">
        <v>1934.44</v>
      </c>
    </row>
    <row r="265" spans="27:32" x14ac:dyDescent="0.2">
      <c r="AA265" s="3"/>
      <c r="AB265" s="23"/>
      <c r="AE265" s="3">
        <v>45384</v>
      </c>
      <c r="AF265">
        <v>1923.77</v>
      </c>
    </row>
    <row r="266" spans="27:32" x14ac:dyDescent="0.2">
      <c r="AA266" s="3"/>
      <c r="AB266" s="23"/>
      <c r="AE266" s="3">
        <v>45378</v>
      </c>
      <c r="AF266">
        <v>1943.33</v>
      </c>
    </row>
    <row r="267" spans="27:32" x14ac:dyDescent="0.2">
      <c r="AA267" s="3"/>
      <c r="AB267" s="23"/>
      <c r="AE267" s="3">
        <v>45377</v>
      </c>
      <c r="AF267">
        <v>1953.77</v>
      </c>
    </row>
    <row r="268" spans="27:32" x14ac:dyDescent="0.2">
      <c r="AA268" s="3"/>
      <c r="AB268" s="23"/>
      <c r="AE268" s="3">
        <v>45376</v>
      </c>
      <c r="AF268">
        <v>1952.36</v>
      </c>
    </row>
    <row r="269" spans="27:32" x14ac:dyDescent="0.2">
      <c r="AA269" s="3"/>
      <c r="AB269" s="23"/>
      <c r="AE269" s="3">
        <v>45373</v>
      </c>
      <c r="AF269">
        <v>1951.28</v>
      </c>
    </row>
    <row r="270" spans="27:32" x14ac:dyDescent="0.2">
      <c r="AA270" s="3"/>
      <c r="AB270" s="23"/>
      <c r="AE270" s="3">
        <v>45372</v>
      </c>
      <c r="AF270">
        <v>1944.22</v>
      </c>
    </row>
    <row r="271" spans="27:32" x14ac:dyDescent="0.2">
      <c r="AA271" s="3"/>
      <c r="AB271" s="23"/>
      <c r="AE271" s="3">
        <v>45371</v>
      </c>
      <c r="AF271">
        <v>1941.45</v>
      </c>
    </row>
    <row r="272" spans="27:32" x14ac:dyDescent="0.2">
      <c r="AA272" s="3"/>
      <c r="AB272" s="23"/>
      <c r="AE272" s="3">
        <v>45370</v>
      </c>
      <c r="AF272">
        <v>1930.73</v>
      </c>
    </row>
    <row r="273" spans="27:32" x14ac:dyDescent="0.2">
      <c r="AA273" s="3"/>
      <c r="AB273" s="23"/>
      <c r="AE273" s="3">
        <v>45369</v>
      </c>
      <c r="AF273">
        <v>1929.24</v>
      </c>
    </row>
    <row r="274" spans="27:32" x14ac:dyDescent="0.2">
      <c r="AA274" s="3"/>
      <c r="AB274" s="23"/>
      <c r="AE274" s="3">
        <v>45366</v>
      </c>
      <c r="AF274">
        <v>1927.2</v>
      </c>
    </row>
    <row r="275" spans="27:32" x14ac:dyDescent="0.2">
      <c r="AA275" s="3"/>
      <c r="AB275" s="23"/>
      <c r="AE275" s="3">
        <v>45365</v>
      </c>
      <c r="AF275">
        <v>1955.42</v>
      </c>
    </row>
    <row r="276" spans="27:32" x14ac:dyDescent="0.2">
      <c r="AA276" s="3"/>
      <c r="AB276" s="23"/>
      <c r="AE276" s="3">
        <v>45364</v>
      </c>
      <c r="AF276">
        <v>1956.6</v>
      </c>
    </row>
    <row r="277" spans="27:32" x14ac:dyDescent="0.2">
      <c r="AA277" s="3"/>
      <c r="AB277" s="23"/>
      <c r="AE277" s="3">
        <v>45363</v>
      </c>
      <c r="AF277">
        <v>1964.54</v>
      </c>
    </row>
    <row r="278" spans="27:32" x14ac:dyDescent="0.2">
      <c r="AA278" s="3"/>
      <c r="AB278" s="23"/>
      <c r="AE278" s="3">
        <v>45362</v>
      </c>
      <c r="AF278">
        <v>1949.35</v>
      </c>
    </row>
    <row r="279" spans="27:32" x14ac:dyDescent="0.2">
      <c r="AA279" s="3"/>
      <c r="AB279" s="23"/>
      <c r="AE279" s="3">
        <v>45359</v>
      </c>
      <c r="AF279">
        <v>1960.22</v>
      </c>
    </row>
    <row r="280" spans="27:32" x14ac:dyDescent="0.2">
      <c r="AA280" s="3"/>
      <c r="AB280" s="23"/>
      <c r="AE280" s="3">
        <v>45358</v>
      </c>
      <c r="AF280">
        <v>1951.12</v>
      </c>
    </row>
    <row r="281" spans="27:32" x14ac:dyDescent="0.2">
      <c r="AA281" s="3"/>
      <c r="AB281" s="23"/>
      <c r="AE281" s="3">
        <v>45357</v>
      </c>
      <c r="AF281">
        <v>1908.04</v>
      </c>
    </row>
    <row r="282" spans="27:32" x14ac:dyDescent="0.2">
      <c r="AA282" s="3"/>
      <c r="AB282" s="23"/>
      <c r="AE282" s="3">
        <v>45356</v>
      </c>
      <c r="AF282">
        <v>1904.62</v>
      </c>
    </row>
    <row r="283" spans="27:32" x14ac:dyDescent="0.2">
      <c r="AA283" s="3"/>
      <c r="AB283" s="23"/>
      <c r="AE283" s="3">
        <v>45355</v>
      </c>
      <c r="AF283">
        <v>1925.91</v>
      </c>
    </row>
    <row r="284" spans="27:32" x14ac:dyDescent="0.2">
      <c r="AA284" s="3"/>
      <c r="AB284" s="23"/>
      <c r="AE284" s="3">
        <v>45352</v>
      </c>
      <c r="AF284">
        <v>1923.28</v>
      </c>
    </row>
    <row r="285" spans="27:32" x14ac:dyDescent="0.2">
      <c r="AA285" s="3"/>
      <c r="AB285" s="23"/>
      <c r="AE285" s="3">
        <v>45351</v>
      </c>
      <c r="AF285">
        <v>1897.05</v>
      </c>
    </row>
    <row r="286" spans="27:32" x14ac:dyDescent="0.2">
      <c r="AA286" s="3"/>
      <c r="AB286" s="23"/>
      <c r="AE286" s="3">
        <v>45350</v>
      </c>
      <c r="AF286">
        <v>1885.81</v>
      </c>
    </row>
    <row r="287" spans="27:32" x14ac:dyDescent="0.2">
      <c r="AA287" s="3"/>
      <c r="AB287" s="23"/>
      <c r="AE287" s="3">
        <v>45349</v>
      </c>
      <c r="AF287">
        <v>1893.61</v>
      </c>
    </row>
    <row r="288" spans="27:32" x14ac:dyDescent="0.2">
      <c r="AA288" s="3"/>
      <c r="AB288" s="23"/>
      <c r="AE288" s="3">
        <v>45348</v>
      </c>
      <c r="AF288">
        <v>1900.28</v>
      </c>
    </row>
    <row r="289" spans="27:32" x14ac:dyDescent="0.2">
      <c r="AA289" s="3"/>
      <c r="AB289" s="23"/>
      <c r="AE289" s="3">
        <v>45345</v>
      </c>
      <c r="AF289">
        <v>1895.04</v>
      </c>
    </row>
    <row r="290" spans="27:32" x14ac:dyDescent="0.2">
      <c r="AA290" s="3"/>
      <c r="AB290" s="23"/>
      <c r="AE290" s="3">
        <v>45344</v>
      </c>
      <c r="AF290">
        <v>1900.85</v>
      </c>
    </row>
    <row r="291" spans="27:32" x14ac:dyDescent="0.2">
      <c r="AA291" s="3"/>
      <c r="AB291" s="23"/>
      <c r="AE291" s="3">
        <v>45343</v>
      </c>
      <c r="AF291">
        <v>1893.26</v>
      </c>
    </row>
    <row r="292" spans="27:32" x14ac:dyDescent="0.2">
      <c r="AA292" s="3"/>
      <c r="AB292" s="23"/>
      <c r="AE292" s="3">
        <v>45342</v>
      </c>
      <c r="AF292">
        <v>1897.29</v>
      </c>
    </row>
    <row r="293" spans="27:32" x14ac:dyDescent="0.2">
      <c r="AA293" s="3"/>
      <c r="AB293" s="23"/>
      <c r="AE293" s="3">
        <v>45341</v>
      </c>
      <c r="AF293">
        <v>1908.53</v>
      </c>
    </row>
    <row r="294" spans="27:32" x14ac:dyDescent="0.2">
      <c r="AA294" s="3"/>
      <c r="AB294" s="23"/>
      <c r="AE294" s="3">
        <v>45338</v>
      </c>
      <c r="AF294">
        <v>1905.24</v>
      </c>
    </row>
    <row r="295" spans="27:32" x14ac:dyDescent="0.2">
      <c r="AA295" s="3"/>
      <c r="AB295" s="23"/>
      <c r="AE295" s="3">
        <v>45337</v>
      </c>
      <c r="AF295">
        <v>1901.77</v>
      </c>
    </row>
    <row r="296" spans="27:32" x14ac:dyDescent="0.2">
      <c r="AA296" s="3"/>
      <c r="AB296" s="23"/>
      <c r="AE296" s="3">
        <v>45336</v>
      </c>
      <c r="AF296">
        <v>1883.77</v>
      </c>
    </row>
    <row r="297" spans="27:32" x14ac:dyDescent="0.2">
      <c r="AA297" s="3"/>
      <c r="AB297" s="23"/>
      <c r="AE297" s="3">
        <v>45335</v>
      </c>
      <c r="AF297">
        <v>1870.42</v>
      </c>
    </row>
    <row r="298" spans="27:32" x14ac:dyDescent="0.2">
      <c r="AA298" s="3"/>
      <c r="AB298" s="23"/>
      <c r="AE298" s="3">
        <v>45334</v>
      </c>
      <c r="AF298">
        <v>1886.69</v>
      </c>
    </row>
    <row r="299" spans="27:32" x14ac:dyDescent="0.2">
      <c r="AA299" s="3"/>
      <c r="AB299" s="23"/>
      <c r="AE299" s="3">
        <v>45331</v>
      </c>
      <c r="AF299">
        <v>1887.2</v>
      </c>
    </row>
    <row r="300" spans="27:32" x14ac:dyDescent="0.2">
      <c r="AA300" s="3"/>
      <c r="AB300" s="23"/>
      <c r="AE300" s="3">
        <v>45330</v>
      </c>
      <c r="AF300">
        <v>1869.48</v>
      </c>
    </row>
    <row r="301" spans="27:32" x14ac:dyDescent="0.2">
      <c r="AA301" s="3"/>
      <c r="AB301" s="23"/>
      <c r="AE301" s="3">
        <v>45329</v>
      </c>
      <c r="AF301">
        <v>1886.94</v>
      </c>
    </row>
    <row r="302" spans="27:32" x14ac:dyDescent="0.2">
      <c r="AA302" s="3"/>
      <c r="AB302" s="23"/>
      <c r="AE302" s="3">
        <v>45328</v>
      </c>
      <c r="AF302">
        <v>1869.42</v>
      </c>
    </row>
    <row r="303" spans="27:32" x14ac:dyDescent="0.2">
      <c r="AA303" s="3"/>
      <c r="AB303" s="23"/>
      <c r="AE303" s="3">
        <v>45327</v>
      </c>
      <c r="AF303">
        <v>1861.13</v>
      </c>
    </row>
    <row r="304" spans="27:32" x14ac:dyDescent="0.2">
      <c r="AA304" s="3"/>
      <c r="AB304" s="23"/>
      <c r="AE304" s="3">
        <v>45324</v>
      </c>
      <c r="AF304">
        <v>1858.36</v>
      </c>
    </row>
    <row r="305" spans="27:32" x14ac:dyDescent="0.2">
      <c r="AA305" s="3"/>
      <c r="AB305" s="23"/>
      <c r="AE305" s="3">
        <v>45323</v>
      </c>
      <c r="AF305">
        <v>1862.36</v>
      </c>
    </row>
    <row r="306" spans="27:32" x14ac:dyDescent="0.2">
      <c r="AA306" s="3"/>
      <c r="AB306" s="23"/>
      <c r="AE306" s="3">
        <v>45322</v>
      </c>
      <c r="AF306">
        <v>1856.53</v>
      </c>
    </row>
    <row r="307" spans="27:32" x14ac:dyDescent="0.2">
      <c r="AA307" s="3"/>
      <c r="AB307" s="23"/>
      <c r="AE307" s="3">
        <v>45321</v>
      </c>
      <c r="AF307">
        <v>1842.96</v>
      </c>
    </row>
    <row r="308" spans="27:32" x14ac:dyDescent="0.2">
      <c r="AA308" s="3"/>
      <c r="AB308" s="23"/>
      <c r="AE308" s="3">
        <v>45320</v>
      </c>
      <c r="AF308">
        <v>1845.38</v>
      </c>
    </row>
    <row r="309" spans="27:32" x14ac:dyDescent="0.2">
      <c r="AA309" s="3"/>
      <c r="AB309" s="23"/>
      <c r="AE309" s="3">
        <v>45317</v>
      </c>
      <c r="AF309">
        <v>1839.77</v>
      </c>
    </row>
    <row r="310" spans="27:32" x14ac:dyDescent="0.2">
      <c r="AA310" s="3"/>
      <c r="AB310" s="23"/>
      <c r="AE310" s="3">
        <v>45316</v>
      </c>
      <c r="AF310">
        <v>1837.49</v>
      </c>
    </row>
    <row r="311" spans="27:32" x14ac:dyDescent="0.2">
      <c r="AA311" s="3"/>
      <c r="AB311" s="23"/>
      <c r="AE311" s="3">
        <v>45315</v>
      </c>
      <c r="AF311">
        <v>1824.34</v>
      </c>
    </row>
    <row r="312" spans="27:32" x14ac:dyDescent="0.2">
      <c r="AA312" s="3"/>
      <c r="AB312" s="23"/>
      <c r="AE312" s="3">
        <v>45314</v>
      </c>
      <c r="AF312">
        <v>1823.68</v>
      </c>
    </row>
    <row r="313" spans="27:32" x14ac:dyDescent="0.2">
      <c r="AA313" s="3"/>
      <c r="AB313" s="23"/>
      <c r="AE313" s="3">
        <v>45313</v>
      </c>
      <c r="AF313">
        <v>1831.27</v>
      </c>
    </row>
    <row r="314" spans="27:32" x14ac:dyDescent="0.2">
      <c r="AA314" s="3"/>
      <c r="AB314" s="23"/>
      <c r="AE314" s="3">
        <v>45310</v>
      </c>
      <c r="AF314">
        <v>1816.98</v>
      </c>
    </row>
    <row r="315" spans="27:32" x14ac:dyDescent="0.2">
      <c r="AA315" s="3"/>
      <c r="AB315" s="23"/>
      <c r="AE315" s="3">
        <v>45309</v>
      </c>
      <c r="AF315">
        <v>1828.28</v>
      </c>
    </row>
    <row r="316" spans="27:32" x14ac:dyDescent="0.2">
      <c r="AA316" s="3"/>
      <c r="AB316" s="23"/>
      <c r="AE316" s="3">
        <v>45308</v>
      </c>
      <c r="AF316">
        <v>1830.44</v>
      </c>
    </row>
    <row r="317" spans="27:32" x14ac:dyDescent="0.2">
      <c r="AA317" s="3"/>
      <c r="AB317" s="23"/>
      <c r="AE317" s="3">
        <v>45307</v>
      </c>
      <c r="AF317">
        <v>1853.02</v>
      </c>
    </row>
    <row r="318" spans="27:32" x14ac:dyDescent="0.2">
      <c r="AA318" s="3"/>
      <c r="AB318" s="23"/>
      <c r="AE318" s="3">
        <v>45306</v>
      </c>
      <c r="AF318">
        <v>1861.81</v>
      </c>
    </row>
    <row r="319" spans="27:32" x14ac:dyDescent="0.2">
      <c r="AA319" s="3"/>
      <c r="AB319" s="23"/>
      <c r="AE319" s="3">
        <v>45303</v>
      </c>
      <c r="AF319">
        <v>1874.95</v>
      </c>
    </row>
    <row r="320" spans="27:32" x14ac:dyDescent="0.2">
      <c r="AA320" s="3"/>
      <c r="AB320" s="23"/>
      <c r="AE320" s="3">
        <v>45302</v>
      </c>
      <c r="AF320">
        <v>1856.14</v>
      </c>
    </row>
    <row r="321" spans="27:32" x14ac:dyDescent="0.2">
      <c r="AA321" s="3"/>
      <c r="AB321" s="23"/>
      <c r="AE321" s="3">
        <v>45301</v>
      </c>
      <c r="AF321">
        <v>1858.73</v>
      </c>
    </row>
    <row r="322" spans="27:32" x14ac:dyDescent="0.2">
      <c r="AA322" s="3"/>
      <c r="AB322" s="23"/>
      <c r="AE322" s="3">
        <v>45300</v>
      </c>
      <c r="AF322">
        <v>1857.8</v>
      </c>
    </row>
    <row r="323" spans="27:32" x14ac:dyDescent="0.2">
      <c r="AA323" s="3"/>
      <c r="AB323" s="23"/>
      <c r="AE323" s="3">
        <v>45299</v>
      </c>
      <c r="AF323">
        <v>1846.44</v>
      </c>
    </row>
    <row r="324" spans="27:32" x14ac:dyDescent="0.2">
      <c r="AA324" s="3"/>
      <c r="AB324" s="23"/>
      <c r="AE324" s="3">
        <v>45296</v>
      </c>
      <c r="AF324">
        <v>1847.6</v>
      </c>
    </row>
    <row r="325" spans="27:32" x14ac:dyDescent="0.2">
      <c r="AA325" s="3"/>
      <c r="AB325" s="23"/>
      <c r="AE325" s="3">
        <v>45295</v>
      </c>
      <c r="AF325">
        <v>1843.92</v>
      </c>
    </row>
    <row r="326" spans="27:32" x14ac:dyDescent="0.2">
      <c r="AA326" s="3"/>
      <c r="AB326" s="23"/>
      <c r="AE326" s="3">
        <v>45294</v>
      </c>
      <c r="AF326">
        <v>1808.74</v>
      </c>
    </row>
    <row r="327" spans="27:32" x14ac:dyDescent="0.2">
      <c r="AA327" s="3"/>
      <c r="AB327" s="23"/>
      <c r="AE327" s="3">
        <v>45293</v>
      </c>
      <c r="AF327">
        <v>1823.27</v>
      </c>
    </row>
    <row r="328" spans="27:32" x14ac:dyDescent="0.2">
      <c r="AA328" s="3"/>
      <c r="AB328" s="23"/>
      <c r="AE328" s="3">
        <v>45289</v>
      </c>
      <c r="AF328">
        <v>1821.2</v>
      </c>
    </row>
    <row r="329" spans="27:32" x14ac:dyDescent="0.2">
      <c r="AA329" s="3"/>
      <c r="AB329" s="23"/>
      <c r="AE329" s="3">
        <v>45288</v>
      </c>
      <c r="AF329">
        <v>1820.84</v>
      </c>
    </row>
    <row r="330" spans="27:32" x14ac:dyDescent="0.2">
      <c r="AA330" s="3"/>
      <c r="AB330" s="23"/>
      <c r="AE330" s="3">
        <v>45287</v>
      </c>
      <c r="AF330">
        <v>1811.36</v>
      </c>
    </row>
    <row r="331" spans="27:32" x14ac:dyDescent="0.2">
      <c r="AA331" s="3"/>
      <c r="AB331" s="23"/>
      <c r="AE331" s="3">
        <v>45282</v>
      </c>
      <c r="AF331">
        <v>1803.77</v>
      </c>
    </row>
    <row r="332" spans="27:32" x14ac:dyDescent="0.2">
      <c r="AA332" s="3"/>
      <c r="AB332" s="23"/>
      <c r="AE332" s="3">
        <v>45281</v>
      </c>
      <c r="AF332">
        <v>1795.52</v>
      </c>
    </row>
    <row r="333" spans="27:32" x14ac:dyDescent="0.2">
      <c r="AA333" s="3"/>
      <c r="AB333" s="23"/>
      <c r="AE333" s="3">
        <v>45280</v>
      </c>
      <c r="AF333">
        <v>1789.16</v>
      </c>
    </row>
    <row r="334" spans="27:32" x14ac:dyDescent="0.2">
      <c r="AA334" s="3"/>
      <c r="AB334" s="23"/>
      <c r="AE334" s="3">
        <v>45279</v>
      </c>
      <c r="AF334">
        <v>1774.56</v>
      </c>
    </row>
    <row r="335" spans="27:32" x14ac:dyDescent="0.2">
      <c r="AA335" s="3"/>
      <c r="AB335" s="23"/>
      <c r="AE335" s="3">
        <v>45278</v>
      </c>
      <c r="AF335">
        <v>1764.04</v>
      </c>
    </row>
    <row r="336" spans="27:32" x14ac:dyDescent="0.2">
      <c r="AA336" s="3"/>
      <c r="AB336" s="23"/>
      <c r="AE336" s="3">
        <v>45275</v>
      </c>
      <c r="AF336">
        <v>1763.53</v>
      </c>
    </row>
    <row r="337" spans="27:32" x14ac:dyDescent="0.2">
      <c r="AA337" s="3"/>
      <c r="AB337" s="23"/>
      <c r="AE337" s="3">
        <v>45274</v>
      </c>
      <c r="AF337">
        <v>1759.12</v>
      </c>
    </row>
    <row r="338" spans="27:32" x14ac:dyDescent="0.2">
      <c r="AA338" s="3"/>
      <c r="AB338" s="23"/>
      <c r="AE338" s="3">
        <v>45273</v>
      </c>
      <c r="AF338">
        <v>1723.46</v>
      </c>
    </row>
    <row r="339" spans="27:32" x14ac:dyDescent="0.2">
      <c r="AA339" s="3"/>
      <c r="AB339" s="23"/>
      <c r="AE339" s="3">
        <v>45272</v>
      </c>
      <c r="AF339">
        <v>1703.99</v>
      </c>
    </row>
    <row r="340" spans="27:32" x14ac:dyDescent="0.2">
      <c r="AA340" s="3"/>
      <c r="AB340" s="23"/>
      <c r="AE340" s="3">
        <v>45271</v>
      </c>
      <c r="AF340">
        <v>1728.44</v>
      </c>
    </row>
    <row r="341" spans="27:32" x14ac:dyDescent="0.2">
      <c r="AA341" s="3"/>
      <c r="AB341" s="23"/>
      <c r="AE341" s="3">
        <v>45268</v>
      </c>
      <c r="AF341">
        <v>1737.56</v>
      </c>
    </row>
    <row r="342" spans="27:32" x14ac:dyDescent="0.2">
      <c r="AA342" s="3"/>
      <c r="AB342" s="23"/>
      <c r="AE342" s="3">
        <v>45267</v>
      </c>
      <c r="AF342">
        <v>1731.67</v>
      </c>
    </row>
    <row r="343" spans="27:32" x14ac:dyDescent="0.2">
      <c r="AA343" s="3"/>
      <c r="AB343" s="23"/>
      <c r="AE343" s="3">
        <v>45266</v>
      </c>
      <c r="AF343">
        <v>1744.48</v>
      </c>
    </row>
    <row r="344" spans="27:32" x14ac:dyDescent="0.2">
      <c r="AA344" s="3"/>
      <c r="AB344" s="23"/>
      <c r="AE344" s="3">
        <v>45265</v>
      </c>
      <c r="AF344">
        <v>1741.51</v>
      </c>
    </row>
    <row r="345" spans="27:32" x14ac:dyDescent="0.2">
      <c r="AA345" s="3"/>
      <c r="AB345" s="23"/>
      <c r="AE345" s="3">
        <v>45264</v>
      </c>
      <c r="AF345">
        <v>1737.15</v>
      </c>
    </row>
    <row r="346" spans="27:32" x14ac:dyDescent="0.2">
      <c r="AA346" s="3"/>
      <c r="AB346" s="23"/>
      <c r="AE346" s="3">
        <v>45261</v>
      </c>
      <c r="AF346">
        <v>1731.69</v>
      </c>
    </row>
    <row r="347" spans="27:32" x14ac:dyDescent="0.2">
      <c r="AA347" s="3"/>
      <c r="AB347" s="23"/>
      <c r="AE347" s="3">
        <v>45260</v>
      </c>
      <c r="AF347">
        <v>1728.45</v>
      </c>
    </row>
    <row r="348" spans="27:32" x14ac:dyDescent="0.2">
      <c r="AA348" s="3"/>
      <c r="AB348" s="23"/>
      <c r="AE348" s="3">
        <v>45259</v>
      </c>
      <c r="AF348">
        <v>1712.32</v>
      </c>
    </row>
    <row r="349" spans="27:32" x14ac:dyDescent="0.2">
      <c r="AA349" s="3"/>
      <c r="AB349" s="23"/>
      <c r="AE349" s="3">
        <v>45258</v>
      </c>
      <c r="AF349">
        <v>1687.54</v>
      </c>
    </row>
    <row r="350" spans="27:32" x14ac:dyDescent="0.2">
      <c r="AA350" s="3"/>
      <c r="AB350" s="23"/>
      <c r="AE350" s="3">
        <v>45257</v>
      </c>
      <c r="AF350">
        <v>1713.71</v>
      </c>
    </row>
    <row r="351" spans="27:32" x14ac:dyDescent="0.2">
      <c r="AA351" s="3"/>
      <c r="AB351" s="23"/>
      <c r="AE351" s="3">
        <v>45254</v>
      </c>
      <c r="AF351">
        <v>1712.64</v>
      </c>
    </row>
    <row r="352" spans="27:32" x14ac:dyDescent="0.2">
      <c r="AA352" s="3"/>
      <c r="AB352" s="23"/>
      <c r="AE352" s="3">
        <v>45253</v>
      </c>
      <c r="AF352">
        <v>1708.95</v>
      </c>
    </row>
    <row r="353" spans="27:32" x14ac:dyDescent="0.2">
      <c r="AA353" s="3"/>
      <c r="AB353" s="23"/>
      <c r="AE353" s="3">
        <v>45252</v>
      </c>
      <c r="AF353">
        <v>1704.85</v>
      </c>
    </row>
    <row r="354" spans="27:32" x14ac:dyDescent="0.2">
      <c r="AA354" s="3"/>
      <c r="AB354" s="23"/>
      <c r="AE354" s="3">
        <v>45251</v>
      </c>
      <c r="AF354">
        <v>1702.68</v>
      </c>
    </row>
    <row r="355" spans="27:32" x14ac:dyDescent="0.2">
      <c r="AA355" s="3"/>
      <c r="AB355" s="23"/>
      <c r="AE355" s="3">
        <v>45250</v>
      </c>
      <c r="AF355">
        <v>1720.52</v>
      </c>
    </row>
    <row r="356" spans="27:32" x14ac:dyDescent="0.2">
      <c r="AA356" s="3"/>
      <c r="AB356" s="23"/>
      <c r="AE356" s="3">
        <v>45247</v>
      </c>
      <c r="AF356">
        <v>1709.38</v>
      </c>
    </row>
    <row r="357" spans="27:32" x14ac:dyDescent="0.2">
      <c r="AA357" s="3"/>
      <c r="AB357" s="23"/>
      <c r="AE357" s="3">
        <v>45246</v>
      </c>
      <c r="AF357">
        <v>1682.67</v>
      </c>
    </row>
    <row r="358" spans="27:32" x14ac:dyDescent="0.2">
      <c r="AA358" s="3"/>
      <c r="AB358" s="23"/>
      <c r="AE358" s="3">
        <v>45245</v>
      </c>
      <c r="AF358">
        <v>1691.94</v>
      </c>
    </row>
    <row r="359" spans="27:32" x14ac:dyDescent="0.2">
      <c r="AA359" s="3"/>
      <c r="AB359" s="23"/>
      <c r="AE359" s="3">
        <v>45244</v>
      </c>
      <c r="AF359">
        <v>1685.32</v>
      </c>
    </row>
    <row r="360" spans="27:32" x14ac:dyDescent="0.2">
      <c r="AA360" s="3"/>
      <c r="AB360" s="23"/>
      <c r="AE360" s="3">
        <v>45243</v>
      </c>
      <c r="AF360">
        <v>1660.46</v>
      </c>
    </row>
    <row r="361" spans="27:32" x14ac:dyDescent="0.2">
      <c r="AA361" s="3"/>
      <c r="AB361" s="23"/>
      <c r="AE361" s="3">
        <v>45240</v>
      </c>
      <c r="AF361">
        <v>1643.27</v>
      </c>
    </row>
    <row r="362" spans="27:32" x14ac:dyDescent="0.2">
      <c r="AA362" s="3"/>
      <c r="AB362" s="23"/>
      <c r="AE362" s="3">
        <v>45239</v>
      </c>
      <c r="AF362">
        <v>1658.37</v>
      </c>
    </row>
    <row r="363" spans="27:32" x14ac:dyDescent="0.2">
      <c r="AA363" s="3"/>
      <c r="AB363" s="23"/>
      <c r="AE363" s="3">
        <v>45238</v>
      </c>
      <c r="AF363">
        <v>1660.95</v>
      </c>
    </row>
    <row r="364" spans="27:32" x14ac:dyDescent="0.2">
      <c r="AA364" s="3"/>
      <c r="AB364" s="23"/>
      <c r="AE364" s="3">
        <v>45237</v>
      </c>
      <c r="AF364">
        <v>1628.01</v>
      </c>
    </row>
    <row r="365" spans="27:32" x14ac:dyDescent="0.2">
      <c r="AA365" s="3"/>
      <c r="AB365" s="23"/>
      <c r="AE365" s="3">
        <v>45236</v>
      </c>
      <c r="AF365">
        <v>1635.94</v>
      </c>
    </row>
    <row r="366" spans="27:32" x14ac:dyDescent="0.2">
      <c r="AA366" s="3"/>
      <c r="AB366" s="23"/>
      <c r="AE366" s="3">
        <v>45233</v>
      </c>
      <c r="AF366">
        <v>1634.86</v>
      </c>
    </row>
    <row r="367" spans="27:32" x14ac:dyDescent="0.2">
      <c r="AA367" s="3"/>
      <c r="AB367" s="23"/>
      <c r="AE367" s="3">
        <v>45232</v>
      </c>
      <c r="AF367">
        <v>1654.83</v>
      </c>
    </row>
    <row r="368" spans="27:32" x14ac:dyDescent="0.2">
      <c r="AA368" s="3"/>
      <c r="AB368" s="23"/>
      <c r="AE368" s="3">
        <v>45231</v>
      </c>
      <c r="AF368">
        <v>1617.44</v>
      </c>
    </row>
    <row r="369" spans="27:32" x14ac:dyDescent="0.2">
      <c r="AA369" s="3"/>
      <c r="AB369" s="23"/>
      <c r="AE369" s="3">
        <v>45230</v>
      </c>
      <c r="AF369">
        <v>1620.04</v>
      </c>
    </row>
    <row r="370" spans="27:32" x14ac:dyDescent="0.2">
      <c r="AA370" s="3"/>
      <c r="AB370" s="23"/>
      <c r="AE370" s="3">
        <v>45229</v>
      </c>
      <c r="AF370">
        <v>1602.22</v>
      </c>
    </row>
    <row r="371" spans="27:32" x14ac:dyDescent="0.2">
      <c r="AA371" s="3"/>
      <c r="AB371" s="23"/>
      <c r="AE371" s="3">
        <v>45226</v>
      </c>
      <c r="AF371">
        <v>1595.22</v>
      </c>
    </row>
    <row r="372" spans="27:32" x14ac:dyDescent="0.2">
      <c r="AA372" s="3"/>
      <c r="AB372" s="23"/>
      <c r="AE372" s="3">
        <v>45225</v>
      </c>
      <c r="AF372">
        <v>1592.86</v>
      </c>
    </row>
    <row r="373" spans="27:32" x14ac:dyDescent="0.2">
      <c r="AA373" s="3"/>
      <c r="AB373" s="23"/>
      <c r="AE373" s="3">
        <v>45224</v>
      </c>
      <c r="AF373">
        <v>1586.52</v>
      </c>
    </row>
    <row r="374" spans="27:32" x14ac:dyDescent="0.2">
      <c r="AA374" s="3"/>
      <c r="AB374" s="23"/>
      <c r="AE374" s="3">
        <v>45223</v>
      </c>
      <c r="AF374">
        <v>1611.29</v>
      </c>
    </row>
    <row r="375" spans="27:32" x14ac:dyDescent="0.2">
      <c r="AA375" s="3"/>
      <c r="AB375" s="23"/>
      <c r="AE375" s="3">
        <v>45222</v>
      </c>
      <c r="AF375">
        <v>1605.6</v>
      </c>
    </row>
    <row r="376" spans="27:32" x14ac:dyDescent="0.2">
      <c r="AA376" s="3"/>
      <c r="AB376" s="23"/>
      <c r="AE376" s="3">
        <v>45219</v>
      </c>
      <c r="AF376">
        <v>1611.96</v>
      </c>
    </row>
    <row r="377" spans="27:32" x14ac:dyDescent="0.2">
      <c r="AA377" s="3"/>
      <c r="AB377" s="23"/>
      <c r="AE377" s="3">
        <v>45218</v>
      </c>
      <c r="AF377">
        <v>1612.77</v>
      </c>
    </row>
    <row r="378" spans="27:32" x14ac:dyDescent="0.2">
      <c r="AA378" s="3"/>
      <c r="AB378" s="23"/>
      <c r="AE378" s="3">
        <v>45217</v>
      </c>
      <c r="AF378">
        <v>1645.83</v>
      </c>
    </row>
    <row r="379" spans="27:32" x14ac:dyDescent="0.2">
      <c r="AA379" s="3"/>
      <c r="AB379" s="23"/>
      <c r="AE379" s="3">
        <v>45216</v>
      </c>
      <c r="AF379">
        <v>1677.55</v>
      </c>
    </row>
    <row r="380" spans="27:32" x14ac:dyDescent="0.2">
      <c r="AA380" s="3"/>
      <c r="AB380" s="23"/>
      <c r="AE380" s="3">
        <v>45215</v>
      </c>
      <c r="AF380">
        <v>1682.09</v>
      </c>
    </row>
    <row r="381" spans="27:32" x14ac:dyDescent="0.2">
      <c r="AA381" s="3"/>
      <c r="AB381" s="23"/>
      <c r="AE381" s="3">
        <v>45212</v>
      </c>
      <c r="AF381">
        <v>1699.11</v>
      </c>
    </row>
    <row r="382" spans="27:32" x14ac:dyDescent="0.2">
      <c r="AA382" s="3"/>
      <c r="AB382" s="23"/>
      <c r="AE382" s="3">
        <v>45211</v>
      </c>
      <c r="AF382">
        <v>1711.51</v>
      </c>
    </row>
    <row r="383" spans="27:32" x14ac:dyDescent="0.2">
      <c r="AA383" s="3"/>
      <c r="AB383" s="23"/>
      <c r="AE383" s="3">
        <v>45210</v>
      </c>
      <c r="AF383">
        <v>1708.7</v>
      </c>
    </row>
    <row r="384" spans="27:32" x14ac:dyDescent="0.2">
      <c r="AA384" s="3"/>
      <c r="AB384" s="23"/>
      <c r="AE384" s="3">
        <v>45209</v>
      </c>
      <c r="AF384">
        <v>1702.69</v>
      </c>
    </row>
    <row r="385" spans="27:32" x14ac:dyDescent="0.2">
      <c r="AA385" s="3"/>
      <c r="AB385" s="23"/>
      <c r="AE385" s="3">
        <v>45208</v>
      </c>
      <c r="AF385">
        <v>1668.86</v>
      </c>
    </row>
    <row r="386" spans="27:32" x14ac:dyDescent="0.2">
      <c r="AA386" s="3"/>
      <c r="AB386" s="23"/>
      <c r="AE386" s="3">
        <v>45205</v>
      </c>
      <c r="AF386">
        <v>1676.85</v>
      </c>
    </row>
    <row r="387" spans="27:32" x14ac:dyDescent="0.2">
      <c r="AA387" s="3"/>
      <c r="AB387" s="23"/>
      <c r="AE387" s="3">
        <v>45204</v>
      </c>
      <c r="AF387">
        <v>1663.67</v>
      </c>
    </row>
    <row r="388" spans="27:32" x14ac:dyDescent="0.2">
      <c r="AA388" s="3"/>
      <c r="AB388" s="23"/>
      <c r="AE388" s="3">
        <v>45203</v>
      </c>
      <c r="AF388">
        <v>1644.49</v>
      </c>
    </row>
    <row r="389" spans="27:32" x14ac:dyDescent="0.2">
      <c r="AA389" s="3"/>
      <c r="AB389" s="23"/>
      <c r="AE389" s="3">
        <v>45202</v>
      </c>
      <c r="AF389">
        <v>1645.04</v>
      </c>
    </row>
    <row r="390" spans="27:32" x14ac:dyDescent="0.2">
      <c r="AA390" s="3"/>
      <c r="AB390" s="23"/>
      <c r="AE390" s="3">
        <v>45201</v>
      </c>
      <c r="AF390">
        <v>1665.98</v>
      </c>
    </row>
    <row r="391" spans="27:32" x14ac:dyDescent="0.2">
      <c r="AA391" s="3"/>
      <c r="AB391" s="23"/>
      <c r="AE391" s="3">
        <v>45198</v>
      </c>
      <c r="AF391">
        <v>1700.59</v>
      </c>
    </row>
    <row r="392" spans="27:32" x14ac:dyDescent="0.2">
      <c r="AA392" s="3"/>
      <c r="AB392" s="23"/>
      <c r="AE392" s="3">
        <v>45197</v>
      </c>
      <c r="AF392">
        <v>1693.2</v>
      </c>
    </row>
    <row r="393" spans="27:32" x14ac:dyDescent="0.2">
      <c r="AA393" s="3"/>
      <c r="AB393" s="23"/>
      <c r="AE393" s="3">
        <v>45196</v>
      </c>
      <c r="AF393">
        <v>1688.47</v>
      </c>
    </row>
    <row r="394" spans="27:32" x14ac:dyDescent="0.2">
      <c r="AA394" s="3"/>
      <c r="AB394" s="23"/>
      <c r="AE394" s="3">
        <v>45195</v>
      </c>
      <c r="AF394">
        <v>1692.38</v>
      </c>
    </row>
    <row r="395" spans="27:32" x14ac:dyDescent="0.2">
      <c r="AA395" s="3"/>
      <c r="AB395" s="23"/>
      <c r="AE395" s="3">
        <v>45194</v>
      </c>
      <c r="AF395">
        <v>1696.23</v>
      </c>
    </row>
    <row r="396" spans="27:32" x14ac:dyDescent="0.2">
      <c r="AA396" s="3"/>
      <c r="AB396" s="23"/>
      <c r="AE396" s="3">
        <v>45191</v>
      </c>
      <c r="AF396">
        <v>1713.59</v>
      </c>
    </row>
    <row r="397" spans="27:32" x14ac:dyDescent="0.2">
      <c r="AA397" s="3"/>
      <c r="AB397" s="23"/>
      <c r="AE397" s="3">
        <v>45190</v>
      </c>
      <c r="AF397">
        <v>1721.44</v>
      </c>
    </row>
    <row r="398" spans="27:32" x14ac:dyDescent="0.2">
      <c r="AA398" s="3"/>
      <c r="AB398" s="23"/>
      <c r="AE398" s="3">
        <v>45189</v>
      </c>
      <c r="AF398">
        <v>1747.65</v>
      </c>
    </row>
    <row r="399" spans="27:32" x14ac:dyDescent="0.2">
      <c r="AA399" s="3"/>
      <c r="AB399" s="23"/>
      <c r="AE399" s="3">
        <v>45188</v>
      </c>
      <c r="AF399">
        <v>1717.88</v>
      </c>
    </row>
    <row r="400" spans="27:32" x14ac:dyDescent="0.2">
      <c r="AA400" s="3"/>
      <c r="AB400" s="23"/>
      <c r="AE400" s="3">
        <v>45187</v>
      </c>
      <c r="AF400">
        <v>1726.88</v>
      </c>
    </row>
    <row r="401" spans="27:32" x14ac:dyDescent="0.2">
      <c r="AA401" s="3"/>
      <c r="AB401" s="23"/>
      <c r="AE401" s="3">
        <v>45184</v>
      </c>
      <c r="AF401">
        <v>1742.71</v>
      </c>
    </row>
    <row r="402" spans="27:32" x14ac:dyDescent="0.2">
      <c r="AA402" s="3"/>
      <c r="AB402" s="23"/>
      <c r="AE402" s="3">
        <v>45183</v>
      </c>
      <c r="AF402">
        <v>1755.54</v>
      </c>
    </row>
    <row r="403" spans="27:32" x14ac:dyDescent="0.2">
      <c r="AA403" s="3"/>
      <c r="AB403" s="23"/>
      <c r="AE403" s="3">
        <v>45182</v>
      </c>
      <c r="AF403">
        <v>1715.5</v>
      </c>
    </row>
    <row r="404" spans="27:32" x14ac:dyDescent="0.2">
      <c r="AA404" s="3"/>
      <c r="AB404" s="23"/>
      <c r="AE404" s="3">
        <v>45181</v>
      </c>
      <c r="AF404">
        <v>1715.33</v>
      </c>
    </row>
    <row r="405" spans="27:32" x14ac:dyDescent="0.2">
      <c r="AA405" s="3"/>
      <c r="AB405" s="23"/>
      <c r="AE405" s="3">
        <v>45180</v>
      </c>
      <c r="AF405">
        <v>1727.65</v>
      </c>
    </row>
    <row r="406" spans="27:32" x14ac:dyDescent="0.2">
      <c r="AA406" s="3"/>
      <c r="AB406" s="23"/>
      <c r="AE406" s="3">
        <v>45177</v>
      </c>
      <c r="AF406">
        <v>1726.04</v>
      </c>
    </row>
    <row r="407" spans="27:32" x14ac:dyDescent="0.2">
      <c r="AA407" s="3"/>
      <c r="AB407" s="23"/>
      <c r="AE407" s="3">
        <v>45176</v>
      </c>
      <c r="AF407">
        <v>1723.38</v>
      </c>
    </row>
    <row r="408" spans="27:32" x14ac:dyDescent="0.2">
      <c r="AA408" s="3"/>
      <c r="AB408" s="23"/>
      <c r="AE408" s="3">
        <v>45175</v>
      </c>
      <c r="AF408">
        <v>1730.88</v>
      </c>
    </row>
    <row r="409" spans="27:32" x14ac:dyDescent="0.2">
      <c r="AA409" s="3"/>
      <c r="AB409" s="23"/>
      <c r="AE409" s="3">
        <v>45174</v>
      </c>
      <c r="AF409">
        <v>1737.55</v>
      </c>
    </row>
    <row r="410" spans="27:32" x14ac:dyDescent="0.2">
      <c r="AA410" s="3"/>
      <c r="AB410" s="23"/>
      <c r="AE410" s="3">
        <v>45173</v>
      </c>
      <c r="AF410">
        <v>1754.48</v>
      </c>
    </row>
    <row r="411" spans="27:32" x14ac:dyDescent="0.2">
      <c r="AA411" s="3"/>
      <c r="AB411" s="23"/>
      <c r="AE411" s="3">
        <v>45170</v>
      </c>
      <c r="AF411">
        <v>1753.64</v>
      </c>
    </row>
    <row r="412" spans="27:32" x14ac:dyDescent="0.2">
      <c r="AA412" s="3"/>
      <c r="AB412" s="23"/>
      <c r="AE412" s="3">
        <v>45169</v>
      </c>
      <c r="AF412">
        <v>1736.43</v>
      </c>
    </row>
    <row r="413" spans="27:32" x14ac:dyDescent="0.2">
      <c r="AA413" s="3"/>
      <c r="AB413" s="23"/>
      <c r="AE413" s="3">
        <v>45168</v>
      </c>
      <c r="AF413">
        <v>1753.05</v>
      </c>
    </row>
    <row r="414" spans="27:32" x14ac:dyDescent="0.2">
      <c r="AA414" s="3"/>
      <c r="AB414" s="23"/>
      <c r="AE414" s="3">
        <v>45167</v>
      </c>
      <c r="AF414">
        <v>1796.95</v>
      </c>
    </row>
    <row r="415" spans="27:32" x14ac:dyDescent="0.2">
      <c r="AA415" s="3"/>
      <c r="AB415" s="23"/>
      <c r="AE415" s="3">
        <v>45166</v>
      </c>
      <c r="AF415">
        <v>1785.05</v>
      </c>
    </row>
    <row r="416" spans="27:32" x14ac:dyDescent="0.2">
      <c r="AA416" s="3"/>
      <c r="AB416" s="23"/>
      <c r="AE416" s="3">
        <v>45163</v>
      </c>
      <c r="AF416">
        <v>1764.53</v>
      </c>
    </row>
    <row r="417" spans="27:32" x14ac:dyDescent="0.2">
      <c r="AA417" s="3"/>
      <c r="AB417" s="23"/>
      <c r="AE417" s="3">
        <v>45162</v>
      </c>
      <c r="AF417">
        <v>1772.7</v>
      </c>
    </row>
    <row r="418" spans="27:32" x14ac:dyDescent="0.2">
      <c r="AA418" s="3"/>
      <c r="AB418" s="23"/>
      <c r="AE418" s="3">
        <v>45161</v>
      </c>
      <c r="AF418">
        <v>1769.66</v>
      </c>
    </row>
    <row r="419" spans="27:32" x14ac:dyDescent="0.2">
      <c r="AA419" s="3"/>
      <c r="AB419" s="23"/>
      <c r="AE419" s="3">
        <v>45160</v>
      </c>
      <c r="AF419">
        <v>1757.92</v>
      </c>
    </row>
    <row r="420" spans="27:32" x14ac:dyDescent="0.2">
      <c r="AA420" s="3"/>
      <c r="AB420" s="23"/>
      <c r="AE420" s="3">
        <v>45159</v>
      </c>
      <c r="AF420">
        <v>1747.72</v>
      </c>
    </row>
    <row r="421" spans="27:32" x14ac:dyDescent="0.2">
      <c r="AA421" s="3"/>
      <c r="AB421" s="23"/>
      <c r="AE421" s="3">
        <v>45156</v>
      </c>
      <c r="AF421">
        <v>1742.67</v>
      </c>
    </row>
    <row r="422" spans="27:32" x14ac:dyDescent="0.2">
      <c r="AA422" s="3"/>
      <c r="AB422" s="23"/>
      <c r="AE422" s="3">
        <v>45155</v>
      </c>
      <c r="AF422">
        <v>1756.68</v>
      </c>
    </row>
    <row r="423" spans="27:32" x14ac:dyDescent="0.2">
      <c r="AA423" s="3"/>
      <c r="AB423" s="23"/>
      <c r="AE423" s="3">
        <v>45154</v>
      </c>
      <c r="AF423">
        <v>1775.01</v>
      </c>
    </row>
    <row r="424" spans="27:32" x14ac:dyDescent="0.2">
      <c r="AA424" s="3"/>
      <c r="AB424" s="23"/>
      <c r="AE424" s="3">
        <v>45153</v>
      </c>
      <c r="AF424">
        <v>1768.14</v>
      </c>
    </row>
    <row r="425" spans="27:32" x14ac:dyDescent="0.2">
      <c r="AA425" s="3"/>
      <c r="AB425" s="23"/>
      <c r="AE425" s="3">
        <v>45152</v>
      </c>
      <c r="AF425">
        <v>1781.69</v>
      </c>
    </row>
    <row r="426" spans="27:32" x14ac:dyDescent="0.2">
      <c r="AA426" s="3"/>
      <c r="AB426" s="23"/>
      <c r="AE426" s="3">
        <v>45149</v>
      </c>
      <c r="AF426">
        <v>1785.35</v>
      </c>
    </row>
    <row r="427" spans="27:32" x14ac:dyDescent="0.2">
      <c r="AA427" s="3"/>
      <c r="AB427" s="23"/>
      <c r="AE427" s="3">
        <v>45148</v>
      </c>
      <c r="AF427">
        <v>1805.47</v>
      </c>
    </row>
    <row r="428" spans="27:32" x14ac:dyDescent="0.2">
      <c r="AA428" s="3"/>
      <c r="AB428" s="23"/>
      <c r="AE428" s="3">
        <v>45147</v>
      </c>
      <c r="AF428">
        <v>1810.07</v>
      </c>
    </row>
    <row r="429" spans="27:32" x14ac:dyDescent="0.2">
      <c r="AA429" s="3"/>
      <c r="AB429" s="23"/>
      <c r="AE429" s="3">
        <v>45146</v>
      </c>
      <c r="AF429">
        <v>1812.75</v>
      </c>
    </row>
    <row r="430" spans="27:32" x14ac:dyDescent="0.2">
      <c r="AA430" s="3"/>
      <c r="AB430" s="23"/>
      <c r="AE430" s="3">
        <v>45145</v>
      </c>
      <c r="AF430">
        <v>1766.83</v>
      </c>
    </row>
    <row r="431" spans="27:32" x14ac:dyDescent="0.2">
      <c r="AA431" s="3"/>
      <c r="AB431" s="23"/>
      <c r="AE431" s="3">
        <v>45142</v>
      </c>
      <c r="AF431">
        <v>1756.22</v>
      </c>
    </row>
    <row r="432" spans="27:32" x14ac:dyDescent="0.2">
      <c r="AA432" s="3"/>
      <c r="AB432" s="23"/>
      <c r="AE432" s="3">
        <v>45141</v>
      </c>
      <c r="AF432">
        <v>1766.74</v>
      </c>
    </row>
    <row r="433" spans="27:32" x14ac:dyDescent="0.2">
      <c r="AA433" s="3"/>
      <c r="AB433" s="23"/>
      <c r="AE433" s="3">
        <v>45140</v>
      </c>
      <c r="AF433">
        <v>1773.52</v>
      </c>
    </row>
    <row r="434" spans="27:32" x14ac:dyDescent="0.2">
      <c r="AA434" s="3"/>
      <c r="AB434" s="23"/>
      <c r="AE434" s="3">
        <v>45139</v>
      </c>
      <c r="AF434">
        <v>1800.1</v>
      </c>
    </row>
    <row r="435" spans="27:32" x14ac:dyDescent="0.2">
      <c r="AA435" s="3"/>
      <c r="AB435" s="23"/>
      <c r="AE435" s="3">
        <v>45138</v>
      </c>
      <c r="AF435">
        <v>1809.71</v>
      </c>
    </row>
    <row r="436" spans="27:32" x14ac:dyDescent="0.2">
      <c r="AA436" s="3"/>
      <c r="AB436" s="23"/>
      <c r="AE436" s="3">
        <v>45135</v>
      </c>
      <c r="AF436">
        <v>1794.48</v>
      </c>
    </row>
    <row r="437" spans="27:32" x14ac:dyDescent="0.2">
      <c r="AA437" s="3"/>
      <c r="AB437" s="23"/>
      <c r="AE437" s="3">
        <v>45134</v>
      </c>
      <c r="AF437">
        <v>1820.43</v>
      </c>
    </row>
    <row r="438" spans="27:32" x14ac:dyDescent="0.2">
      <c r="AA438" s="3"/>
      <c r="AB438" s="23"/>
      <c r="AE438" s="3">
        <v>45133</v>
      </c>
      <c r="AF438">
        <v>1809.33</v>
      </c>
    </row>
    <row r="439" spans="27:32" x14ac:dyDescent="0.2">
      <c r="AA439" s="3"/>
      <c r="AB439" s="23"/>
      <c r="AE439" s="3">
        <v>45132</v>
      </c>
      <c r="AF439">
        <v>1829</v>
      </c>
    </row>
    <row r="440" spans="27:32" x14ac:dyDescent="0.2">
      <c r="AA440" s="3"/>
      <c r="AB440" s="23"/>
      <c r="AE440" s="3">
        <v>45131</v>
      </c>
      <c r="AF440">
        <v>1831.32</v>
      </c>
    </row>
    <row r="441" spans="27:32" x14ac:dyDescent="0.2">
      <c r="AA441" s="3"/>
      <c r="AB441" s="23"/>
      <c r="AE441" s="3">
        <v>45128</v>
      </c>
      <c r="AF441">
        <v>1842.62</v>
      </c>
    </row>
    <row r="442" spans="27:32" x14ac:dyDescent="0.2">
      <c r="AA442" s="3"/>
      <c r="AB442" s="23"/>
      <c r="AE442" s="3">
        <v>45127</v>
      </c>
      <c r="AF442">
        <v>1839.23</v>
      </c>
    </row>
    <row r="443" spans="27:32" x14ac:dyDescent="0.2">
      <c r="AA443" s="3"/>
      <c r="AB443" s="23"/>
      <c r="AE443" s="3">
        <v>45126</v>
      </c>
      <c r="AF443">
        <v>1830.14</v>
      </c>
    </row>
    <row r="444" spans="27:32" x14ac:dyDescent="0.2">
      <c r="AA444" s="3"/>
      <c r="AB444" s="23"/>
      <c r="AE444" s="3">
        <v>45125</v>
      </c>
      <c r="AF444">
        <v>1827.88</v>
      </c>
    </row>
    <row r="445" spans="27:32" x14ac:dyDescent="0.2">
      <c r="AA445" s="3"/>
      <c r="AB445" s="23"/>
      <c r="AE445" s="3">
        <v>45124</v>
      </c>
      <c r="AF445">
        <v>1815.55</v>
      </c>
    </row>
    <row r="446" spans="27:32" x14ac:dyDescent="0.2">
      <c r="AA446" s="3"/>
      <c r="AB446" s="23"/>
      <c r="AE446" s="3">
        <v>45121</v>
      </c>
      <c r="AF446">
        <v>1812.12</v>
      </c>
    </row>
    <row r="447" spans="27:32" x14ac:dyDescent="0.2">
      <c r="AA447" s="3"/>
      <c r="AB447" s="23"/>
      <c r="AE447" s="3">
        <v>45120</v>
      </c>
      <c r="AF447">
        <v>1810.14</v>
      </c>
    </row>
    <row r="448" spans="27:32" x14ac:dyDescent="0.2">
      <c r="AA448" s="3"/>
      <c r="AB448" s="23"/>
      <c r="AE448" s="3">
        <v>45119</v>
      </c>
      <c r="AF448">
        <v>1792.84</v>
      </c>
    </row>
    <row r="449" spans="27:32" x14ac:dyDescent="0.2">
      <c r="AA449" s="3"/>
      <c r="AB449" s="23"/>
      <c r="AE449" s="3">
        <v>45118</v>
      </c>
      <c r="AF449">
        <v>1778.41</v>
      </c>
    </row>
    <row r="450" spans="27:32" x14ac:dyDescent="0.2">
      <c r="AA450" s="3"/>
      <c r="AB450" s="23"/>
      <c r="AE450" s="3">
        <v>45117</v>
      </c>
      <c r="AF450">
        <v>1774.41</v>
      </c>
    </row>
    <row r="451" spans="27:32" x14ac:dyDescent="0.2">
      <c r="AA451" s="3"/>
      <c r="AB451" s="23"/>
      <c r="AE451" s="3">
        <v>45114</v>
      </c>
      <c r="AF451">
        <v>1781.59</v>
      </c>
    </row>
    <row r="452" spans="27:32" x14ac:dyDescent="0.2">
      <c r="AA452" s="3"/>
      <c r="AB452" s="23"/>
      <c r="AE452" s="3">
        <v>45113</v>
      </c>
      <c r="AF452">
        <v>1783.1</v>
      </c>
    </row>
    <row r="453" spans="27:32" x14ac:dyDescent="0.2">
      <c r="AA453" s="3"/>
      <c r="AB453" s="23"/>
      <c r="AE453" s="3">
        <v>45112</v>
      </c>
      <c r="AF453">
        <v>1811.78</v>
      </c>
    </row>
    <row r="454" spans="27:32" x14ac:dyDescent="0.2">
      <c r="AA454" s="3"/>
      <c r="AB454" s="23"/>
      <c r="AE454" s="3">
        <v>45111</v>
      </c>
      <c r="AF454">
        <v>1823.79</v>
      </c>
    </row>
    <row r="455" spans="27:32" x14ac:dyDescent="0.2">
      <c r="AA455" s="3"/>
      <c r="AB455" s="23"/>
      <c r="AE455" s="3">
        <v>45110</v>
      </c>
      <c r="AF455">
        <v>1814.5</v>
      </c>
    </row>
    <row r="456" spans="27:32" x14ac:dyDescent="0.2">
      <c r="AA456" s="3"/>
      <c r="AB456" s="23"/>
      <c r="AE456" s="3">
        <v>45107</v>
      </c>
      <c r="AF456">
        <v>1816.74</v>
      </c>
    </row>
    <row r="457" spans="27:32" x14ac:dyDescent="0.2">
      <c r="AA457" s="3"/>
      <c r="AB457" s="23"/>
      <c r="AE457" s="3">
        <v>45106</v>
      </c>
      <c r="AF457">
        <v>1792.14</v>
      </c>
    </row>
    <row r="458" spans="27:32" x14ac:dyDescent="0.2">
      <c r="AA458" s="3"/>
      <c r="AB458" s="23"/>
      <c r="AE458" s="3">
        <v>45105</v>
      </c>
      <c r="AF458">
        <v>1789.49</v>
      </c>
    </row>
    <row r="459" spans="27:32" x14ac:dyDescent="0.2">
      <c r="AA459" s="3"/>
      <c r="AB459" s="23"/>
      <c r="AE459" s="3">
        <v>45104</v>
      </c>
      <c r="AF459">
        <v>1765.41</v>
      </c>
    </row>
    <row r="460" spans="27:32" x14ac:dyDescent="0.2">
      <c r="AA460" s="3"/>
      <c r="AB460" s="23"/>
      <c r="AE460" s="3">
        <v>45103</v>
      </c>
      <c r="AF460">
        <v>1778.84</v>
      </c>
    </row>
    <row r="461" spans="27:32" x14ac:dyDescent="0.2">
      <c r="AA461" s="3"/>
      <c r="AB461" s="23"/>
      <c r="AE461" s="3">
        <v>45100</v>
      </c>
      <c r="AF461">
        <v>1784.96</v>
      </c>
    </row>
    <row r="462" spans="27:32" x14ac:dyDescent="0.2">
      <c r="AA462" s="3"/>
      <c r="AB462" s="23"/>
      <c r="AE462" s="3">
        <v>45099</v>
      </c>
      <c r="AF462">
        <v>1797.05</v>
      </c>
    </row>
    <row r="463" spans="27:32" x14ac:dyDescent="0.2">
      <c r="AA463" s="3"/>
      <c r="AB463" s="23"/>
      <c r="AE463" s="3">
        <v>45098</v>
      </c>
      <c r="AF463">
        <v>1800.35</v>
      </c>
    </row>
    <row r="464" spans="27:32" x14ac:dyDescent="0.2">
      <c r="AA464" s="3"/>
      <c r="AB464" s="23"/>
      <c r="AE464" s="3">
        <v>45097</v>
      </c>
      <c r="AF464">
        <v>1815.78</v>
      </c>
    </row>
    <row r="465" spans="27:32" x14ac:dyDescent="0.2">
      <c r="AA465" s="3"/>
      <c r="AB465" s="23"/>
      <c r="AE465" s="3">
        <v>45096</v>
      </c>
      <c r="AF465">
        <v>1814.64</v>
      </c>
    </row>
    <row r="466" spans="27:32" x14ac:dyDescent="0.2">
      <c r="AA466" s="3"/>
      <c r="AB466" s="23"/>
      <c r="AE466" s="3">
        <v>45093</v>
      </c>
      <c r="AF466">
        <v>1839.32</v>
      </c>
    </row>
    <row r="467" spans="27:32" x14ac:dyDescent="0.2">
      <c r="AA467" s="3"/>
      <c r="AB467" s="23"/>
      <c r="AE467" s="3">
        <v>45092</v>
      </c>
      <c r="AF467">
        <v>1829.27</v>
      </c>
    </row>
    <row r="468" spans="27:32" x14ac:dyDescent="0.2">
      <c r="AA468" s="3"/>
      <c r="AB468" s="23"/>
      <c r="AE468" s="3">
        <v>45091</v>
      </c>
      <c r="AF468">
        <v>1832</v>
      </c>
    </row>
    <row r="469" spans="27:32" x14ac:dyDescent="0.2">
      <c r="AA469" s="3"/>
      <c r="AB469" s="23"/>
      <c r="AE469" s="3">
        <v>45090</v>
      </c>
      <c r="AF469">
        <v>1822.44</v>
      </c>
    </row>
    <row r="470" spans="27:32" x14ac:dyDescent="0.2">
      <c r="AA470" s="3"/>
      <c r="AB470" s="23"/>
      <c r="AE470" s="3">
        <v>45089</v>
      </c>
      <c r="AF470">
        <v>1816.4</v>
      </c>
    </row>
    <row r="471" spans="27:32" x14ac:dyDescent="0.2">
      <c r="AA471" s="3"/>
      <c r="AB471" s="23"/>
      <c r="AE471" s="3">
        <v>45086</v>
      </c>
      <c r="AF471">
        <v>1821.52</v>
      </c>
    </row>
    <row r="472" spans="27:32" x14ac:dyDescent="0.2">
      <c r="AA472" s="3"/>
      <c r="AB472" s="23"/>
      <c r="AE472" s="3">
        <v>45085</v>
      </c>
      <c r="AF472">
        <v>1831.96</v>
      </c>
    </row>
    <row r="473" spans="27:32" x14ac:dyDescent="0.2">
      <c r="AA473" s="3"/>
      <c r="AB473" s="23"/>
      <c r="AE473" s="3">
        <v>45084</v>
      </c>
      <c r="AF473">
        <v>1825.17</v>
      </c>
    </row>
    <row r="474" spans="27:32" x14ac:dyDescent="0.2">
      <c r="AA474" s="3"/>
      <c r="AB474" s="23"/>
      <c r="AE474" s="3">
        <v>45083</v>
      </c>
      <c r="AF474">
        <v>1838.61</v>
      </c>
    </row>
    <row r="475" spans="27:32" x14ac:dyDescent="0.2">
      <c r="AA475" s="3"/>
      <c r="AB475" s="23"/>
      <c r="AE475" s="3">
        <v>45079</v>
      </c>
      <c r="AF475">
        <v>1818.13</v>
      </c>
    </row>
    <row r="476" spans="27:32" x14ac:dyDescent="0.2">
      <c r="AA476" s="3"/>
      <c r="AB476" s="23"/>
      <c r="AE476" s="3">
        <v>45078</v>
      </c>
      <c r="AF476">
        <v>1808.78</v>
      </c>
    </row>
    <row r="477" spans="27:32" x14ac:dyDescent="0.2">
      <c r="AA477" s="3"/>
      <c r="AB477" s="23"/>
      <c r="AE477" s="3">
        <v>45077</v>
      </c>
      <c r="AF477">
        <v>1802.63</v>
      </c>
    </row>
    <row r="478" spans="27:32" x14ac:dyDescent="0.2">
      <c r="AA478" s="3"/>
      <c r="AB478" s="23"/>
      <c r="AE478" s="3">
        <v>45076</v>
      </c>
      <c r="AF478">
        <v>1818.28</v>
      </c>
    </row>
    <row r="479" spans="27:32" x14ac:dyDescent="0.2">
      <c r="AA479" s="3"/>
      <c r="AB479" s="23"/>
      <c r="AE479" s="3">
        <v>45072</v>
      </c>
      <c r="AF479">
        <v>1829.61</v>
      </c>
    </row>
    <row r="480" spans="27:32" x14ac:dyDescent="0.2">
      <c r="AA480" s="3"/>
      <c r="AB480" s="23"/>
      <c r="AE480" s="3">
        <v>45071</v>
      </c>
      <c r="AF480">
        <v>1819.17</v>
      </c>
    </row>
    <row r="481" spans="27:32" x14ac:dyDescent="0.2">
      <c r="AA481" s="3"/>
      <c r="AB481" s="23"/>
      <c r="AE481" s="3">
        <v>45070</v>
      </c>
      <c r="AF481">
        <v>1815.48</v>
      </c>
    </row>
    <row r="482" spans="27:32" x14ac:dyDescent="0.2">
      <c r="AA482" s="3"/>
      <c r="AB482" s="23"/>
      <c r="AE482" s="3">
        <v>45069</v>
      </c>
      <c r="AF482">
        <v>1851.25</v>
      </c>
    </row>
    <row r="483" spans="27:32" x14ac:dyDescent="0.2">
      <c r="AA483" s="3"/>
      <c r="AB483" s="23"/>
      <c r="AE483" s="3">
        <v>45068</v>
      </c>
      <c r="AF483">
        <v>1882.99</v>
      </c>
    </row>
    <row r="484" spans="27:32" x14ac:dyDescent="0.2">
      <c r="AA484" s="3"/>
      <c r="AB484" s="23"/>
      <c r="AE484" s="3">
        <v>45063</v>
      </c>
      <c r="AF484">
        <v>1854.49</v>
      </c>
    </row>
    <row r="485" spans="27:32" x14ac:dyDescent="0.2">
      <c r="AA485" s="3"/>
      <c r="AB485" s="23"/>
      <c r="AE485" s="3">
        <v>45062</v>
      </c>
      <c r="AF485">
        <v>1864.39</v>
      </c>
    </row>
    <row r="486" spans="27:32" x14ac:dyDescent="0.2">
      <c r="AA486" s="3"/>
      <c r="AB486" s="23"/>
      <c r="AE486" s="3">
        <v>45061</v>
      </c>
      <c r="AF486">
        <v>1877.47</v>
      </c>
    </row>
    <row r="487" spans="27:32" x14ac:dyDescent="0.2">
      <c r="AA487" s="3"/>
      <c r="AB487" s="23"/>
      <c r="AE487" s="3">
        <v>45058</v>
      </c>
      <c r="AF487">
        <v>1872.05</v>
      </c>
    </row>
    <row r="488" spans="27:32" x14ac:dyDescent="0.2">
      <c r="AA488" s="3"/>
      <c r="AB488" s="23"/>
      <c r="AE488" s="3">
        <v>45057</v>
      </c>
      <c r="AF488">
        <v>1847.4</v>
      </c>
    </row>
    <row r="489" spans="27:32" x14ac:dyDescent="0.2">
      <c r="AA489" s="3"/>
      <c r="AB489" s="23"/>
      <c r="AE489" s="3">
        <v>45056</v>
      </c>
      <c r="AF489">
        <v>1835.91</v>
      </c>
    </row>
    <row r="490" spans="27:32" x14ac:dyDescent="0.2">
      <c r="AA490" s="3"/>
      <c r="AB490" s="23"/>
      <c r="AE490" s="3">
        <v>45055</v>
      </c>
      <c r="AF490">
        <v>1824.44</v>
      </c>
    </row>
    <row r="491" spans="27:32" x14ac:dyDescent="0.2">
      <c r="AA491" s="3"/>
      <c r="AB491" s="23"/>
      <c r="AE491" s="3">
        <v>45054</v>
      </c>
      <c r="AF491">
        <v>1840.05</v>
      </c>
    </row>
    <row r="492" spans="27:32" x14ac:dyDescent="0.2">
      <c r="AA492" s="3"/>
      <c r="AB492" s="23"/>
      <c r="AE492" s="3">
        <v>45050</v>
      </c>
      <c r="AF492">
        <v>1806.62</v>
      </c>
    </row>
    <row r="493" spans="27:32" x14ac:dyDescent="0.2">
      <c r="AA493" s="3"/>
      <c r="AB493" s="23"/>
      <c r="AE493" s="3">
        <v>45049</v>
      </c>
      <c r="AF493">
        <v>1815.01</v>
      </c>
    </row>
    <row r="494" spans="27:32" x14ac:dyDescent="0.2">
      <c r="AA494" s="3"/>
      <c r="AB494" s="23"/>
      <c r="AE494" s="3">
        <v>45048</v>
      </c>
      <c r="AF494">
        <v>1817.84</v>
      </c>
    </row>
    <row r="495" spans="27:32" x14ac:dyDescent="0.2">
      <c r="AA495" s="3"/>
      <c r="AB495" s="23"/>
      <c r="AE495" s="3">
        <v>45047</v>
      </c>
      <c r="AF495">
        <v>1834.35</v>
      </c>
    </row>
    <row r="496" spans="27:32" x14ac:dyDescent="0.2">
      <c r="AA496" s="3"/>
      <c r="AB496" s="23"/>
      <c r="AE496" s="3">
        <v>45044</v>
      </c>
      <c r="AF496">
        <v>1818.42</v>
      </c>
    </row>
    <row r="497" spans="27:32" x14ac:dyDescent="0.2">
      <c r="AA497" s="3"/>
      <c r="AB497" s="23"/>
      <c r="AE497" s="3">
        <v>45043</v>
      </c>
      <c r="AF497">
        <v>1811.35</v>
      </c>
    </row>
    <row r="498" spans="27:32" x14ac:dyDescent="0.2">
      <c r="AA498" s="3"/>
      <c r="AB498" s="23"/>
      <c r="AE498" s="3">
        <v>45042</v>
      </c>
      <c r="AF498">
        <v>1791.21</v>
      </c>
    </row>
    <row r="499" spans="27:32" x14ac:dyDescent="0.2">
      <c r="AA499" s="3"/>
      <c r="AB499" s="23"/>
      <c r="AE499" s="3">
        <v>45041</v>
      </c>
      <c r="AF499">
        <v>1826.09</v>
      </c>
    </row>
    <row r="500" spans="27:32" x14ac:dyDescent="0.2">
      <c r="AA500" s="3"/>
      <c r="AB500" s="23"/>
      <c r="AE500" s="3">
        <v>45040</v>
      </c>
      <c r="AF500">
        <v>1840.8</v>
      </c>
    </row>
    <row r="501" spans="27:32" x14ac:dyDescent="0.2">
      <c r="AA501" s="3"/>
      <c r="AB501" s="23"/>
      <c r="AE501" s="3">
        <v>45037</v>
      </c>
      <c r="AF501">
        <v>1838.54</v>
      </c>
    </row>
    <row r="502" spans="27:32" x14ac:dyDescent="0.2">
      <c r="AA502" s="3"/>
      <c r="AB502" s="23"/>
      <c r="AE502" s="3">
        <v>45036</v>
      </c>
      <c r="AF502">
        <v>1821.34</v>
      </c>
    </row>
    <row r="503" spans="27:32" x14ac:dyDescent="0.2">
      <c r="AA503" s="3"/>
      <c r="AB503" s="23"/>
      <c r="AE503" s="3">
        <v>45035</v>
      </c>
      <c r="AF503">
        <v>1826.52</v>
      </c>
    </row>
    <row r="504" spans="27:32" x14ac:dyDescent="0.2">
      <c r="AA504" s="3"/>
      <c r="AB504" s="23"/>
      <c r="AE504" s="3">
        <v>45034</v>
      </c>
      <c r="AF504">
        <v>1847.66</v>
      </c>
    </row>
    <row r="505" spans="27:32" x14ac:dyDescent="0.2">
      <c r="AA505" s="3"/>
      <c r="AB505" s="23"/>
      <c r="AE505" s="3">
        <v>45033</v>
      </c>
      <c r="AF505">
        <v>1846.28</v>
      </c>
    </row>
    <row r="506" spans="27:32" x14ac:dyDescent="0.2">
      <c r="AA506" s="3"/>
      <c r="AB506" s="23"/>
      <c r="AE506" s="3">
        <v>45030</v>
      </c>
      <c r="AF506">
        <v>1829.22</v>
      </c>
    </row>
    <row r="507" spans="27:32" x14ac:dyDescent="0.2">
      <c r="AA507" s="3"/>
      <c r="AB507" s="23"/>
      <c r="AE507" s="3">
        <v>45029</v>
      </c>
      <c r="AF507">
        <v>1801.88</v>
      </c>
    </row>
    <row r="508" spans="27:32" x14ac:dyDescent="0.2">
      <c r="AA508" s="3"/>
      <c r="AB508" s="23"/>
      <c r="AE508" s="3">
        <v>45028</v>
      </c>
      <c r="AF508">
        <v>1777.6</v>
      </c>
    </row>
    <row r="509" spans="27:32" x14ac:dyDescent="0.2">
      <c r="AA509" s="3"/>
      <c r="AB509" s="23"/>
      <c r="AE509" s="3">
        <v>45027</v>
      </c>
      <c r="AF509">
        <v>1772.83</v>
      </c>
    </row>
    <row r="510" spans="27:32" x14ac:dyDescent="0.2">
      <c r="AA510" s="3"/>
      <c r="AB510" s="23"/>
      <c r="AE510" s="3">
        <v>45021</v>
      </c>
      <c r="AF510">
        <v>1761.77</v>
      </c>
    </row>
    <row r="511" spans="27:32" x14ac:dyDescent="0.2">
      <c r="AA511" s="3"/>
      <c r="AB511" s="23"/>
      <c r="AE511" s="3">
        <v>45020</v>
      </c>
      <c r="AF511">
        <v>1767.67</v>
      </c>
    </row>
    <row r="512" spans="27:32" x14ac:dyDescent="0.2">
      <c r="AA512" s="3"/>
      <c r="AB512" s="23"/>
      <c r="AE512" s="3">
        <v>45019</v>
      </c>
      <c r="AF512">
        <v>1769.37</v>
      </c>
    </row>
    <row r="513" spans="27:32" x14ac:dyDescent="0.2">
      <c r="AA513" s="3"/>
      <c r="AB513" s="23"/>
      <c r="AE513" s="3">
        <v>45016</v>
      </c>
      <c r="AF513">
        <v>1790.13</v>
      </c>
    </row>
    <row r="514" spans="27:32" x14ac:dyDescent="0.2">
      <c r="AA514" s="3"/>
      <c r="AB514" s="23"/>
      <c r="AE514" s="3">
        <v>45015</v>
      </c>
      <c r="AF514">
        <v>1790.13</v>
      </c>
    </row>
    <row r="515" spans="27:32" x14ac:dyDescent="0.2">
      <c r="AA515" s="3"/>
      <c r="AB515" s="23"/>
      <c r="AE515" s="3">
        <v>45014</v>
      </c>
      <c r="AF515">
        <v>1759.09</v>
      </c>
    </row>
    <row r="516" spans="27:32" x14ac:dyDescent="0.2">
      <c r="AA516" s="3"/>
      <c r="AB516" s="23"/>
      <c r="AE516" s="3">
        <v>45013</v>
      </c>
      <c r="AF516">
        <v>1738.92</v>
      </c>
    </row>
    <row r="517" spans="27:32" x14ac:dyDescent="0.2">
      <c r="AA517" s="3"/>
      <c r="AB517" s="23"/>
      <c r="AE517" s="3">
        <v>45012</v>
      </c>
      <c r="AF517">
        <v>1753</v>
      </c>
    </row>
    <row r="518" spans="27:32" x14ac:dyDescent="0.2">
      <c r="AA518" s="3"/>
      <c r="AB518" s="23"/>
      <c r="AE518" s="3">
        <v>45009</v>
      </c>
      <c r="AF518">
        <v>1735.32</v>
      </c>
    </row>
    <row r="519" spans="27:32" x14ac:dyDescent="0.2">
      <c r="AA519" s="3"/>
      <c r="AB519" s="23"/>
      <c r="AE519" s="3">
        <v>45008</v>
      </c>
      <c r="AF519">
        <v>1750.63</v>
      </c>
    </row>
    <row r="520" spans="27:32" x14ac:dyDescent="0.2">
      <c r="AA520" s="3"/>
      <c r="AB520" s="23"/>
      <c r="AE520" s="3">
        <v>45007</v>
      </c>
      <c r="AF520">
        <v>1748.49</v>
      </c>
    </row>
    <row r="521" spans="27:32" x14ac:dyDescent="0.2">
      <c r="AA521" s="3"/>
      <c r="AB521" s="23"/>
      <c r="AE521" s="3">
        <v>45006</v>
      </c>
      <c r="AF521">
        <v>1739.75</v>
      </c>
    </row>
    <row r="522" spans="27:32" x14ac:dyDescent="0.2">
      <c r="AA522" s="3"/>
      <c r="AB522" s="23"/>
      <c r="AE522" s="3">
        <v>45005</v>
      </c>
      <c r="AF522">
        <v>1720.22</v>
      </c>
    </row>
    <row r="523" spans="27:32" x14ac:dyDescent="0.2">
      <c r="AA523" s="3"/>
      <c r="AB523" s="23"/>
      <c r="AE523" s="3">
        <v>45002</v>
      </c>
      <c r="AF523">
        <v>1704.53</v>
      </c>
    </row>
    <row r="524" spans="27:32" x14ac:dyDescent="0.2">
      <c r="AA524" s="3"/>
      <c r="AB524" s="23"/>
      <c r="AE524" s="3">
        <v>45001</v>
      </c>
      <c r="AF524">
        <v>1721.24</v>
      </c>
    </row>
    <row r="525" spans="27:32" x14ac:dyDescent="0.2">
      <c r="AA525" s="3"/>
      <c r="AB525" s="23"/>
      <c r="AE525" s="3">
        <v>45000</v>
      </c>
      <c r="AF525">
        <v>1716.18</v>
      </c>
    </row>
    <row r="526" spans="27:32" x14ac:dyDescent="0.2">
      <c r="AA526" s="3"/>
      <c r="AB526" s="23"/>
      <c r="AE526" s="3">
        <v>44999</v>
      </c>
      <c r="AF526">
        <v>1750.84</v>
      </c>
    </row>
    <row r="527" spans="27:32" x14ac:dyDescent="0.2">
      <c r="AA527" s="3"/>
      <c r="AB527" s="23"/>
      <c r="AE527" s="3">
        <v>44998</v>
      </c>
      <c r="AF527">
        <v>1719.44</v>
      </c>
    </row>
    <row r="528" spans="27:32" x14ac:dyDescent="0.2">
      <c r="AA528" s="3"/>
      <c r="AB528" s="23"/>
      <c r="AE528" s="3">
        <v>44995</v>
      </c>
      <c r="AF528">
        <v>1747.21</v>
      </c>
    </row>
    <row r="529" spans="27:32" x14ac:dyDescent="0.2">
      <c r="AA529" s="3"/>
      <c r="AB529" s="23"/>
      <c r="AE529" s="3">
        <v>44994</v>
      </c>
      <c r="AF529">
        <v>1787.56</v>
      </c>
    </row>
    <row r="530" spans="27:32" x14ac:dyDescent="0.2">
      <c r="AA530" s="3"/>
      <c r="AB530" s="23"/>
      <c r="AE530" s="3">
        <v>44993</v>
      </c>
      <c r="AF530">
        <v>1768.55</v>
      </c>
    </row>
    <row r="531" spans="27:32" x14ac:dyDescent="0.2">
      <c r="AA531" s="3"/>
      <c r="AB531" s="23"/>
      <c r="AE531" s="3">
        <v>44992</v>
      </c>
      <c r="AF531">
        <v>1783.06</v>
      </c>
    </row>
    <row r="532" spans="27:32" x14ac:dyDescent="0.2">
      <c r="AA532" s="3"/>
      <c r="AB532" s="23"/>
      <c r="AE532" s="3">
        <v>44991</v>
      </c>
      <c r="AF532">
        <v>1796.38</v>
      </c>
    </row>
    <row r="533" spans="27:32" x14ac:dyDescent="0.2">
      <c r="AA533" s="3"/>
      <c r="AB533" s="23"/>
      <c r="AE533" s="3">
        <v>44988</v>
      </c>
      <c r="AF533">
        <v>1794.82</v>
      </c>
    </row>
    <row r="534" spans="27:32" x14ac:dyDescent="0.2">
      <c r="AA534" s="3"/>
      <c r="AB534" s="23"/>
      <c r="AE534" s="3">
        <v>44987</v>
      </c>
      <c r="AF534">
        <v>1784.79</v>
      </c>
    </row>
    <row r="535" spans="27:32" x14ac:dyDescent="0.2">
      <c r="AA535" s="3"/>
      <c r="AB535" s="23"/>
      <c r="AE535" s="3">
        <v>44986</v>
      </c>
      <c r="AF535">
        <v>1787.67</v>
      </c>
    </row>
    <row r="536" spans="27:32" x14ac:dyDescent="0.2">
      <c r="AA536" s="3"/>
      <c r="AB536" s="23"/>
      <c r="AE536" s="3">
        <v>44985</v>
      </c>
      <c r="AF536">
        <v>1780.33</v>
      </c>
    </row>
    <row r="537" spans="27:32" x14ac:dyDescent="0.2">
      <c r="AA537" s="3"/>
      <c r="AB537" s="23"/>
      <c r="AE537" s="3">
        <v>44984</v>
      </c>
      <c r="AF537">
        <v>1784.97</v>
      </c>
    </row>
    <row r="538" spans="27:32" x14ac:dyDescent="0.2">
      <c r="AA538" s="3"/>
      <c r="AB538" s="23"/>
      <c r="AE538" s="3">
        <v>44981</v>
      </c>
      <c r="AF538">
        <v>1772.66</v>
      </c>
    </row>
    <row r="539" spans="27:32" x14ac:dyDescent="0.2">
      <c r="AA539" s="3"/>
      <c r="AB539" s="23"/>
      <c r="AE539" s="3">
        <v>44980</v>
      </c>
      <c r="AF539">
        <v>1779.87</v>
      </c>
    </row>
    <row r="540" spans="27:32" x14ac:dyDescent="0.2">
      <c r="AA540" s="3"/>
      <c r="AB540" s="23"/>
      <c r="AE540" s="3">
        <v>44979</v>
      </c>
      <c r="AF540">
        <v>1775.96</v>
      </c>
    </row>
    <row r="541" spans="27:32" x14ac:dyDescent="0.2">
      <c r="AA541" s="3"/>
      <c r="AB541" s="23"/>
      <c r="AE541" s="3">
        <v>44978</v>
      </c>
      <c r="AF541">
        <v>1793.46</v>
      </c>
    </row>
    <row r="542" spans="27:32" x14ac:dyDescent="0.2">
      <c r="AA542" s="3"/>
      <c r="AB542" s="23"/>
      <c r="AE542" s="3">
        <v>44977</v>
      </c>
      <c r="AF542">
        <v>1791.57</v>
      </c>
    </row>
    <row r="543" spans="27:32" x14ac:dyDescent="0.2">
      <c r="AA543" s="3"/>
      <c r="AB543" s="23"/>
      <c r="AE543" s="3">
        <v>44974</v>
      </c>
      <c r="AF543">
        <v>1784.79</v>
      </c>
    </row>
    <row r="544" spans="27:32" x14ac:dyDescent="0.2">
      <c r="AA544" s="3"/>
      <c r="AB544" s="23"/>
      <c r="AE544" s="3">
        <v>44973</v>
      </c>
      <c r="AF544">
        <v>1783.12</v>
      </c>
    </row>
    <row r="545" spans="27:32" x14ac:dyDescent="0.2">
      <c r="AA545" s="3"/>
      <c r="AB545" s="23"/>
      <c r="AE545" s="3">
        <v>44972</v>
      </c>
      <c r="AF545">
        <v>1780.72</v>
      </c>
    </row>
    <row r="546" spans="27:32" x14ac:dyDescent="0.2">
      <c r="AA546" s="3"/>
      <c r="AB546" s="23"/>
      <c r="AE546" s="3">
        <v>44971</v>
      </c>
      <c r="AF546">
        <v>1776.53</v>
      </c>
    </row>
    <row r="547" spans="27:32" x14ac:dyDescent="0.2">
      <c r="AA547" s="3"/>
      <c r="AB547" s="23"/>
      <c r="AE547" s="3">
        <v>44970</v>
      </c>
      <c r="AF547">
        <v>1777.43</v>
      </c>
    </row>
    <row r="548" spans="27:32" x14ac:dyDescent="0.2">
      <c r="AA548" s="3"/>
      <c r="AB548" s="23"/>
      <c r="AE548" s="3">
        <v>44967</v>
      </c>
      <c r="AF548">
        <v>1765.63</v>
      </c>
    </row>
    <row r="549" spans="27:32" x14ac:dyDescent="0.2">
      <c r="AA549" s="3"/>
      <c r="AB549" s="23"/>
      <c r="AE549" s="3">
        <v>44966</v>
      </c>
      <c r="AF549">
        <v>1789.3</v>
      </c>
    </row>
    <row r="550" spans="27:32" x14ac:dyDescent="0.2">
      <c r="AA550" s="3"/>
      <c r="AB550" s="23"/>
      <c r="AE550" s="3">
        <v>44965</v>
      </c>
      <c r="AF550">
        <v>1775.03</v>
      </c>
    </row>
    <row r="551" spans="27:32" x14ac:dyDescent="0.2">
      <c r="AA551" s="3"/>
      <c r="AB551" s="23"/>
      <c r="AE551" s="3">
        <v>44964</v>
      </c>
      <c r="AF551">
        <v>1757.11</v>
      </c>
    </row>
    <row r="552" spans="27:32" x14ac:dyDescent="0.2">
      <c r="AA552" s="3"/>
      <c r="AB552" s="23"/>
      <c r="AE552" s="3">
        <v>44963</v>
      </c>
      <c r="AF552">
        <v>1758.43</v>
      </c>
    </row>
    <row r="553" spans="27:32" x14ac:dyDescent="0.2">
      <c r="AA553" s="3"/>
      <c r="AB553" s="23"/>
      <c r="AE553" s="3">
        <v>44960</v>
      </c>
      <c r="AF553">
        <v>1766.48</v>
      </c>
    </row>
    <row r="554" spans="27:32" x14ac:dyDescent="0.2">
      <c r="AA554" s="3"/>
      <c r="AB554" s="23"/>
      <c r="AE554" s="3">
        <v>44959</v>
      </c>
      <c r="AF554">
        <v>1750.61</v>
      </c>
    </row>
    <row r="555" spans="27:32" x14ac:dyDescent="0.2">
      <c r="AA555" s="3"/>
      <c r="AB555" s="23"/>
      <c r="AE555" s="3">
        <v>44958</v>
      </c>
      <c r="AF555">
        <v>1716.89</v>
      </c>
    </row>
    <row r="556" spans="27:32" x14ac:dyDescent="0.2">
      <c r="AA556" s="3"/>
      <c r="AB556" s="23"/>
      <c r="AE556" s="3">
        <v>44957</v>
      </c>
      <c r="AF556">
        <v>1698.42</v>
      </c>
    </row>
    <row r="557" spans="27:32" x14ac:dyDescent="0.2">
      <c r="AA557" s="3"/>
      <c r="AB557" s="23"/>
      <c r="AE557" s="3">
        <v>44956</v>
      </c>
      <c r="AF557">
        <v>1701.23</v>
      </c>
    </row>
    <row r="558" spans="27:32" x14ac:dyDescent="0.2">
      <c r="AA558" s="3"/>
      <c r="AB558" s="23"/>
      <c r="AE558" s="3">
        <v>44953</v>
      </c>
      <c r="AF558">
        <v>1691.13</v>
      </c>
    </row>
    <row r="559" spans="27:32" x14ac:dyDescent="0.2">
      <c r="AA559" s="3"/>
      <c r="AB559" s="23"/>
      <c r="AE559" s="3">
        <v>44952</v>
      </c>
      <c r="AF559">
        <v>1692.18</v>
      </c>
    </row>
    <row r="560" spans="27:32" x14ac:dyDescent="0.2">
      <c r="AA560" s="3"/>
      <c r="AB560" s="23"/>
      <c r="AE560" s="3">
        <v>44951</v>
      </c>
      <c r="AF560">
        <v>1681.24</v>
      </c>
    </row>
    <row r="561" spans="27:32" x14ac:dyDescent="0.2">
      <c r="AA561" s="3"/>
      <c r="AB561" s="23"/>
      <c r="AE561" s="3">
        <v>44950</v>
      </c>
      <c r="AF561">
        <v>1720.54</v>
      </c>
    </row>
    <row r="562" spans="27:32" x14ac:dyDescent="0.2">
      <c r="AA562" s="3"/>
      <c r="AB562" s="23"/>
      <c r="AE562" s="3">
        <v>44949</v>
      </c>
      <c r="AF562">
        <v>1729.49</v>
      </c>
    </row>
    <row r="563" spans="27:32" x14ac:dyDescent="0.2">
      <c r="AA563" s="3"/>
      <c r="AB563" s="23"/>
      <c r="AE563" s="3">
        <v>44946</v>
      </c>
      <c r="AF563">
        <v>1722.86</v>
      </c>
    </row>
    <row r="564" spans="27:32" x14ac:dyDescent="0.2">
      <c r="AA564" s="3"/>
      <c r="AB564" s="23"/>
      <c r="AE564" s="3">
        <v>44945</v>
      </c>
      <c r="AF564">
        <v>1723.69</v>
      </c>
    </row>
    <row r="565" spans="27:32" x14ac:dyDescent="0.2">
      <c r="AA565" s="3"/>
      <c r="AB565" s="23"/>
      <c r="AE565" s="3">
        <v>44944</v>
      </c>
      <c r="AF565">
        <v>1758.16</v>
      </c>
    </row>
    <row r="566" spans="27:32" x14ac:dyDescent="0.2">
      <c r="AA566" s="3"/>
      <c r="AB566" s="23"/>
      <c r="AE566" s="3">
        <v>44943</v>
      </c>
      <c r="AF566">
        <v>1754.71</v>
      </c>
    </row>
    <row r="567" spans="27:32" x14ac:dyDescent="0.2">
      <c r="AA567" s="3"/>
      <c r="AB567" s="23"/>
      <c r="AE567" s="3">
        <v>44942</v>
      </c>
      <c r="AF567">
        <v>1753.4</v>
      </c>
    </row>
    <row r="568" spans="27:32" x14ac:dyDescent="0.2">
      <c r="AA568" s="3"/>
      <c r="AB568" s="23"/>
      <c r="AE568" s="3">
        <v>44939</v>
      </c>
      <c r="AF568">
        <v>1721.57</v>
      </c>
    </row>
    <row r="569" spans="27:32" x14ac:dyDescent="0.2">
      <c r="AA569" s="3"/>
      <c r="AB569" s="23"/>
      <c r="AE569" s="3">
        <v>44938</v>
      </c>
      <c r="AF569">
        <v>1722.96</v>
      </c>
    </row>
    <row r="570" spans="27:32" x14ac:dyDescent="0.2">
      <c r="AA570" s="3"/>
      <c r="AB570" s="23"/>
      <c r="AE570" s="3">
        <v>44937</v>
      </c>
      <c r="AF570">
        <v>1717.19</v>
      </c>
    </row>
    <row r="571" spans="27:32" x14ac:dyDescent="0.2">
      <c r="AA571" s="3"/>
      <c r="AB571" s="23"/>
      <c r="AE571" s="3">
        <v>44936</v>
      </c>
      <c r="AF571">
        <v>1715.03</v>
      </c>
    </row>
    <row r="572" spans="27:32" x14ac:dyDescent="0.2">
      <c r="AA572" s="3"/>
      <c r="AB572" s="23"/>
      <c r="AE572" s="3">
        <v>44935</v>
      </c>
      <c r="AF572">
        <v>1740.57</v>
      </c>
    </row>
    <row r="573" spans="27:32" x14ac:dyDescent="0.2">
      <c r="AA573" s="3"/>
      <c r="AB573" s="23"/>
      <c r="AE573" s="3">
        <v>44932</v>
      </c>
      <c r="AF573">
        <v>1725.94</v>
      </c>
    </row>
    <row r="574" spans="27:32" x14ac:dyDescent="0.2">
      <c r="AA574" s="3"/>
      <c r="AB574" s="23"/>
      <c r="AE574" s="3">
        <v>44931</v>
      </c>
      <c r="AF574">
        <v>1717.85</v>
      </c>
    </row>
    <row r="575" spans="27:32" x14ac:dyDescent="0.2">
      <c r="AA575" s="3"/>
      <c r="AB575" s="23"/>
      <c r="AE575" s="3">
        <v>44930</v>
      </c>
      <c r="AF575">
        <v>1728.6</v>
      </c>
    </row>
    <row r="576" spans="27:32" x14ac:dyDescent="0.2">
      <c r="AA576" s="3"/>
      <c r="AB576" s="23"/>
      <c r="AE576" s="3">
        <v>44929</v>
      </c>
      <c r="AF576">
        <v>1742.48</v>
      </c>
    </row>
    <row r="577" spans="27:32" x14ac:dyDescent="0.2">
      <c r="AA577" s="3"/>
      <c r="AB577" s="23"/>
      <c r="AE577" s="3">
        <v>44928</v>
      </c>
      <c r="AF577">
        <v>1731.15</v>
      </c>
    </row>
    <row r="578" spans="27:32" x14ac:dyDescent="0.2">
      <c r="AA578" s="3"/>
      <c r="AB578" s="23"/>
      <c r="AE578" s="3">
        <v>44925</v>
      </c>
      <c r="AF578">
        <v>1700.56</v>
      </c>
    </row>
    <row r="579" spans="27:32" x14ac:dyDescent="0.2">
      <c r="AA579" s="3"/>
      <c r="AB579" s="23"/>
      <c r="AE579" s="3">
        <v>44924</v>
      </c>
      <c r="AF579">
        <v>1712.84</v>
      </c>
    </row>
    <row r="580" spans="27:32" x14ac:dyDescent="0.2">
      <c r="AA580" s="3"/>
      <c r="AB580" s="23"/>
      <c r="AE580" s="3">
        <v>44923</v>
      </c>
      <c r="AF580">
        <v>1695.21</v>
      </c>
    </row>
    <row r="581" spans="27:32" x14ac:dyDescent="0.2">
      <c r="AA581" s="3"/>
      <c r="AB581" s="23"/>
      <c r="AE581" s="3">
        <v>44922</v>
      </c>
      <c r="AF581">
        <v>1701.63</v>
      </c>
    </row>
    <row r="582" spans="27:32" x14ac:dyDescent="0.2">
      <c r="AA582" s="3"/>
      <c r="AB582" s="23"/>
      <c r="AE582" s="3">
        <v>44918</v>
      </c>
      <c r="AF582">
        <v>1695.2</v>
      </c>
    </row>
    <row r="583" spans="27:32" x14ac:dyDescent="0.2">
      <c r="AA583" s="3"/>
      <c r="AB583" s="23"/>
      <c r="AE583" s="3">
        <v>44917</v>
      </c>
      <c r="AF583">
        <v>1684.63</v>
      </c>
    </row>
    <row r="584" spans="27:32" x14ac:dyDescent="0.2">
      <c r="AA584" s="3"/>
      <c r="AB584" s="23"/>
      <c r="AE584" s="3">
        <v>44916</v>
      </c>
      <c r="AF584">
        <v>1686.83</v>
      </c>
    </row>
    <row r="585" spans="27:32" x14ac:dyDescent="0.2">
      <c r="AA585" s="3"/>
      <c r="AB585" s="23"/>
      <c r="AE585" s="3">
        <v>44915</v>
      </c>
      <c r="AF585">
        <v>1671.16</v>
      </c>
    </row>
    <row r="586" spans="27:32" x14ac:dyDescent="0.2">
      <c r="AA586" s="3"/>
      <c r="AB586" s="23"/>
      <c r="AE586" s="3">
        <v>44914</v>
      </c>
      <c r="AF586">
        <v>1678.9</v>
      </c>
    </row>
    <row r="587" spans="27:32" x14ac:dyDescent="0.2">
      <c r="AA587" s="3"/>
      <c r="AB587" s="23"/>
      <c r="AE587" s="3">
        <v>44911</v>
      </c>
      <c r="AF587">
        <v>1676.26</v>
      </c>
    </row>
    <row r="588" spans="27:32" x14ac:dyDescent="0.2">
      <c r="AA588" s="3"/>
      <c r="AB588" s="23"/>
      <c r="AE588" s="3">
        <v>44910</v>
      </c>
      <c r="AF588">
        <v>1706.58</v>
      </c>
    </row>
    <row r="589" spans="27:32" x14ac:dyDescent="0.2">
      <c r="AA589" s="3"/>
      <c r="AB589" s="23"/>
      <c r="AE589" s="3">
        <v>44909</v>
      </c>
      <c r="AF589">
        <v>1735.36</v>
      </c>
    </row>
    <row r="590" spans="27:32" x14ac:dyDescent="0.2">
      <c r="AA590" s="3"/>
      <c r="AB590" s="23"/>
      <c r="AE590" s="3">
        <v>44908</v>
      </c>
      <c r="AF590">
        <v>1727.16</v>
      </c>
    </row>
    <row r="591" spans="27:32" x14ac:dyDescent="0.2">
      <c r="AA591" s="3"/>
      <c r="AB591" s="23"/>
      <c r="AE591" s="3">
        <v>44907</v>
      </c>
      <c r="AF591">
        <v>1704.08</v>
      </c>
    </row>
    <row r="592" spans="27:32" x14ac:dyDescent="0.2">
      <c r="AA592" s="3"/>
      <c r="AB592" s="23"/>
      <c r="AE592" s="3">
        <v>44904</v>
      </c>
      <c r="AF592">
        <v>1720.07</v>
      </c>
    </row>
    <row r="593" spans="27:32" x14ac:dyDescent="0.2">
      <c r="AA593" s="3"/>
      <c r="AB593" s="23"/>
      <c r="AE593" s="3">
        <v>44903</v>
      </c>
      <c r="AF593">
        <v>1694.71</v>
      </c>
    </row>
    <row r="594" spans="27:32" x14ac:dyDescent="0.2">
      <c r="AA594" s="3"/>
      <c r="AB594" s="23"/>
      <c r="AE594" s="3">
        <v>44902</v>
      </c>
      <c r="AF594">
        <v>1698</v>
      </c>
    </row>
    <row r="595" spans="27:32" x14ac:dyDescent="0.2">
      <c r="AA595" s="3"/>
      <c r="AB595" s="23"/>
      <c r="AE595" s="3">
        <v>44901</v>
      </c>
      <c r="AF595">
        <v>1703.7</v>
      </c>
    </row>
    <row r="596" spans="27:32" x14ac:dyDescent="0.2">
      <c r="AA596" s="3"/>
      <c r="AB596" s="23"/>
      <c r="AE596" s="3">
        <v>44900</v>
      </c>
      <c r="AF596">
        <v>1718.97</v>
      </c>
    </row>
    <row r="597" spans="27:32" x14ac:dyDescent="0.2">
      <c r="AA597" s="3"/>
      <c r="AB597" s="23"/>
      <c r="AE597" s="3">
        <v>44897</v>
      </c>
      <c r="AF597">
        <v>1717.88</v>
      </c>
    </row>
    <row r="598" spans="27:32" x14ac:dyDescent="0.2">
      <c r="AA598" s="3"/>
      <c r="AB598" s="23"/>
      <c r="AE598" s="3">
        <v>44896</v>
      </c>
      <c r="AF598">
        <v>1713.25</v>
      </c>
    </row>
    <row r="599" spans="27:32" x14ac:dyDescent="0.2">
      <c r="AA599" s="3"/>
      <c r="AB599" s="23"/>
      <c r="AE599" s="3">
        <v>44895</v>
      </c>
      <c r="AF599">
        <v>1686.61</v>
      </c>
    </row>
    <row r="600" spans="27:32" x14ac:dyDescent="0.2">
      <c r="AA600" s="3"/>
      <c r="AB600" s="23"/>
      <c r="AE600" s="3">
        <v>44894</v>
      </c>
      <c r="AF600">
        <v>1672.09</v>
      </c>
    </row>
    <row r="601" spans="27:32" x14ac:dyDescent="0.2">
      <c r="AA601" s="3"/>
      <c r="AB601" s="23"/>
      <c r="AE601" s="3">
        <v>44893</v>
      </c>
      <c r="AF601">
        <v>1673.42</v>
      </c>
    </row>
    <row r="602" spans="27:32" x14ac:dyDescent="0.2">
      <c r="AA602" s="3"/>
      <c r="AB602" s="23"/>
      <c r="AE602" s="3">
        <v>44890</v>
      </c>
      <c r="AF602">
        <v>1678.31</v>
      </c>
    </row>
    <row r="603" spans="27:32" x14ac:dyDescent="0.2">
      <c r="AA603" s="3"/>
      <c r="AB603" s="23"/>
      <c r="AE603" s="3">
        <v>44889</v>
      </c>
      <c r="AF603">
        <v>1677.1</v>
      </c>
    </row>
    <row r="604" spans="27:32" x14ac:dyDescent="0.2">
      <c r="AA604" s="3"/>
      <c r="AB604" s="23"/>
      <c r="AE604" s="3">
        <v>44888</v>
      </c>
      <c r="AF604">
        <v>1658.51</v>
      </c>
    </row>
    <row r="605" spans="27:32" x14ac:dyDescent="0.2">
      <c r="AA605" s="3"/>
      <c r="AB605" s="23"/>
      <c r="AE605" s="3">
        <v>44887</v>
      </c>
      <c r="AF605">
        <v>1651.2</v>
      </c>
    </row>
    <row r="606" spans="27:32" x14ac:dyDescent="0.2">
      <c r="AA606" s="3"/>
      <c r="AB606" s="23"/>
      <c r="AE606" s="3">
        <v>44886</v>
      </c>
      <c r="AF606">
        <v>1642.57</v>
      </c>
    </row>
    <row r="607" spans="27:32" x14ac:dyDescent="0.2">
      <c r="AA607" s="3"/>
      <c r="AB607" s="23"/>
      <c r="AE607" s="3">
        <v>44883</v>
      </c>
      <c r="AF607">
        <v>1647.2</v>
      </c>
    </row>
    <row r="608" spans="27:32" x14ac:dyDescent="0.2">
      <c r="AA608" s="3"/>
      <c r="AB608" s="23"/>
      <c r="AE608" s="3">
        <v>44882</v>
      </c>
      <c r="AF608">
        <v>1639.75</v>
      </c>
    </row>
    <row r="609" spans="27:32" x14ac:dyDescent="0.2">
      <c r="AA609" s="3"/>
      <c r="AB609" s="23"/>
      <c r="AE609" s="3">
        <v>44881</v>
      </c>
      <c r="AF609">
        <v>1642</v>
      </c>
    </row>
    <row r="610" spans="27:32" x14ac:dyDescent="0.2">
      <c r="AA610" s="3"/>
      <c r="AB610" s="23"/>
      <c r="AE610" s="3">
        <v>44880</v>
      </c>
      <c r="AF610">
        <v>1667.31</v>
      </c>
    </row>
    <row r="611" spans="27:32" x14ac:dyDescent="0.2">
      <c r="AA611" s="3"/>
      <c r="AB611" s="23"/>
      <c r="AE611" s="3">
        <v>44879</v>
      </c>
      <c r="AF611">
        <v>1667.41</v>
      </c>
    </row>
    <row r="612" spans="27:32" x14ac:dyDescent="0.2">
      <c r="AA612" s="3"/>
      <c r="AB612" s="23"/>
      <c r="AE612" s="3">
        <v>44876</v>
      </c>
      <c r="AF612">
        <v>1667.21</v>
      </c>
    </row>
    <row r="613" spans="27:32" x14ac:dyDescent="0.2">
      <c r="AA613" s="3"/>
      <c r="AB613" s="23"/>
      <c r="AE613" s="3">
        <v>44875</v>
      </c>
      <c r="AF613">
        <v>1689.65</v>
      </c>
    </row>
    <row r="614" spans="27:32" x14ac:dyDescent="0.2">
      <c r="AA614" s="3"/>
      <c r="AB614" s="23"/>
      <c r="AE614" s="3">
        <v>44874</v>
      </c>
      <c r="AF614">
        <v>1627.5</v>
      </c>
    </row>
    <row r="615" spans="27:32" x14ac:dyDescent="0.2">
      <c r="AA615" s="3"/>
      <c r="AB615" s="23"/>
      <c r="AE615" s="3">
        <v>44873</v>
      </c>
      <c r="AF615">
        <v>1621.8</v>
      </c>
    </row>
    <row r="616" spans="27:32" x14ac:dyDescent="0.2">
      <c r="AA616" s="3"/>
      <c r="AB616" s="23"/>
      <c r="AE616" s="3">
        <v>44872</v>
      </c>
      <c r="AF616">
        <v>1604.96</v>
      </c>
    </row>
    <row r="617" spans="27:32" x14ac:dyDescent="0.2">
      <c r="AA617" s="3"/>
      <c r="AB617" s="23"/>
      <c r="AE617" s="3">
        <v>44869</v>
      </c>
      <c r="AF617">
        <v>1581.65</v>
      </c>
    </row>
    <row r="618" spans="27:32" x14ac:dyDescent="0.2">
      <c r="AA618" s="3"/>
      <c r="AB618" s="23"/>
      <c r="AE618" s="3">
        <v>44868</v>
      </c>
      <c r="AF618">
        <v>1577.02</v>
      </c>
    </row>
    <row r="619" spans="27:32" x14ac:dyDescent="0.2">
      <c r="AA619" s="3"/>
      <c r="AB619" s="23"/>
      <c r="AE619" s="3">
        <v>44867</v>
      </c>
      <c r="AF619">
        <v>1583.49</v>
      </c>
    </row>
    <row r="620" spans="27:32" x14ac:dyDescent="0.2">
      <c r="AA620" s="3"/>
      <c r="AB620" s="23"/>
      <c r="AE620" s="3">
        <v>44866</v>
      </c>
      <c r="AF620">
        <v>1573.03</v>
      </c>
    </row>
    <row r="621" spans="27:32" x14ac:dyDescent="0.2">
      <c r="AA621" s="3"/>
      <c r="AB621" s="23"/>
      <c r="AE621" s="3">
        <v>44865</v>
      </c>
      <c r="AF621">
        <v>1574.67</v>
      </c>
    </row>
    <row r="622" spans="27:32" x14ac:dyDescent="0.2">
      <c r="AA622" s="3"/>
      <c r="AB622" s="23"/>
      <c r="AE622" s="3">
        <v>44862</v>
      </c>
      <c r="AF622">
        <v>1566.73</v>
      </c>
    </row>
    <row r="623" spans="27:32" x14ac:dyDescent="0.2">
      <c r="AA623" s="3"/>
      <c r="AB623" s="23"/>
      <c r="AE623" s="3">
        <v>44861</v>
      </c>
      <c r="AF623">
        <v>1565.07</v>
      </c>
    </row>
    <row r="624" spans="27:32" x14ac:dyDescent="0.2">
      <c r="AA624" s="3"/>
      <c r="AB624" s="23"/>
      <c r="AE624" s="3">
        <v>44860</v>
      </c>
      <c r="AF624">
        <v>1569.76</v>
      </c>
    </row>
    <row r="625" spans="27:32" x14ac:dyDescent="0.2">
      <c r="AA625" s="3"/>
      <c r="AB625" s="23"/>
      <c r="AE625" s="3">
        <v>44859</v>
      </c>
      <c r="AF625">
        <v>1548.29</v>
      </c>
    </row>
    <row r="626" spans="27:32" x14ac:dyDescent="0.2">
      <c r="AA626" s="3"/>
      <c r="AB626" s="23"/>
      <c r="AE626" s="3">
        <v>44858</v>
      </c>
      <c r="AF626">
        <v>1522.47</v>
      </c>
    </row>
    <row r="627" spans="27:32" x14ac:dyDescent="0.2">
      <c r="AA627" s="3"/>
      <c r="AB627" s="23"/>
      <c r="AE627" s="3">
        <v>44855</v>
      </c>
      <c r="AF627">
        <v>1490.34</v>
      </c>
    </row>
    <row r="628" spans="27:32" x14ac:dyDescent="0.2">
      <c r="AA628" s="3"/>
      <c r="AB628" s="23"/>
      <c r="AE628" s="3">
        <v>44854</v>
      </c>
      <c r="AF628">
        <v>1507.49</v>
      </c>
    </row>
    <row r="629" spans="27:32" x14ac:dyDescent="0.2">
      <c r="AA629" s="3"/>
      <c r="AB629" s="23"/>
      <c r="AE629" s="3">
        <v>44853</v>
      </c>
      <c r="AF629">
        <v>1508.06</v>
      </c>
    </row>
    <row r="630" spans="27:32" x14ac:dyDescent="0.2">
      <c r="AA630" s="3"/>
      <c r="AB630" s="23"/>
      <c r="AE630" s="3">
        <v>44852</v>
      </c>
      <c r="AF630">
        <v>1536.82</v>
      </c>
    </row>
    <row r="631" spans="27:32" x14ac:dyDescent="0.2">
      <c r="AA631" s="3"/>
      <c r="AB631" s="23"/>
      <c r="AE631" s="3">
        <v>44851</v>
      </c>
      <c r="AF631">
        <v>1505.96</v>
      </c>
    </row>
    <row r="632" spans="27:32" x14ac:dyDescent="0.2">
      <c r="AA632" s="3"/>
      <c r="AB632" s="23"/>
      <c r="AE632" s="3">
        <v>44848</v>
      </c>
      <c r="AF632">
        <v>1493.37</v>
      </c>
    </row>
    <row r="633" spans="27:32" x14ac:dyDescent="0.2">
      <c r="AA633" s="3"/>
      <c r="AB633" s="23"/>
      <c r="AE633" s="3">
        <v>44847</v>
      </c>
      <c r="AF633">
        <v>1455.49</v>
      </c>
    </row>
    <row r="634" spans="27:32" x14ac:dyDescent="0.2">
      <c r="AA634" s="3"/>
      <c r="AB634" s="23"/>
      <c r="AE634" s="3">
        <v>44846</v>
      </c>
      <c r="AF634">
        <v>1466.15</v>
      </c>
    </row>
    <row r="635" spans="27:32" x14ac:dyDescent="0.2">
      <c r="AA635" s="3"/>
      <c r="AB635" s="23"/>
      <c r="AE635" s="3">
        <v>44845</v>
      </c>
      <c r="AF635">
        <v>1450.04</v>
      </c>
    </row>
    <row r="636" spans="27:32" x14ac:dyDescent="0.2">
      <c r="AA636" s="3"/>
      <c r="AB636" s="23"/>
      <c r="AE636" s="3">
        <v>44844</v>
      </c>
      <c r="AF636">
        <v>1453.46</v>
      </c>
    </row>
    <row r="637" spans="27:32" x14ac:dyDescent="0.2">
      <c r="AA637" s="3"/>
      <c r="AB637" s="23"/>
      <c r="AE637" s="3">
        <v>44841</v>
      </c>
      <c r="AF637">
        <v>1455.46</v>
      </c>
    </row>
    <row r="638" spans="27:32" x14ac:dyDescent="0.2">
      <c r="AA638" s="3"/>
      <c r="AB638" s="23"/>
      <c r="AE638" s="3">
        <v>44840</v>
      </c>
      <c r="AF638">
        <v>1487.4</v>
      </c>
    </row>
    <row r="639" spans="27:32" x14ac:dyDescent="0.2">
      <c r="AA639" s="3"/>
      <c r="AB639" s="23"/>
      <c r="AE639" s="3">
        <v>44839</v>
      </c>
      <c r="AF639">
        <v>1477.26</v>
      </c>
    </row>
    <row r="640" spans="27:32" x14ac:dyDescent="0.2">
      <c r="AA640" s="3"/>
      <c r="AB640" s="23"/>
      <c r="AE640" s="3">
        <v>44838</v>
      </c>
      <c r="AF640">
        <v>1503.92</v>
      </c>
    </row>
    <row r="641" spans="27:32" x14ac:dyDescent="0.2">
      <c r="AA641" s="3"/>
      <c r="AB641" s="23"/>
      <c r="AE641" s="3">
        <v>44837</v>
      </c>
      <c r="AF641">
        <v>1461.43</v>
      </c>
    </row>
    <row r="642" spans="27:32" x14ac:dyDescent="0.2">
      <c r="AA642" s="3"/>
      <c r="AB642" s="23"/>
      <c r="AE642" s="3">
        <v>44834</v>
      </c>
      <c r="AF642">
        <v>1439.09</v>
      </c>
    </row>
    <row r="643" spans="27:32" x14ac:dyDescent="0.2">
      <c r="AA643" s="3"/>
      <c r="AB643" s="23"/>
      <c r="AE643" s="3">
        <v>44833</v>
      </c>
      <c r="AF643">
        <v>1419.34</v>
      </c>
    </row>
    <row r="644" spans="27:32" x14ac:dyDescent="0.2">
      <c r="AA644" s="3"/>
      <c r="AB644" s="23"/>
      <c r="AE644" s="3">
        <v>44832</v>
      </c>
      <c r="AF644">
        <v>1461.33</v>
      </c>
    </row>
    <row r="645" spans="27:32" x14ac:dyDescent="0.2">
      <c r="AA645" s="3"/>
      <c r="AB645" s="23"/>
      <c r="AE645" s="3">
        <v>44831</v>
      </c>
      <c r="AF645">
        <v>1463.78</v>
      </c>
    </row>
    <row r="646" spans="27:32" x14ac:dyDescent="0.2">
      <c r="AA646" s="3"/>
      <c r="AB646" s="23"/>
      <c r="AE646" s="3">
        <v>44830</v>
      </c>
      <c r="AF646">
        <v>1458.7</v>
      </c>
    </row>
    <row r="647" spans="27:32" x14ac:dyDescent="0.2">
      <c r="AA647" s="3"/>
      <c r="AB647" s="23"/>
      <c r="AE647" s="3">
        <v>44827</v>
      </c>
      <c r="AF647">
        <v>1457.66</v>
      </c>
    </row>
    <row r="648" spans="27:32" x14ac:dyDescent="0.2">
      <c r="AA648" s="3"/>
      <c r="AB648" s="23"/>
      <c r="AE648" s="3">
        <v>44826</v>
      </c>
      <c r="AF648">
        <v>1483.27</v>
      </c>
    </row>
    <row r="649" spans="27:32" x14ac:dyDescent="0.2">
      <c r="AA649" s="3"/>
      <c r="AB649" s="23"/>
      <c r="AE649" s="3">
        <v>44825</v>
      </c>
      <c r="AF649">
        <v>1523.67</v>
      </c>
    </row>
    <row r="650" spans="27:32" x14ac:dyDescent="0.2">
      <c r="AA650" s="3"/>
      <c r="AB650" s="23"/>
      <c r="AE650" s="3">
        <v>44824</v>
      </c>
      <c r="AF650">
        <v>1506.33</v>
      </c>
    </row>
    <row r="651" spans="27:32" x14ac:dyDescent="0.2">
      <c r="AA651" s="3"/>
      <c r="AB651" s="23"/>
      <c r="AE651" s="3">
        <v>44823</v>
      </c>
      <c r="AF651">
        <v>1534.19</v>
      </c>
    </row>
    <row r="652" spans="27:32" x14ac:dyDescent="0.2">
      <c r="AA652" s="3"/>
      <c r="AB652" s="23"/>
      <c r="AE652" s="3">
        <v>44820</v>
      </c>
      <c r="AF652">
        <v>1545.21</v>
      </c>
    </row>
    <row r="653" spans="27:32" x14ac:dyDescent="0.2">
      <c r="AA653" s="3"/>
      <c r="AB653" s="23"/>
      <c r="AE653" s="3">
        <v>44819</v>
      </c>
      <c r="AF653">
        <v>1586.84</v>
      </c>
    </row>
    <row r="654" spans="27:32" x14ac:dyDescent="0.2">
      <c r="AA654" s="3"/>
      <c r="AB654" s="23"/>
      <c r="AE654" s="3">
        <v>44818</v>
      </c>
      <c r="AF654">
        <v>1617.56</v>
      </c>
    </row>
    <row r="655" spans="27:32" x14ac:dyDescent="0.2">
      <c r="AA655" s="3"/>
      <c r="AB655" s="23"/>
      <c r="AE655" s="3">
        <v>44817</v>
      </c>
      <c r="AF655">
        <v>1628</v>
      </c>
    </row>
    <row r="656" spans="27:32" x14ac:dyDescent="0.2">
      <c r="AA656" s="3"/>
      <c r="AB656" s="23"/>
      <c r="AE656" s="3">
        <v>44816</v>
      </c>
      <c r="AF656">
        <v>1663.84</v>
      </c>
    </row>
    <row r="657" spans="27:32" x14ac:dyDescent="0.2">
      <c r="AA657" s="3"/>
      <c r="AB657" s="23"/>
      <c r="AE657" s="3">
        <v>44813</v>
      </c>
      <c r="AF657">
        <v>1649.62</v>
      </c>
    </row>
    <row r="658" spans="27:32" x14ac:dyDescent="0.2">
      <c r="AA658" s="3"/>
      <c r="AB658" s="23"/>
      <c r="AE658" s="3">
        <v>44812</v>
      </c>
      <c r="AF658">
        <v>1628.51</v>
      </c>
    </row>
    <row r="659" spans="27:32" x14ac:dyDescent="0.2">
      <c r="AA659" s="3"/>
      <c r="AB659" s="23"/>
      <c r="AE659" s="3">
        <v>44811</v>
      </c>
      <c r="AF659">
        <v>1607.92</v>
      </c>
    </row>
    <row r="660" spans="27:32" x14ac:dyDescent="0.2">
      <c r="AA660" s="3"/>
      <c r="AB660" s="23"/>
      <c r="AE660" s="3">
        <v>44810</v>
      </c>
      <c r="AF660">
        <v>1609.07</v>
      </c>
    </row>
    <row r="661" spans="27:32" x14ac:dyDescent="0.2">
      <c r="AA661" s="3"/>
      <c r="AB661" s="23"/>
      <c r="AE661" s="3">
        <v>44809</v>
      </c>
      <c r="AF661">
        <v>1620.42</v>
      </c>
    </row>
    <row r="662" spans="27:32" x14ac:dyDescent="0.2">
      <c r="AA662" s="3"/>
      <c r="AB662" s="23"/>
      <c r="AE662" s="3">
        <v>44806</v>
      </c>
      <c r="AF662">
        <v>1630.74</v>
      </c>
    </row>
    <row r="663" spans="27:32" x14ac:dyDescent="0.2">
      <c r="AA663" s="3"/>
      <c r="AB663" s="23"/>
      <c r="AE663" s="3">
        <v>44805</v>
      </c>
      <c r="AF663">
        <v>1598.03</v>
      </c>
    </row>
    <row r="664" spans="27:32" x14ac:dyDescent="0.2">
      <c r="AA664" s="3"/>
      <c r="AB664" s="23"/>
      <c r="AE664" s="3">
        <v>44804</v>
      </c>
      <c r="AF664">
        <v>1652.65</v>
      </c>
    </row>
    <row r="665" spans="27:32" x14ac:dyDescent="0.2">
      <c r="AA665" s="3"/>
      <c r="AB665" s="23"/>
      <c r="AE665" s="3">
        <v>44803</v>
      </c>
      <c r="AF665">
        <v>1655.85</v>
      </c>
    </row>
    <row r="666" spans="27:32" x14ac:dyDescent="0.2">
      <c r="AA666" s="3"/>
      <c r="AB666" s="23"/>
      <c r="AE666" s="3">
        <v>44802</v>
      </c>
      <c r="AF666">
        <v>1651.92</v>
      </c>
    </row>
    <row r="667" spans="27:32" x14ac:dyDescent="0.2">
      <c r="AA667" s="3"/>
      <c r="AB667" s="23"/>
      <c r="AE667" s="3">
        <v>44799</v>
      </c>
      <c r="AF667">
        <v>1694.49</v>
      </c>
    </row>
    <row r="668" spans="27:32" x14ac:dyDescent="0.2">
      <c r="AA668" s="3"/>
      <c r="AB668" s="23"/>
      <c r="AE668" s="3">
        <v>44798</v>
      </c>
      <c r="AF668">
        <v>1726.69</v>
      </c>
    </row>
    <row r="669" spans="27:32" x14ac:dyDescent="0.2">
      <c r="AA669" s="3"/>
      <c r="AB669" s="23"/>
      <c r="AE669" s="3">
        <v>44797</v>
      </c>
      <c r="AF669">
        <v>1714.5</v>
      </c>
    </row>
    <row r="670" spans="27:32" x14ac:dyDescent="0.2">
      <c r="AA670" s="3"/>
      <c r="AB670" s="23"/>
      <c r="AE670" s="3">
        <v>44796</v>
      </c>
      <c r="AF670">
        <v>1694.05</v>
      </c>
    </row>
    <row r="671" spans="27:32" x14ac:dyDescent="0.2">
      <c r="AA671" s="3"/>
      <c r="AB671" s="23"/>
      <c r="AE671" s="3">
        <v>44795</v>
      </c>
      <c r="AF671">
        <v>1716.02</v>
      </c>
    </row>
    <row r="672" spans="27:32" x14ac:dyDescent="0.2">
      <c r="AA672" s="3"/>
      <c r="AB672" s="23"/>
      <c r="AE672" s="3">
        <v>44792</v>
      </c>
      <c r="AF672">
        <v>1739.23</v>
      </c>
    </row>
    <row r="673" spans="27:32" x14ac:dyDescent="0.2">
      <c r="AA673" s="3"/>
      <c r="AB673" s="23"/>
      <c r="AE673" s="3">
        <v>44791</v>
      </c>
      <c r="AF673">
        <v>1725.76</v>
      </c>
    </row>
    <row r="674" spans="27:32" x14ac:dyDescent="0.2">
      <c r="AA674" s="3"/>
      <c r="AB674" s="23"/>
      <c r="AE674" s="3">
        <v>44790</v>
      </c>
      <c r="AF674">
        <v>1742.59</v>
      </c>
    </row>
    <row r="675" spans="27:32" x14ac:dyDescent="0.2">
      <c r="AA675" s="3"/>
      <c r="AB675" s="23"/>
      <c r="AE675" s="3">
        <v>44789</v>
      </c>
      <c r="AF675">
        <v>1736.32</v>
      </c>
    </row>
    <row r="676" spans="27:32" x14ac:dyDescent="0.2">
      <c r="AA676" s="3"/>
      <c r="AB676" s="23"/>
      <c r="AE676" s="3">
        <v>44788</v>
      </c>
      <c r="AF676">
        <v>1749.63</v>
      </c>
    </row>
    <row r="677" spans="27:32" x14ac:dyDescent="0.2">
      <c r="AA677" s="3"/>
      <c r="AB677" s="23"/>
      <c r="AE677" s="3">
        <v>44785</v>
      </c>
      <c r="AF677">
        <v>1733.11</v>
      </c>
    </row>
    <row r="678" spans="27:32" x14ac:dyDescent="0.2">
      <c r="AA678" s="3"/>
      <c r="AB678" s="23"/>
      <c r="AE678" s="3">
        <v>44784</v>
      </c>
      <c r="AF678">
        <v>1770.85</v>
      </c>
    </row>
    <row r="679" spans="27:32" x14ac:dyDescent="0.2">
      <c r="AA679" s="3"/>
      <c r="AB679" s="23"/>
      <c r="AE679" s="3">
        <v>44783</v>
      </c>
      <c r="AF679">
        <v>1759.5</v>
      </c>
    </row>
    <row r="680" spans="27:32" x14ac:dyDescent="0.2">
      <c r="AA680" s="3"/>
      <c r="AB680" s="23"/>
      <c r="AE680" s="3">
        <v>44782</v>
      </c>
      <c r="AF680">
        <v>1716.86</v>
      </c>
    </row>
    <row r="681" spans="27:32" x14ac:dyDescent="0.2">
      <c r="AA681" s="3"/>
      <c r="AB681" s="23"/>
      <c r="AE681" s="3">
        <v>44781</v>
      </c>
      <c r="AF681">
        <v>1726.6</v>
      </c>
    </row>
    <row r="682" spans="27:32" x14ac:dyDescent="0.2">
      <c r="AA682" s="3"/>
      <c r="AB682" s="23"/>
      <c r="AE682" s="3">
        <v>44778</v>
      </c>
      <c r="AF682">
        <v>1732.27</v>
      </c>
    </row>
    <row r="683" spans="27:32" x14ac:dyDescent="0.2">
      <c r="AA683" s="3"/>
      <c r="AB683" s="23"/>
      <c r="AE683" s="3">
        <v>44777</v>
      </c>
      <c r="AF683">
        <v>1769.14</v>
      </c>
    </row>
    <row r="684" spans="27:32" x14ac:dyDescent="0.2">
      <c r="AA684" s="3"/>
      <c r="AB684" s="23"/>
      <c r="AE684" s="3">
        <v>44776</v>
      </c>
      <c r="AF684">
        <v>1743.04</v>
      </c>
    </row>
    <row r="685" spans="27:32" x14ac:dyDescent="0.2">
      <c r="AA685" s="3"/>
      <c r="AB685" s="23"/>
      <c r="AE685" s="3">
        <v>44775</v>
      </c>
      <c r="AF685">
        <v>1764.8</v>
      </c>
    </row>
    <row r="686" spans="27:32" x14ac:dyDescent="0.2">
      <c r="AA686" s="3"/>
      <c r="AB686" s="23"/>
      <c r="AE686" s="3">
        <v>44774</v>
      </c>
      <c r="AF686">
        <v>1766.32</v>
      </c>
    </row>
    <row r="687" spans="27:32" x14ac:dyDescent="0.2">
      <c r="AA687" s="3"/>
      <c r="AB687" s="23"/>
      <c r="AE687" s="3">
        <v>44771</v>
      </c>
      <c r="AF687">
        <v>1770.61</v>
      </c>
    </row>
    <row r="688" spans="27:32" x14ac:dyDescent="0.2">
      <c r="AA688" s="3"/>
      <c r="AB688" s="23"/>
      <c r="AE688" s="3">
        <v>44770</v>
      </c>
      <c r="AF688">
        <v>1743.48</v>
      </c>
    </row>
    <row r="689" spans="27:32" x14ac:dyDescent="0.2">
      <c r="AA689" s="3"/>
      <c r="AB689" s="23"/>
      <c r="AE689" s="3">
        <v>44769</v>
      </c>
      <c r="AF689">
        <v>1694.13</v>
      </c>
    </row>
    <row r="690" spans="27:32" x14ac:dyDescent="0.2">
      <c r="AA690" s="3"/>
      <c r="AB690" s="23"/>
      <c r="AE690" s="3">
        <v>44768</v>
      </c>
      <c r="AF690">
        <v>1698.58</v>
      </c>
    </row>
    <row r="691" spans="27:32" x14ac:dyDescent="0.2">
      <c r="AA691" s="3"/>
      <c r="AB691" s="23"/>
      <c r="AE691" s="3">
        <v>44767</v>
      </c>
      <c r="AF691">
        <v>1693.23</v>
      </c>
    </row>
    <row r="692" spans="27:32" x14ac:dyDescent="0.2">
      <c r="AA692" s="3"/>
      <c r="AB692" s="23"/>
      <c r="AE692" s="3">
        <v>44764</v>
      </c>
      <c r="AF692">
        <v>1716.83</v>
      </c>
    </row>
    <row r="693" spans="27:32" x14ac:dyDescent="0.2">
      <c r="AA693" s="3"/>
      <c r="AB693" s="23"/>
      <c r="AE693" s="3">
        <v>44763</v>
      </c>
      <c r="AF693">
        <v>1697.51</v>
      </c>
    </row>
    <row r="694" spans="27:32" x14ac:dyDescent="0.2">
      <c r="AA694" s="3"/>
      <c r="AB694" s="23"/>
      <c r="AE694" s="3">
        <v>44762</v>
      </c>
      <c r="AF694">
        <v>1683.87</v>
      </c>
    </row>
    <row r="695" spans="27:32" x14ac:dyDescent="0.2">
      <c r="AA695" s="3"/>
      <c r="AB695" s="23"/>
      <c r="AE695" s="3">
        <v>44761</v>
      </c>
      <c r="AF695">
        <v>1685.07</v>
      </c>
    </row>
    <row r="696" spans="27:32" x14ac:dyDescent="0.2">
      <c r="AA696" s="3"/>
      <c r="AB696" s="23"/>
      <c r="AE696" s="3">
        <v>44760</v>
      </c>
      <c r="AF696">
        <v>1680.54</v>
      </c>
    </row>
    <row r="697" spans="27:32" x14ac:dyDescent="0.2">
      <c r="AA697" s="3"/>
      <c r="AB697" s="23"/>
      <c r="AE697" s="3">
        <v>44757</v>
      </c>
      <c r="AF697">
        <v>1647.32</v>
      </c>
    </row>
    <row r="698" spans="27:32" x14ac:dyDescent="0.2">
      <c r="AA698" s="3"/>
      <c r="AB698" s="23"/>
      <c r="AE698" s="3">
        <v>44756</v>
      </c>
      <c r="AF698">
        <v>1622.46</v>
      </c>
    </row>
    <row r="699" spans="27:32" x14ac:dyDescent="0.2">
      <c r="AA699" s="3"/>
      <c r="AB699" s="23"/>
      <c r="AE699" s="3">
        <v>44755</v>
      </c>
      <c r="AF699">
        <v>1643.89</v>
      </c>
    </row>
    <row r="700" spans="27:32" x14ac:dyDescent="0.2">
      <c r="AA700" s="3"/>
      <c r="AB700" s="23"/>
      <c r="AE700" s="3">
        <v>44754</v>
      </c>
      <c r="AF700">
        <v>1650.86</v>
      </c>
    </row>
    <row r="701" spans="27:32" x14ac:dyDescent="0.2">
      <c r="AA701" s="3"/>
      <c r="AB701" s="23"/>
      <c r="AE701" s="3">
        <v>44753</v>
      </c>
      <c r="AF701">
        <v>1650.88</v>
      </c>
    </row>
    <row r="702" spans="27:32" x14ac:dyDescent="0.2">
      <c r="AA702" s="3"/>
      <c r="AB702" s="23"/>
      <c r="AE702" s="3">
        <v>44750</v>
      </c>
      <c r="AF702">
        <v>1653.35</v>
      </c>
    </row>
    <row r="703" spans="27:32" x14ac:dyDescent="0.2">
      <c r="AA703" s="3"/>
      <c r="AB703" s="23"/>
      <c r="AE703" s="3">
        <v>44749</v>
      </c>
      <c r="AF703">
        <v>1632.59</v>
      </c>
    </row>
    <row r="704" spans="27:32" x14ac:dyDescent="0.2">
      <c r="AA704" s="3"/>
      <c r="AB704" s="23"/>
      <c r="AE704" s="3">
        <v>44748</v>
      </c>
      <c r="AF704">
        <v>1609.22</v>
      </c>
    </row>
    <row r="705" spans="27:32" x14ac:dyDescent="0.2">
      <c r="AA705" s="3"/>
      <c r="AB705" s="23"/>
      <c r="AE705" s="3">
        <v>44747</v>
      </c>
      <c r="AF705">
        <v>1596.03</v>
      </c>
    </row>
    <row r="706" spans="27:32" x14ac:dyDescent="0.2">
      <c r="AA706" s="3"/>
      <c r="AB706" s="23"/>
      <c r="AE706" s="3">
        <v>44746</v>
      </c>
      <c r="AF706">
        <v>1599.39</v>
      </c>
    </row>
    <row r="707" spans="27:32" x14ac:dyDescent="0.2">
      <c r="AA707" s="3"/>
      <c r="AB707" s="23"/>
      <c r="AE707" s="3">
        <v>44743</v>
      </c>
      <c r="AF707">
        <v>1600.58</v>
      </c>
    </row>
    <row r="708" spans="27:32" x14ac:dyDescent="0.2">
      <c r="AA708" s="3"/>
      <c r="AB708" s="23"/>
      <c r="AE708" s="3">
        <v>44742</v>
      </c>
      <c r="AF708">
        <v>1574.67</v>
      </c>
    </row>
    <row r="709" spans="27:32" x14ac:dyDescent="0.2">
      <c r="AA709" s="3"/>
      <c r="AB709" s="23"/>
      <c r="AE709" s="3">
        <v>44741</v>
      </c>
      <c r="AF709">
        <v>1595.14</v>
      </c>
    </row>
    <row r="710" spans="27:32" x14ac:dyDescent="0.2">
      <c r="AA710" s="3"/>
      <c r="AB710" s="23"/>
      <c r="AE710" s="3">
        <v>44740</v>
      </c>
      <c r="AF710">
        <v>1609.08</v>
      </c>
    </row>
    <row r="711" spans="27:32" x14ac:dyDescent="0.2">
      <c r="AA711" s="3"/>
      <c r="AB711" s="23"/>
      <c r="AE711" s="3">
        <v>44739</v>
      </c>
      <c r="AF711">
        <v>1627.57</v>
      </c>
    </row>
    <row r="712" spans="27:32" x14ac:dyDescent="0.2">
      <c r="AA712" s="3"/>
      <c r="AB712" s="23"/>
      <c r="AE712" s="3">
        <v>44736</v>
      </c>
      <c r="AF712">
        <v>1603.56</v>
      </c>
    </row>
    <row r="713" spans="27:32" x14ac:dyDescent="0.2">
      <c r="AA713" s="3"/>
      <c r="AB713" s="23"/>
      <c r="AE713" s="3">
        <v>44735</v>
      </c>
      <c r="AF713">
        <v>1554.96</v>
      </c>
    </row>
    <row r="714" spans="27:32" x14ac:dyDescent="0.2">
      <c r="AA714" s="3"/>
      <c r="AB714" s="23"/>
      <c r="AE714" s="3">
        <v>44734</v>
      </c>
      <c r="AF714">
        <v>1565.41</v>
      </c>
    </row>
    <row r="715" spans="27:32" x14ac:dyDescent="0.2">
      <c r="AA715" s="3"/>
      <c r="AB715" s="23"/>
      <c r="AE715" s="3">
        <v>44733</v>
      </c>
      <c r="AF715">
        <v>1582.5</v>
      </c>
    </row>
    <row r="716" spans="27:32" x14ac:dyDescent="0.2">
      <c r="AA716" s="3"/>
      <c r="AB716" s="23"/>
      <c r="AE716" s="3">
        <v>44732</v>
      </c>
      <c r="AF716">
        <v>1563.15</v>
      </c>
    </row>
    <row r="717" spans="27:32" x14ac:dyDescent="0.2">
      <c r="AA717" s="3"/>
      <c r="AB717" s="23"/>
      <c r="AE717" s="3">
        <v>44729</v>
      </c>
      <c r="AF717">
        <v>1524.7</v>
      </c>
    </row>
    <row r="718" spans="27:32" x14ac:dyDescent="0.2">
      <c r="AA718" s="3"/>
      <c r="AB718" s="23"/>
      <c r="AE718" s="3">
        <v>44728</v>
      </c>
      <c r="AF718">
        <v>1514.33</v>
      </c>
    </row>
    <row r="719" spans="27:32" x14ac:dyDescent="0.2">
      <c r="AA719" s="3"/>
      <c r="AB719" s="23"/>
      <c r="AE719" s="3">
        <v>44727</v>
      </c>
      <c r="AF719">
        <v>1569.1</v>
      </c>
    </row>
    <row r="720" spans="27:32" x14ac:dyDescent="0.2">
      <c r="AA720" s="3"/>
      <c r="AB720" s="23"/>
      <c r="AE720" s="3">
        <v>44726</v>
      </c>
      <c r="AF720">
        <v>1550.26</v>
      </c>
    </row>
    <row r="721" spans="27:32" x14ac:dyDescent="0.2">
      <c r="AA721" s="3"/>
      <c r="AB721" s="23"/>
      <c r="AE721" s="3">
        <v>44725</v>
      </c>
      <c r="AF721">
        <v>1579.71</v>
      </c>
    </row>
    <row r="722" spans="27:32" x14ac:dyDescent="0.2">
      <c r="AA722" s="3"/>
      <c r="AB722" s="23"/>
      <c r="AE722" s="3">
        <v>44722</v>
      </c>
      <c r="AF722">
        <v>1619.14</v>
      </c>
    </row>
    <row r="723" spans="27:32" x14ac:dyDescent="0.2">
      <c r="AA723" s="3"/>
      <c r="AB723" s="23"/>
      <c r="AE723" s="3">
        <v>44721</v>
      </c>
      <c r="AF723">
        <v>1651.14</v>
      </c>
    </row>
    <row r="724" spans="27:32" x14ac:dyDescent="0.2">
      <c r="AA724" s="3"/>
      <c r="AB724" s="23"/>
      <c r="AE724" s="3">
        <v>44720</v>
      </c>
      <c r="AF724">
        <v>1682.43</v>
      </c>
    </row>
    <row r="725" spans="27:32" x14ac:dyDescent="0.2">
      <c r="AA725" s="3"/>
      <c r="AB725" s="23"/>
      <c r="AE725" s="3">
        <v>44719</v>
      </c>
      <c r="AF725">
        <v>1697.82</v>
      </c>
    </row>
    <row r="726" spans="27:32" x14ac:dyDescent="0.2">
      <c r="AA726" s="3"/>
      <c r="AB726" s="23"/>
      <c r="AE726" s="3">
        <v>44715</v>
      </c>
      <c r="AF726">
        <v>1676.49</v>
      </c>
    </row>
    <row r="727" spans="27:32" x14ac:dyDescent="0.2">
      <c r="AA727" s="3"/>
      <c r="AB727" s="23"/>
      <c r="AE727" s="3">
        <v>44714</v>
      </c>
      <c r="AF727">
        <v>1669.04</v>
      </c>
    </row>
    <row r="728" spans="27:32" x14ac:dyDescent="0.2">
      <c r="AA728" s="3"/>
      <c r="AB728" s="23"/>
      <c r="AE728" s="3">
        <v>44713</v>
      </c>
      <c r="AF728">
        <v>1664.71</v>
      </c>
    </row>
    <row r="729" spans="27:32" x14ac:dyDescent="0.2">
      <c r="AA729" s="3"/>
      <c r="AB729" s="23"/>
      <c r="AE729" s="3">
        <v>44712</v>
      </c>
      <c r="AF729">
        <v>1682.19</v>
      </c>
    </row>
    <row r="730" spans="27:32" x14ac:dyDescent="0.2">
      <c r="AA730" s="3"/>
      <c r="AB730" s="23"/>
      <c r="AE730" s="3">
        <v>44711</v>
      </c>
      <c r="AF730">
        <v>1702.55</v>
      </c>
    </row>
    <row r="731" spans="27:32" x14ac:dyDescent="0.2">
      <c r="AA731" s="3"/>
      <c r="AB731" s="23"/>
      <c r="AE731" s="3">
        <v>44706</v>
      </c>
      <c r="AF731">
        <v>1636.28</v>
      </c>
    </row>
    <row r="732" spans="27:32" x14ac:dyDescent="0.2">
      <c r="AA732" s="3"/>
      <c r="AB732" s="23"/>
      <c r="AE732" s="3">
        <v>44705</v>
      </c>
      <c r="AF732">
        <v>1632.96</v>
      </c>
    </row>
    <row r="733" spans="27:32" x14ac:dyDescent="0.2">
      <c r="AA733" s="3"/>
      <c r="AB733" s="23"/>
      <c r="AE733" s="3">
        <v>44704</v>
      </c>
      <c r="AF733">
        <v>1648.74</v>
      </c>
    </row>
    <row r="734" spans="27:32" x14ac:dyDescent="0.2">
      <c r="AA734" s="3"/>
      <c r="AB734" s="23"/>
      <c r="AE734" s="3">
        <v>44701</v>
      </c>
      <c r="AF734">
        <v>1653.96</v>
      </c>
    </row>
    <row r="735" spans="27:32" x14ac:dyDescent="0.2">
      <c r="AA735" s="3"/>
      <c r="AB735" s="23"/>
      <c r="AE735" s="3">
        <v>44700</v>
      </c>
      <c r="AF735">
        <v>1609.07</v>
      </c>
    </row>
    <row r="736" spans="27:32" x14ac:dyDescent="0.2">
      <c r="AA736" s="3"/>
      <c r="AB736" s="23"/>
      <c r="AE736" s="3">
        <v>44699</v>
      </c>
      <c r="AF736">
        <v>1628.51</v>
      </c>
    </row>
    <row r="737" spans="27:32" x14ac:dyDescent="0.2">
      <c r="AA737" s="3"/>
      <c r="AB737" s="23"/>
      <c r="AE737" s="3">
        <v>44698</v>
      </c>
      <c r="AF737">
        <v>1637.61</v>
      </c>
    </row>
    <row r="738" spans="27:32" x14ac:dyDescent="0.2">
      <c r="AA738" s="3"/>
      <c r="AB738" s="23"/>
      <c r="AE738" s="3">
        <v>44697</v>
      </c>
      <c r="AF738">
        <v>1609.77</v>
      </c>
    </row>
    <row r="739" spans="27:32" x14ac:dyDescent="0.2">
      <c r="AA739" s="3"/>
      <c r="AB739" s="23"/>
      <c r="AE739" s="3">
        <v>44693</v>
      </c>
      <c r="AF739">
        <v>1584.86</v>
      </c>
    </row>
    <row r="740" spans="27:32" x14ac:dyDescent="0.2">
      <c r="AA740" s="3"/>
      <c r="AB740" s="23"/>
      <c r="AE740" s="3">
        <v>44692</v>
      </c>
      <c r="AF740">
        <v>1591.41</v>
      </c>
    </row>
    <row r="741" spans="27:32" x14ac:dyDescent="0.2">
      <c r="AA741" s="3"/>
      <c r="AB741" s="23"/>
      <c r="AE741" s="3">
        <v>44691</v>
      </c>
      <c r="AF741">
        <v>1591.43</v>
      </c>
    </row>
    <row r="742" spans="27:32" x14ac:dyDescent="0.2">
      <c r="AA742" s="3"/>
      <c r="AB742" s="23"/>
      <c r="AE742" s="3">
        <v>44690</v>
      </c>
      <c r="AF742">
        <v>1579.15</v>
      </c>
    </row>
    <row r="743" spans="27:32" x14ac:dyDescent="0.2">
      <c r="AA743" s="3"/>
      <c r="AB743" s="23"/>
      <c r="AE743" s="3">
        <v>44687</v>
      </c>
      <c r="AF743">
        <v>1662.53</v>
      </c>
    </row>
    <row r="744" spans="27:32" x14ac:dyDescent="0.2">
      <c r="AA744" s="3"/>
      <c r="AB744" s="23"/>
      <c r="AE744" s="3">
        <v>44686</v>
      </c>
      <c r="AF744">
        <v>1720.9</v>
      </c>
    </row>
    <row r="745" spans="27:32" x14ac:dyDescent="0.2">
      <c r="AA745" s="3"/>
      <c r="AB745" s="23"/>
      <c r="AE745" s="3">
        <v>44685</v>
      </c>
      <c r="AF745">
        <v>1730.37</v>
      </c>
    </row>
    <row r="746" spans="27:32" x14ac:dyDescent="0.2">
      <c r="AA746" s="3"/>
      <c r="AB746" s="23"/>
      <c r="AE746" s="3">
        <v>44684</v>
      </c>
      <c r="AF746">
        <v>1732.02</v>
      </c>
    </row>
    <row r="747" spans="27:32" x14ac:dyDescent="0.2">
      <c r="AA747" s="3"/>
      <c r="AB747" s="23"/>
      <c r="AE747" s="3">
        <v>44683</v>
      </c>
      <c r="AF747">
        <v>1729.96</v>
      </c>
    </row>
    <row r="748" spans="27:32" x14ac:dyDescent="0.2">
      <c r="AA748" s="3"/>
      <c r="AB748" s="23"/>
      <c r="AE748" s="3">
        <v>44680</v>
      </c>
      <c r="AF748">
        <v>1764.64</v>
      </c>
    </row>
    <row r="749" spans="27:32" x14ac:dyDescent="0.2">
      <c r="AA749" s="3"/>
      <c r="AB749" s="23"/>
      <c r="AE749" s="3">
        <v>44679</v>
      </c>
      <c r="AF749">
        <v>1729.91</v>
      </c>
    </row>
    <row r="750" spans="27:32" x14ac:dyDescent="0.2">
      <c r="AA750" s="3"/>
      <c r="AB750" s="23"/>
      <c r="AE750" s="3">
        <v>44678</v>
      </c>
      <c r="AF750">
        <v>1730.79</v>
      </c>
    </row>
    <row r="751" spans="27:32" x14ac:dyDescent="0.2">
      <c r="AA751" s="3"/>
      <c r="AB751" s="23"/>
      <c r="AE751" s="3">
        <v>44677</v>
      </c>
      <c r="AF751">
        <v>1715</v>
      </c>
    </row>
    <row r="752" spans="27:32" x14ac:dyDescent="0.2">
      <c r="AA752" s="3"/>
      <c r="AB752" s="23"/>
      <c r="AE752" s="3">
        <v>44676</v>
      </c>
      <c r="AF752">
        <v>1739.64</v>
      </c>
    </row>
    <row r="753" spans="27:32" x14ac:dyDescent="0.2">
      <c r="AA753" s="3"/>
      <c r="AB753" s="23"/>
      <c r="AE753" s="3">
        <v>44673</v>
      </c>
      <c r="AF753">
        <v>1753.7</v>
      </c>
    </row>
    <row r="754" spans="27:32" x14ac:dyDescent="0.2">
      <c r="AA754" s="3"/>
      <c r="AB754" s="23"/>
      <c r="AE754" s="3">
        <v>44672</v>
      </c>
      <c r="AF754">
        <v>1782.51</v>
      </c>
    </row>
    <row r="755" spans="27:32" x14ac:dyDescent="0.2">
      <c r="AA755" s="3"/>
      <c r="AB755" s="23"/>
      <c r="AE755" s="3">
        <v>44671</v>
      </c>
      <c r="AF755">
        <v>1797.93</v>
      </c>
    </row>
    <row r="756" spans="27:32" x14ac:dyDescent="0.2">
      <c r="AA756" s="3"/>
      <c r="AB756" s="23"/>
      <c r="AE756" s="3">
        <v>44670</v>
      </c>
      <c r="AF756">
        <v>1772.94</v>
      </c>
    </row>
    <row r="757" spans="27:32" x14ac:dyDescent="0.2">
      <c r="AA757" s="3"/>
      <c r="AB757" s="23"/>
      <c r="AE757" s="3">
        <v>44664</v>
      </c>
      <c r="AF757">
        <v>1752.08</v>
      </c>
    </row>
    <row r="758" spans="27:32" x14ac:dyDescent="0.2">
      <c r="AA758" s="3"/>
      <c r="AB758" s="23"/>
      <c r="AE758" s="3">
        <v>44663</v>
      </c>
      <c r="AF758">
        <v>1752.72</v>
      </c>
    </row>
    <row r="759" spans="27:32" x14ac:dyDescent="0.2">
      <c r="AE759" s="3">
        <v>44662</v>
      </c>
      <c r="AF759">
        <v>1770.71</v>
      </c>
    </row>
    <row r="760" spans="27:32" x14ac:dyDescent="0.2">
      <c r="AE760" s="3">
        <v>44659</v>
      </c>
      <c r="AF760">
        <v>1805.37</v>
      </c>
    </row>
    <row r="761" spans="27:32" x14ac:dyDescent="0.2">
      <c r="AE761" s="3">
        <v>44658</v>
      </c>
      <c r="AF761">
        <v>1801.75</v>
      </c>
    </row>
    <row r="762" spans="27:32" x14ac:dyDescent="0.2">
      <c r="AE762" s="3">
        <v>44657</v>
      </c>
      <c r="AF762">
        <v>1781.59</v>
      </c>
    </row>
    <row r="763" spans="27:32" x14ac:dyDescent="0.2">
      <c r="AE763" s="3">
        <v>44656</v>
      </c>
      <c r="AF763">
        <v>1818.02</v>
      </c>
    </row>
    <row r="764" spans="27:32" x14ac:dyDescent="0.2">
      <c r="AE764" s="3">
        <v>44655</v>
      </c>
      <c r="AF764">
        <v>1789.22</v>
      </c>
    </row>
    <row r="765" spans="27:32" x14ac:dyDescent="0.2">
      <c r="AE765" s="3">
        <v>44652</v>
      </c>
      <c r="AF765">
        <v>1802.81</v>
      </c>
    </row>
    <row r="766" spans="27:32" x14ac:dyDescent="0.2">
      <c r="AE766" s="3">
        <v>44651</v>
      </c>
      <c r="AF766">
        <v>1786.11</v>
      </c>
    </row>
    <row r="767" spans="27:32" x14ac:dyDescent="0.2">
      <c r="AE767" s="3">
        <v>44650</v>
      </c>
      <c r="AF767">
        <v>1795.1</v>
      </c>
    </row>
    <row r="768" spans="27:32" x14ac:dyDescent="0.2">
      <c r="AE768" s="3">
        <v>44649</v>
      </c>
      <c r="AF768">
        <v>1771.53</v>
      </c>
    </row>
    <row r="769" spans="31:32" x14ac:dyDescent="0.2">
      <c r="AE769" s="3">
        <v>44648</v>
      </c>
      <c r="AF769">
        <v>1756.83</v>
      </c>
    </row>
    <row r="770" spans="31:32" x14ac:dyDescent="0.2">
      <c r="AE770" s="3">
        <v>44645</v>
      </c>
      <c r="AF770">
        <v>1725.24</v>
      </c>
    </row>
    <row r="771" spans="31:32" x14ac:dyDescent="0.2">
      <c r="AE771" s="3">
        <v>44644</v>
      </c>
      <c r="AF771">
        <v>1737.7</v>
      </c>
    </row>
    <row r="772" spans="31:32" x14ac:dyDescent="0.2">
      <c r="AE772" s="3">
        <v>44643</v>
      </c>
      <c r="AF772">
        <v>1766.43</v>
      </c>
    </row>
    <row r="773" spans="31:32" x14ac:dyDescent="0.2">
      <c r="AE773" s="3">
        <v>44642</v>
      </c>
      <c r="AF773">
        <v>1789.93</v>
      </c>
    </row>
    <row r="774" spans="31:32" x14ac:dyDescent="0.2">
      <c r="AE774" s="3">
        <v>44641</v>
      </c>
      <c r="AF774">
        <v>1803</v>
      </c>
    </row>
    <row r="775" spans="31:32" x14ac:dyDescent="0.2">
      <c r="AE775" s="3">
        <v>44638</v>
      </c>
      <c r="AF775">
        <v>1805.96</v>
      </c>
    </row>
    <row r="776" spans="31:32" x14ac:dyDescent="0.2">
      <c r="AE776" s="3">
        <v>44637</v>
      </c>
      <c r="AF776">
        <v>1792.75</v>
      </c>
    </row>
    <row r="777" spans="31:32" x14ac:dyDescent="0.2">
      <c r="AE777" s="3">
        <v>44636</v>
      </c>
      <c r="AF777">
        <v>1756.66</v>
      </c>
    </row>
    <row r="778" spans="31:32" x14ac:dyDescent="0.2">
      <c r="AE778" s="3">
        <v>44635</v>
      </c>
      <c r="AF778">
        <v>1713.38</v>
      </c>
    </row>
    <row r="779" spans="31:32" x14ac:dyDescent="0.2">
      <c r="AE779" s="3">
        <v>44634</v>
      </c>
      <c r="AF779">
        <v>1718.44</v>
      </c>
    </row>
    <row r="780" spans="31:32" x14ac:dyDescent="0.2">
      <c r="AE780" s="3">
        <v>44631</v>
      </c>
      <c r="AF780">
        <v>1704.23</v>
      </c>
    </row>
    <row r="781" spans="31:32" x14ac:dyDescent="0.2">
      <c r="AE781" s="3">
        <v>44630</v>
      </c>
      <c r="AF781">
        <v>1690.5</v>
      </c>
    </row>
    <row r="782" spans="31:32" x14ac:dyDescent="0.2">
      <c r="AE782" s="3">
        <v>44629</v>
      </c>
      <c r="AF782">
        <v>1716.8</v>
      </c>
    </row>
    <row r="783" spans="31:32" x14ac:dyDescent="0.2">
      <c r="AE783" s="3">
        <v>44628</v>
      </c>
      <c r="AF783">
        <v>1693.03</v>
      </c>
    </row>
    <row r="784" spans="31:32" x14ac:dyDescent="0.2">
      <c r="AE784" s="3">
        <v>44627</v>
      </c>
      <c r="AF784">
        <v>1696.46</v>
      </c>
    </row>
    <row r="785" spans="31:32" x14ac:dyDescent="0.2">
      <c r="AE785" s="3">
        <v>44624</v>
      </c>
      <c r="AF785">
        <v>1683.05</v>
      </c>
    </row>
    <row r="786" spans="31:32" x14ac:dyDescent="0.2">
      <c r="AE786" s="3">
        <v>44623</v>
      </c>
      <c r="AF786">
        <v>1714.67</v>
      </c>
    </row>
    <row r="787" spans="31:32" x14ac:dyDescent="0.2">
      <c r="AE787" s="3">
        <v>44622</v>
      </c>
      <c r="AF787">
        <v>1721.69</v>
      </c>
    </row>
    <row r="788" spans="31:32" x14ac:dyDescent="0.2">
      <c r="AE788" s="3">
        <v>44621</v>
      </c>
      <c r="AF788">
        <v>1752.02</v>
      </c>
    </row>
    <row r="789" spans="31:32" x14ac:dyDescent="0.2">
      <c r="AE789" s="3">
        <v>44620</v>
      </c>
      <c r="AF789">
        <v>1764.81</v>
      </c>
    </row>
    <row r="790" spans="31:32" x14ac:dyDescent="0.2">
      <c r="AE790" s="3">
        <v>44617</v>
      </c>
      <c r="AF790">
        <v>1713.15</v>
      </c>
    </row>
    <row r="791" spans="31:32" x14ac:dyDescent="0.2">
      <c r="AE791" s="3">
        <v>44616</v>
      </c>
      <c r="AF791">
        <v>1657.3</v>
      </c>
    </row>
    <row r="792" spans="31:32" x14ac:dyDescent="0.2">
      <c r="AE792" s="3">
        <v>44615</v>
      </c>
      <c r="AF792">
        <v>1651.42</v>
      </c>
    </row>
    <row r="793" spans="31:32" x14ac:dyDescent="0.2">
      <c r="AE793" s="3">
        <v>44614</v>
      </c>
      <c r="AF793">
        <v>1661.31</v>
      </c>
    </row>
    <row r="794" spans="31:32" x14ac:dyDescent="0.2">
      <c r="AE794" s="3">
        <v>44613</v>
      </c>
      <c r="AF794">
        <v>1659.37</v>
      </c>
    </row>
    <row r="795" spans="31:32" x14ac:dyDescent="0.2">
      <c r="AE795" s="3">
        <v>44610</v>
      </c>
      <c r="AF795">
        <v>1684.91</v>
      </c>
    </row>
    <row r="796" spans="31:32" x14ac:dyDescent="0.2">
      <c r="AE796" s="3">
        <v>44609</v>
      </c>
      <c r="AF796">
        <v>1719.43</v>
      </c>
    </row>
    <row r="797" spans="31:32" x14ac:dyDescent="0.2">
      <c r="AE797" s="3">
        <v>44608</v>
      </c>
      <c r="AF797">
        <v>1738.19</v>
      </c>
    </row>
    <row r="798" spans="31:32" x14ac:dyDescent="0.2">
      <c r="AE798" s="3">
        <v>44607</v>
      </c>
      <c r="AF798">
        <v>1742.14</v>
      </c>
    </row>
    <row r="799" spans="31:32" x14ac:dyDescent="0.2">
      <c r="AE799" s="3">
        <v>44606</v>
      </c>
      <c r="AF799">
        <v>1692.87</v>
      </c>
    </row>
    <row r="800" spans="31:32" x14ac:dyDescent="0.2">
      <c r="AE800" s="3">
        <v>44603</v>
      </c>
      <c r="AF800">
        <v>1733.74</v>
      </c>
    </row>
    <row r="801" spans="31:32" x14ac:dyDescent="0.2">
      <c r="AE801" s="3">
        <v>44602</v>
      </c>
      <c r="AF801">
        <v>1755.06</v>
      </c>
    </row>
    <row r="802" spans="31:32" x14ac:dyDescent="0.2">
      <c r="AE802" s="3">
        <v>44601</v>
      </c>
      <c r="AF802">
        <v>1765.05</v>
      </c>
    </row>
    <row r="803" spans="31:32" x14ac:dyDescent="0.2">
      <c r="AE803" s="3">
        <v>44600</v>
      </c>
      <c r="AF803">
        <v>1698.86</v>
      </c>
    </row>
    <row r="804" spans="31:32" x14ac:dyDescent="0.2">
      <c r="AE804" s="3">
        <v>44599</v>
      </c>
      <c r="AF804">
        <v>1735.72</v>
      </c>
    </row>
    <row r="805" spans="31:32" x14ac:dyDescent="0.2">
      <c r="AE805" s="3">
        <v>44596</v>
      </c>
      <c r="AF805">
        <v>1723.25</v>
      </c>
    </row>
    <row r="806" spans="31:32" x14ac:dyDescent="0.2">
      <c r="AE806" s="3">
        <v>44595</v>
      </c>
      <c r="AF806">
        <v>1768.46</v>
      </c>
    </row>
    <row r="807" spans="31:32" x14ac:dyDescent="0.2">
      <c r="AE807" s="3">
        <v>44594</v>
      </c>
      <c r="AF807">
        <v>1818.66</v>
      </c>
    </row>
    <row r="808" spans="31:32" x14ac:dyDescent="0.2">
      <c r="AE808" s="3">
        <v>44593</v>
      </c>
      <c r="AF808">
        <v>1779.91</v>
      </c>
    </row>
    <row r="809" spans="31:32" x14ac:dyDescent="0.2">
      <c r="AE809" s="3">
        <v>44592</v>
      </c>
      <c r="AF809">
        <v>1776.23</v>
      </c>
    </row>
    <row r="810" spans="31:32" x14ac:dyDescent="0.2">
      <c r="AE810" s="3">
        <v>44589</v>
      </c>
      <c r="AF810">
        <v>1731.37</v>
      </c>
    </row>
    <row r="811" spans="31:32" x14ac:dyDescent="0.2">
      <c r="AE811" s="3">
        <v>44588</v>
      </c>
      <c r="AF811">
        <v>1759.84</v>
      </c>
    </row>
    <row r="812" spans="31:32" x14ac:dyDescent="0.2">
      <c r="AE812" s="3">
        <v>44587</v>
      </c>
      <c r="AF812">
        <v>1747.16</v>
      </c>
    </row>
    <row r="813" spans="31:32" x14ac:dyDescent="0.2">
      <c r="AE813" s="3">
        <v>44586</v>
      </c>
      <c r="AF813">
        <v>1710.58</v>
      </c>
    </row>
    <row r="814" spans="31:32" x14ac:dyDescent="0.2">
      <c r="AE814" s="3">
        <v>44585</v>
      </c>
      <c r="AF814">
        <v>1719.09</v>
      </c>
    </row>
    <row r="815" spans="31:32" x14ac:dyDescent="0.2">
      <c r="AE815" s="3">
        <v>44582</v>
      </c>
      <c r="AF815">
        <v>1780.53</v>
      </c>
    </row>
    <row r="816" spans="31:32" x14ac:dyDescent="0.2">
      <c r="AE816" s="3">
        <v>44581</v>
      </c>
      <c r="AF816">
        <v>1831.19</v>
      </c>
    </row>
    <row r="817" spans="31:32" x14ac:dyDescent="0.2">
      <c r="AE817" s="3">
        <v>44580</v>
      </c>
      <c r="AF817">
        <v>1809.1</v>
      </c>
    </row>
    <row r="818" spans="31:32" x14ac:dyDescent="0.2">
      <c r="AE818" s="3">
        <v>44579</v>
      </c>
      <c r="AF818">
        <v>1795.44</v>
      </c>
    </row>
    <row r="819" spans="31:32" x14ac:dyDescent="0.2">
      <c r="AE819" s="3">
        <v>44578</v>
      </c>
      <c r="AF819">
        <v>1819.65</v>
      </c>
    </row>
    <row r="820" spans="31:32" x14ac:dyDescent="0.2">
      <c r="AE820" s="3">
        <v>44575</v>
      </c>
      <c r="AF820">
        <v>1814.95</v>
      </c>
    </row>
    <row r="821" spans="31:32" x14ac:dyDescent="0.2">
      <c r="AE821" s="3">
        <v>44574</v>
      </c>
      <c r="AF821">
        <v>1858.3</v>
      </c>
    </row>
    <row r="822" spans="31:32" x14ac:dyDescent="0.2">
      <c r="AE822" s="3">
        <v>44573</v>
      </c>
      <c r="AF822">
        <v>1864.46</v>
      </c>
    </row>
    <row r="823" spans="31:32" x14ac:dyDescent="0.2">
      <c r="AE823" s="3">
        <v>44572</v>
      </c>
      <c r="AF823">
        <v>1842.55</v>
      </c>
    </row>
    <row r="824" spans="31:32" x14ac:dyDescent="0.2">
      <c r="AE824" s="3">
        <v>44571</v>
      </c>
      <c r="AF824">
        <v>1825.51</v>
      </c>
    </row>
    <row r="825" spans="31:32" x14ac:dyDescent="0.2">
      <c r="AE825" s="3">
        <v>44568</v>
      </c>
      <c r="AF825">
        <v>1867.99</v>
      </c>
    </row>
    <row r="826" spans="31:32" x14ac:dyDescent="0.2">
      <c r="AE826" s="3">
        <v>44567</v>
      </c>
      <c r="AF826">
        <v>1887.62</v>
      </c>
    </row>
    <row r="827" spans="31:32" x14ac:dyDescent="0.2">
      <c r="AE827" s="3">
        <v>44566</v>
      </c>
      <c r="AF827">
        <v>1947.63</v>
      </c>
    </row>
    <row r="828" spans="31:32" x14ac:dyDescent="0.2">
      <c r="AE828" s="3">
        <v>44565</v>
      </c>
      <c r="AF828">
        <v>1952.81</v>
      </c>
    </row>
    <row r="829" spans="31:32" x14ac:dyDescent="0.2">
      <c r="AE829" s="3">
        <v>44564</v>
      </c>
      <c r="AF829">
        <v>1970.95</v>
      </c>
    </row>
    <row r="830" spans="31:32" x14ac:dyDescent="0.2">
      <c r="AE830" s="3">
        <v>44560</v>
      </c>
      <c r="AF830">
        <v>1965.65</v>
      </c>
    </row>
    <row r="831" spans="31:32" x14ac:dyDescent="0.2">
      <c r="AE831" s="3">
        <v>44559</v>
      </c>
      <c r="AF831">
        <v>1958.74</v>
      </c>
    </row>
    <row r="832" spans="31:32" x14ac:dyDescent="0.2">
      <c r="AE832" s="3">
        <v>44558</v>
      </c>
      <c r="AF832">
        <v>1955.47</v>
      </c>
    </row>
    <row r="833" spans="31:32" x14ac:dyDescent="0.2">
      <c r="AE833" s="3">
        <v>44557</v>
      </c>
      <c r="AF833">
        <v>1953.03</v>
      </c>
    </row>
    <row r="834" spans="31:32" x14ac:dyDescent="0.2">
      <c r="AE834" s="3">
        <v>44553</v>
      </c>
      <c r="AF834">
        <v>1930.05</v>
      </c>
    </row>
    <row r="835" spans="31:32" x14ac:dyDescent="0.2">
      <c r="AE835" s="3">
        <v>44552</v>
      </c>
      <c r="AF835">
        <v>1924.02</v>
      </c>
    </row>
    <row r="836" spans="31:32" x14ac:dyDescent="0.2">
      <c r="AE836" s="3">
        <v>44551</v>
      </c>
      <c r="AF836">
        <v>1889.82</v>
      </c>
    </row>
    <row r="837" spans="31:32" x14ac:dyDescent="0.2">
      <c r="AE837" s="3">
        <v>44550</v>
      </c>
      <c r="AF837">
        <v>1865.54</v>
      </c>
    </row>
    <row r="838" spans="31:32" x14ac:dyDescent="0.2">
      <c r="AE838" s="3">
        <v>44547</v>
      </c>
      <c r="AF838">
        <v>1902.51</v>
      </c>
    </row>
    <row r="839" spans="31:32" x14ac:dyDescent="0.2">
      <c r="AE839" s="3">
        <v>44546</v>
      </c>
      <c r="AF839">
        <v>1921.44</v>
      </c>
    </row>
    <row r="840" spans="31:32" x14ac:dyDescent="0.2">
      <c r="AE840" s="3">
        <v>44545</v>
      </c>
      <c r="AF840">
        <v>1894.15</v>
      </c>
    </row>
    <row r="841" spans="31:32" x14ac:dyDescent="0.2">
      <c r="AE841" s="3">
        <v>44544</v>
      </c>
      <c r="AF841">
        <v>1869.39</v>
      </c>
    </row>
    <row r="842" spans="31:32" x14ac:dyDescent="0.2">
      <c r="AE842" s="3">
        <v>44543</v>
      </c>
      <c r="AF842">
        <v>1912.87</v>
      </c>
    </row>
    <row r="843" spans="31:32" x14ac:dyDescent="0.2">
      <c r="AE843" s="3">
        <v>44540</v>
      </c>
      <c r="AF843">
        <v>1909.44</v>
      </c>
    </row>
    <row r="844" spans="31:32" x14ac:dyDescent="0.2">
      <c r="AE844" s="3">
        <v>44539</v>
      </c>
      <c r="AF844">
        <v>1930.11</v>
      </c>
    </row>
    <row r="845" spans="31:32" x14ac:dyDescent="0.2">
      <c r="AE845" s="3">
        <v>44538</v>
      </c>
      <c r="AF845">
        <v>1924.34</v>
      </c>
    </row>
    <row r="846" spans="31:32" x14ac:dyDescent="0.2">
      <c r="AE846" s="3">
        <v>44537</v>
      </c>
      <c r="AF846">
        <v>1908.58</v>
      </c>
    </row>
    <row r="847" spans="31:32" x14ac:dyDescent="0.2">
      <c r="AE847" s="3">
        <v>44536</v>
      </c>
      <c r="AF847">
        <v>1844.4</v>
      </c>
    </row>
    <row r="848" spans="31:32" x14ac:dyDescent="0.2">
      <c r="AE848" s="3">
        <v>44533</v>
      </c>
      <c r="AF848">
        <v>1837.61</v>
      </c>
    </row>
    <row r="849" spans="31:32" x14ac:dyDescent="0.2">
      <c r="AE849" s="3">
        <v>44532</v>
      </c>
      <c r="AF849">
        <v>1850.47</v>
      </c>
    </row>
    <row r="850" spans="31:32" x14ac:dyDescent="0.2">
      <c r="AE850" s="3">
        <v>44531</v>
      </c>
      <c r="AF850">
        <v>1898.94</v>
      </c>
    </row>
    <row r="851" spans="31:32" x14ac:dyDescent="0.2">
      <c r="AE851" s="3">
        <v>44530</v>
      </c>
      <c r="AF851">
        <v>1882.55</v>
      </c>
    </row>
    <row r="852" spans="31:32" x14ac:dyDescent="0.2">
      <c r="AE852" s="3">
        <v>44529</v>
      </c>
      <c r="AF852">
        <v>1896.88</v>
      </c>
    </row>
    <row r="853" spans="31:32" x14ac:dyDescent="0.2">
      <c r="AE853" s="3">
        <v>44526</v>
      </c>
      <c r="AF853">
        <v>1907.66</v>
      </c>
    </row>
    <row r="854" spans="31:32" x14ac:dyDescent="0.2">
      <c r="AE854" s="3">
        <v>44525</v>
      </c>
      <c r="AF854">
        <v>1925.19</v>
      </c>
    </row>
    <row r="855" spans="31:32" x14ac:dyDescent="0.2">
      <c r="AE855" s="3">
        <v>44524</v>
      </c>
      <c r="AF855">
        <v>1905.69</v>
      </c>
    </row>
    <row r="856" spans="31:32" x14ac:dyDescent="0.2">
      <c r="AE856" s="3">
        <v>44523</v>
      </c>
      <c r="AF856">
        <v>1909.34</v>
      </c>
    </row>
    <row r="857" spans="31:32" x14ac:dyDescent="0.2">
      <c r="AE857" s="3">
        <v>44522</v>
      </c>
      <c r="AF857">
        <v>1973.26</v>
      </c>
    </row>
    <row r="858" spans="31:32" x14ac:dyDescent="0.2">
      <c r="AE858" s="3">
        <v>44519</v>
      </c>
      <c r="AF858">
        <v>1988.88</v>
      </c>
    </row>
    <row r="859" spans="31:32" x14ac:dyDescent="0.2">
      <c r="AE859" s="3">
        <v>44518</v>
      </c>
      <c r="AF859">
        <v>1995.92</v>
      </c>
    </row>
    <row r="860" spans="31:32" x14ac:dyDescent="0.2">
      <c r="AE860" s="3">
        <v>44517</v>
      </c>
      <c r="AF860">
        <v>2002.45</v>
      </c>
    </row>
    <row r="861" spans="31:32" x14ac:dyDescent="0.2">
      <c r="AE861" s="3">
        <v>44516</v>
      </c>
      <c r="AF861">
        <v>2002.38</v>
      </c>
    </row>
    <row r="862" spans="31:32" x14ac:dyDescent="0.2">
      <c r="AE862" s="3">
        <v>44515</v>
      </c>
      <c r="AF862">
        <v>2009.86</v>
      </c>
    </row>
    <row r="863" spans="31:32" x14ac:dyDescent="0.2">
      <c r="AE863" s="3">
        <v>44512</v>
      </c>
      <c r="AF863">
        <v>2020.69</v>
      </c>
    </row>
    <row r="864" spans="31:32" x14ac:dyDescent="0.2">
      <c r="AE864" s="3">
        <v>44511</v>
      </c>
      <c r="AF864">
        <v>2003.23</v>
      </c>
    </row>
    <row r="865" spans="31:32" x14ac:dyDescent="0.2">
      <c r="AE865" s="3">
        <v>44510</v>
      </c>
      <c r="AF865">
        <v>1975.53</v>
      </c>
    </row>
    <row r="866" spans="31:32" x14ac:dyDescent="0.2">
      <c r="AE866" s="3">
        <v>44509</v>
      </c>
      <c r="AF866">
        <v>1992.64</v>
      </c>
    </row>
    <row r="867" spans="31:32" x14ac:dyDescent="0.2">
      <c r="AE867" s="3">
        <v>44508</v>
      </c>
      <c r="AF867">
        <v>1985.41</v>
      </c>
    </row>
    <row r="868" spans="31:32" x14ac:dyDescent="0.2">
      <c r="AE868" s="3">
        <v>44505</v>
      </c>
      <c r="AF868">
        <v>1955.16</v>
      </c>
    </row>
    <row r="869" spans="31:32" x14ac:dyDescent="0.2">
      <c r="AE869" s="3">
        <v>44504</v>
      </c>
      <c r="AF869">
        <v>1991.18</v>
      </c>
    </row>
    <row r="870" spans="31:32" x14ac:dyDescent="0.2">
      <c r="AE870" s="3">
        <v>44503</v>
      </c>
      <c r="AF870">
        <v>1976.17</v>
      </c>
    </row>
    <row r="871" spans="31:32" x14ac:dyDescent="0.2">
      <c r="AE871" s="3">
        <v>44502</v>
      </c>
      <c r="AF871">
        <v>1990.65</v>
      </c>
    </row>
    <row r="872" spans="31:32" x14ac:dyDescent="0.2">
      <c r="AE872" s="3">
        <v>44501</v>
      </c>
      <c r="AF872">
        <v>1982.89</v>
      </c>
    </row>
    <row r="873" spans="31:32" x14ac:dyDescent="0.2">
      <c r="AE873" s="3">
        <v>44498</v>
      </c>
      <c r="AF873">
        <v>1971.32</v>
      </c>
    </row>
    <row r="874" spans="31:32" x14ac:dyDescent="0.2">
      <c r="AE874" s="3">
        <v>44497</v>
      </c>
      <c r="AF874">
        <v>1979.34</v>
      </c>
    </row>
    <row r="875" spans="31:32" x14ac:dyDescent="0.2">
      <c r="AE875" s="3">
        <v>44496</v>
      </c>
      <c r="AF875">
        <v>1965.13</v>
      </c>
    </row>
    <row r="876" spans="31:32" x14ac:dyDescent="0.2">
      <c r="AE876" s="3">
        <v>44495</v>
      </c>
      <c r="AF876">
        <v>1972.75</v>
      </c>
    </row>
    <row r="877" spans="31:32" x14ac:dyDescent="0.2">
      <c r="AE877" s="3">
        <v>44494</v>
      </c>
      <c r="AF877">
        <v>1968.54</v>
      </c>
    </row>
    <row r="878" spans="31:32" x14ac:dyDescent="0.2">
      <c r="AE878" s="3">
        <v>44491</v>
      </c>
      <c r="AF878">
        <v>1966.34</v>
      </c>
    </row>
    <row r="879" spans="31:32" x14ac:dyDescent="0.2">
      <c r="AE879" s="3">
        <v>44490</v>
      </c>
      <c r="AF879">
        <v>1947</v>
      </c>
    </row>
    <row r="880" spans="31:32" x14ac:dyDescent="0.2">
      <c r="AE880" s="3">
        <v>44489</v>
      </c>
      <c r="AF880">
        <v>1937.88</v>
      </c>
    </row>
    <row r="881" spans="31:32" x14ac:dyDescent="0.2">
      <c r="AE881" s="3">
        <v>44488</v>
      </c>
      <c r="AF881">
        <v>1922.77</v>
      </c>
    </row>
    <row r="882" spans="31:32" x14ac:dyDescent="0.2">
      <c r="AE882" s="3">
        <v>44487</v>
      </c>
      <c r="AF882">
        <v>1899.05</v>
      </c>
    </row>
    <row r="883" spans="31:32" x14ac:dyDescent="0.2">
      <c r="AE883" s="3">
        <v>44484</v>
      </c>
      <c r="AF883">
        <v>1898.65</v>
      </c>
    </row>
    <row r="884" spans="31:32" x14ac:dyDescent="0.2">
      <c r="AE884" s="3">
        <v>44483</v>
      </c>
      <c r="AF884">
        <v>1873.74</v>
      </c>
    </row>
    <row r="885" spans="31:32" x14ac:dyDescent="0.2">
      <c r="AE885" s="3">
        <v>44482</v>
      </c>
      <c r="AF885">
        <v>1888.7</v>
      </c>
    </row>
    <row r="886" spans="31:32" x14ac:dyDescent="0.2">
      <c r="AE886" s="3">
        <v>44481</v>
      </c>
      <c r="AF886">
        <v>1842.7</v>
      </c>
    </row>
    <row r="887" spans="31:32" x14ac:dyDescent="0.2">
      <c r="AE887" s="3">
        <v>44480</v>
      </c>
      <c r="AF887">
        <v>1826.03</v>
      </c>
    </row>
    <row r="888" spans="31:32" x14ac:dyDescent="0.2">
      <c r="AE888" s="3">
        <v>44477</v>
      </c>
      <c r="AF888">
        <v>1839.72</v>
      </c>
    </row>
    <row r="889" spans="31:32" x14ac:dyDescent="0.2">
      <c r="AE889" s="3">
        <v>44476</v>
      </c>
      <c r="AF889">
        <v>1863.12</v>
      </c>
    </row>
    <row r="890" spans="31:32" x14ac:dyDescent="0.2">
      <c r="AE890" s="3">
        <v>44475</v>
      </c>
      <c r="AF890">
        <v>1840.84</v>
      </c>
    </row>
    <row r="891" spans="31:32" x14ac:dyDescent="0.2">
      <c r="AE891" s="3">
        <v>44474</v>
      </c>
      <c r="AF891">
        <v>1839.95</v>
      </c>
    </row>
    <row r="892" spans="31:32" x14ac:dyDescent="0.2">
      <c r="AE892" s="3">
        <v>44473</v>
      </c>
      <c r="AF892">
        <v>1823.92</v>
      </c>
    </row>
    <row r="893" spans="31:32" x14ac:dyDescent="0.2">
      <c r="AE893" s="3">
        <v>44470</v>
      </c>
      <c r="AF893">
        <v>1856.66</v>
      </c>
    </row>
    <row r="894" spans="31:32" x14ac:dyDescent="0.2">
      <c r="AE894" s="3">
        <v>44469</v>
      </c>
      <c r="AF894">
        <v>1880.62</v>
      </c>
    </row>
    <row r="895" spans="31:32" x14ac:dyDescent="0.2">
      <c r="AE895" s="3">
        <v>44468</v>
      </c>
      <c r="AF895">
        <v>1892.92</v>
      </c>
    </row>
    <row r="896" spans="31:32" x14ac:dyDescent="0.2">
      <c r="AE896" s="3">
        <v>44467</v>
      </c>
      <c r="AF896">
        <v>1883.67</v>
      </c>
    </row>
    <row r="897" spans="31:32" x14ac:dyDescent="0.2">
      <c r="AE897" s="3">
        <v>44466</v>
      </c>
      <c r="AF897">
        <v>1931.97</v>
      </c>
    </row>
    <row r="898" spans="31:32" x14ac:dyDescent="0.2">
      <c r="AE898" s="3">
        <v>44463</v>
      </c>
      <c r="AF898">
        <v>1964.46</v>
      </c>
    </row>
    <row r="899" spans="31:32" x14ac:dyDescent="0.2">
      <c r="AE899" s="3">
        <v>44462</v>
      </c>
      <c r="AF899">
        <v>1998.06</v>
      </c>
    </row>
    <row r="900" spans="31:32" x14ac:dyDescent="0.2">
      <c r="AE900" s="3">
        <v>44461</v>
      </c>
      <c r="AF900">
        <v>1969.05</v>
      </c>
    </row>
    <row r="901" spans="31:32" x14ac:dyDescent="0.2">
      <c r="AE901" s="3">
        <v>44460</v>
      </c>
      <c r="AF901">
        <v>1964.6</v>
      </c>
    </row>
    <row r="902" spans="31:32" x14ac:dyDescent="0.2">
      <c r="AE902" s="3">
        <v>44459</v>
      </c>
      <c r="AF902">
        <v>1927.68</v>
      </c>
    </row>
    <row r="903" spans="31:32" x14ac:dyDescent="0.2">
      <c r="AE903" s="3">
        <v>44456</v>
      </c>
      <c r="AF903">
        <v>1955.65</v>
      </c>
    </row>
    <row r="904" spans="31:32" x14ac:dyDescent="0.2">
      <c r="AE904" s="3">
        <v>44455</v>
      </c>
      <c r="AF904">
        <v>1967.93</v>
      </c>
    </row>
    <row r="905" spans="31:32" x14ac:dyDescent="0.2">
      <c r="AE905" s="3">
        <v>44454</v>
      </c>
      <c r="AF905">
        <v>1952.35</v>
      </c>
    </row>
    <row r="906" spans="31:32" x14ac:dyDescent="0.2">
      <c r="AE906" s="3">
        <v>44453</v>
      </c>
      <c r="AF906">
        <v>1973.78</v>
      </c>
    </row>
    <row r="907" spans="31:32" x14ac:dyDescent="0.2">
      <c r="AE907" s="3">
        <v>44452</v>
      </c>
      <c r="AF907">
        <v>1968.48</v>
      </c>
    </row>
    <row r="908" spans="31:32" x14ac:dyDescent="0.2">
      <c r="AE908" s="3">
        <v>44449</v>
      </c>
      <c r="AF908">
        <v>1960.69</v>
      </c>
    </row>
    <row r="909" spans="31:32" x14ac:dyDescent="0.2">
      <c r="AE909" s="3">
        <v>44448</v>
      </c>
      <c r="AF909">
        <v>1978.68</v>
      </c>
    </row>
    <row r="910" spans="31:32" x14ac:dyDescent="0.2">
      <c r="AE910" s="3">
        <v>44447</v>
      </c>
      <c r="AF910">
        <v>1981.59</v>
      </c>
    </row>
    <row r="911" spans="31:32" x14ac:dyDescent="0.2">
      <c r="AE911" s="3">
        <v>44446</v>
      </c>
      <c r="AF911">
        <v>2011.61</v>
      </c>
    </row>
    <row r="912" spans="31:32" x14ac:dyDescent="0.2">
      <c r="AE912" s="3">
        <v>44445</v>
      </c>
      <c r="AF912">
        <v>2017.12</v>
      </c>
    </row>
    <row r="913" spans="31:32" x14ac:dyDescent="0.2">
      <c r="AE913" s="3">
        <v>44442</v>
      </c>
      <c r="AF913">
        <v>2003.87</v>
      </c>
    </row>
    <row r="914" spans="31:32" x14ac:dyDescent="0.2">
      <c r="AE914" s="3">
        <v>44441</v>
      </c>
      <c r="AF914">
        <v>2012.36</v>
      </c>
    </row>
    <row r="915" spans="31:32" x14ac:dyDescent="0.2">
      <c r="AE915" s="3">
        <v>44440</v>
      </c>
      <c r="AF915">
        <v>1988.31</v>
      </c>
    </row>
    <row r="916" spans="31:32" x14ac:dyDescent="0.2">
      <c r="AE916" s="3">
        <v>44439</v>
      </c>
      <c r="AF916">
        <v>1975.24</v>
      </c>
    </row>
    <row r="917" spans="31:32" x14ac:dyDescent="0.2">
      <c r="AE917" s="3">
        <v>44438</v>
      </c>
      <c r="AF917">
        <v>1993.13</v>
      </c>
    </row>
    <row r="918" spans="31:32" x14ac:dyDescent="0.2">
      <c r="AE918" s="3">
        <v>44435</v>
      </c>
      <c r="AF918">
        <v>1983.58</v>
      </c>
    </row>
    <row r="919" spans="31:32" x14ac:dyDescent="0.2">
      <c r="AE919" s="3">
        <v>44434</v>
      </c>
      <c r="AF919">
        <v>1988.55</v>
      </c>
    </row>
    <row r="920" spans="31:32" x14ac:dyDescent="0.2">
      <c r="AE920" s="3">
        <v>44433</v>
      </c>
      <c r="AF920">
        <v>1987.84</v>
      </c>
    </row>
    <row r="921" spans="31:32" x14ac:dyDescent="0.2">
      <c r="AE921" s="3">
        <v>44432</v>
      </c>
      <c r="AF921">
        <v>2001.26</v>
      </c>
    </row>
    <row r="922" spans="31:32" x14ac:dyDescent="0.2">
      <c r="AE922" s="3">
        <v>44431</v>
      </c>
      <c r="AF922">
        <v>2018.76</v>
      </c>
    </row>
    <row r="923" spans="31:32" x14ac:dyDescent="0.2">
      <c r="AE923" s="3">
        <v>44428</v>
      </c>
      <c r="AF923">
        <v>2007.49</v>
      </c>
    </row>
    <row r="924" spans="31:32" x14ac:dyDescent="0.2">
      <c r="AE924" s="3">
        <v>44427</v>
      </c>
      <c r="AF924">
        <v>1993.86</v>
      </c>
    </row>
    <row r="925" spans="31:32" x14ac:dyDescent="0.2">
      <c r="AE925" s="3">
        <v>44426</v>
      </c>
      <c r="AF925">
        <v>2009.14</v>
      </c>
    </row>
    <row r="926" spans="31:32" x14ac:dyDescent="0.2">
      <c r="AE926" s="3">
        <v>44425</v>
      </c>
      <c r="AF926">
        <v>1996.2</v>
      </c>
    </row>
    <row r="927" spans="31:32" x14ac:dyDescent="0.2">
      <c r="AE927" s="3">
        <v>44424</v>
      </c>
      <c r="AF927">
        <v>1977.7</v>
      </c>
    </row>
    <row r="928" spans="31:32" x14ac:dyDescent="0.2">
      <c r="AE928" s="3">
        <v>44421</v>
      </c>
      <c r="AF928">
        <v>1980.1</v>
      </c>
    </row>
    <row r="929" spans="31:32" x14ac:dyDescent="0.2">
      <c r="AE929" s="3">
        <v>44420</v>
      </c>
      <c r="AF929">
        <v>1964.73</v>
      </c>
    </row>
    <row r="930" spans="31:32" x14ac:dyDescent="0.2">
      <c r="AE930" s="3">
        <v>44419</v>
      </c>
      <c r="AF930">
        <v>1969.59</v>
      </c>
    </row>
    <row r="931" spans="31:32" x14ac:dyDescent="0.2">
      <c r="AE931" s="3">
        <v>44418</v>
      </c>
      <c r="AF931">
        <v>1975.52</v>
      </c>
    </row>
    <row r="932" spans="31:32" x14ac:dyDescent="0.2">
      <c r="AE932" s="3">
        <v>44417</v>
      </c>
      <c r="AF932">
        <v>1976.63</v>
      </c>
    </row>
    <row r="933" spans="31:32" x14ac:dyDescent="0.2">
      <c r="AE933" s="3">
        <v>44414</v>
      </c>
      <c r="AF933">
        <v>1957.61</v>
      </c>
    </row>
    <row r="934" spans="31:32" x14ac:dyDescent="0.2">
      <c r="AE934" s="3">
        <v>44413</v>
      </c>
      <c r="AF934">
        <v>1980.27</v>
      </c>
    </row>
    <row r="935" spans="31:32" x14ac:dyDescent="0.2">
      <c r="AE935" s="3">
        <v>44412</v>
      </c>
      <c r="AF935">
        <v>1965.84</v>
      </c>
    </row>
    <row r="936" spans="31:32" x14ac:dyDescent="0.2">
      <c r="AE936" s="3">
        <v>44411</v>
      </c>
      <c r="AF936">
        <v>1936.22</v>
      </c>
    </row>
    <row r="937" spans="31:32" x14ac:dyDescent="0.2">
      <c r="AE937" s="3">
        <v>44410</v>
      </c>
      <c r="AF937">
        <v>1933.32</v>
      </c>
    </row>
    <row r="938" spans="31:32" x14ac:dyDescent="0.2">
      <c r="AE938" s="3">
        <v>44407</v>
      </c>
      <c r="AF938">
        <v>1925.6</v>
      </c>
    </row>
    <row r="939" spans="31:32" x14ac:dyDescent="0.2">
      <c r="AE939" s="3">
        <v>44406</v>
      </c>
      <c r="AF939">
        <v>1916.05</v>
      </c>
    </row>
    <row r="940" spans="31:32" x14ac:dyDescent="0.2">
      <c r="AE940" s="3">
        <v>44405</v>
      </c>
      <c r="AF940">
        <v>1925.06</v>
      </c>
    </row>
    <row r="941" spans="31:32" x14ac:dyDescent="0.2">
      <c r="AE941" s="3">
        <v>44404</v>
      </c>
      <c r="AF941">
        <v>1902.68</v>
      </c>
    </row>
    <row r="942" spans="31:32" x14ac:dyDescent="0.2">
      <c r="AE942" s="3">
        <v>44403</v>
      </c>
      <c r="AF942">
        <v>1914.88</v>
      </c>
    </row>
    <row r="943" spans="31:32" x14ac:dyDescent="0.2">
      <c r="AE943" s="3">
        <v>44400</v>
      </c>
      <c r="AF943">
        <v>1922.46</v>
      </c>
    </row>
    <row r="944" spans="31:32" x14ac:dyDescent="0.2">
      <c r="AE944" s="3">
        <v>44399</v>
      </c>
      <c r="AF944">
        <v>1925.52</v>
      </c>
    </row>
    <row r="945" spans="31:32" x14ac:dyDescent="0.2">
      <c r="AE945" s="3">
        <v>44398</v>
      </c>
      <c r="AF945">
        <v>1904.63</v>
      </c>
    </row>
    <row r="946" spans="31:32" x14ac:dyDescent="0.2">
      <c r="AE946" s="3">
        <v>44397</v>
      </c>
      <c r="AF946">
        <v>1872.68</v>
      </c>
    </row>
    <row r="947" spans="31:32" x14ac:dyDescent="0.2">
      <c r="AE947" s="3">
        <v>44396</v>
      </c>
      <c r="AF947">
        <v>1875.74</v>
      </c>
    </row>
    <row r="948" spans="31:32" x14ac:dyDescent="0.2">
      <c r="AE948" s="3">
        <v>44393</v>
      </c>
      <c r="AF948">
        <v>1894.35</v>
      </c>
    </row>
    <row r="949" spans="31:32" x14ac:dyDescent="0.2">
      <c r="AE949" s="3">
        <v>44392</v>
      </c>
      <c r="AF949">
        <v>1895.5</v>
      </c>
    </row>
    <row r="950" spans="31:32" x14ac:dyDescent="0.2">
      <c r="AE950" s="3">
        <v>44391</v>
      </c>
      <c r="AF950">
        <v>1920.09</v>
      </c>
    </row>
    <row r="951" spans="31:32" x14ac:dyDescent="0.2">
      <c r="AE951" s="3">
        <v>44390</v>
      </c>
      <c r="AF951">
        <v>1923.86</v>
      </c>
    </row>
    <row r="952" spans="31:32" x14ac:dyDescent="0.2">
      <c r="AE952" s="3">
        <v>44389</v>
      </c>
      <c r="AF952">
        <v>1923.62</v>
      </c>
    </row>
    <row r="953" spans="31:32" x14ac:dyDescent="0.2">
      <c r="AE953" s="3">
        <v>44386</v>
      </c>
      <c r="AF953">
        <v>1897.15</v>
      </c>
    </row>
    <row r="954" spans="31:32" x14ac:dyDescent="0.2">
      <c r="AE954" s="3">
        <v>44385</v>
      </c>
      <c r="AF954">
        <v>1903.3</v>
      </c>
    </row>
    <row r="955" spans="31:32" x14ac:dyDescent="0.2">
      <c r="AE955" s="3">
        <v>44384</v>
      </c>
      <c r="AF955">
        <v>1925.73</v>
      </c>
    </row>
    <row r="956" spans="31:32" x14ac:dyDescent="0.2">
      <c r="AE956" s="3">
        <v>44383</v>
      </c>
      <c r="AF956">
        <v>1902.37</v>
      </c>
    </row>
    <row r="957" spans="31:32" x14ac:dyDescent="0.2">
      <c r="AE957" s="3">
        <v>44382</v>
      </c>
      <c r="AF957">
        <v>1886.4</v>
      </c>
    </row>
    <row r="958" spans="31:32" x14ac:dyDescent="0.2">
      <c r="AE958" s="3">
        <v>44379</v>
      </c>
      <c r="AF958">
        <v>1883.55</v>
      </c>
    </row>
    <row r="959" spans="31:32" x14ac:dyDescent="0.2">
      <c r="AE959" s="3">
        <v>44378</v>
      </c>
      <c r="AF959">
        <v>1888.88</v>
      </c>
    </row>
    <row r="960" spans="31:32" x14ac:dyDescent="0.2">
      <c r="AE960" s="3">
        <v>44377</v>
      </c>
      <c r="AF960">
        <v>1860.41</v>
      </c>
    </row>
    <row r="961" spans="31:32" x14ac:dyDescent="0.2">
      <c r="AE961" s="3">
        <v>44376</v>
      </c>
      <c r="AF961">
        <v>1868.65</v>
      </c>
    </row>
    <row r="962" spans="31:32" x14ac:dyDescent="0.2">
      <c r="AE962" s="3">
        <v>44375</v>
      </c>
      <c r="AF962">
        <v>1856.16</v>
      </c>
    </row>
    <row r="963" spans="31:32" x14ac:dyDescent="0.2">
      <c r="AE963" s="3">
        <v>44372</v>
      </c>
      <c r="AF963">
        <v>1847.02</v>
      </c>
    </row>
    <row r="964" spans="31:32" x14ac:dyDescent="0.2">
      <c r="AE964" s="3">
        <v>44371</v>
      </c>
      <c r="AF964">
        <v>1845.24</v>
      </c>
    </row>
    <row r="965" spans="31:32" x14ac:dyDescent="0.2">
      <c r="AE965" s="3">
        <v>44370</v>
      </c>
      <c r="AF965">
        <v>1825.89</v>
      </c>
    </row>
    <row r="966" spans="31:32" x14ac:dyDescent="0.2">
      <c r="AE966" s="3">
        <v>44369</v>
      </c>
      <c r="AF966">
        <v>1839.8</v>
      </c>
    </row>
    <row r="967" spans="31:32" x14ac:dyDescent="0.2">
      <c r="AE967" s="3">
        <v>44368</v>
      </c>
      <c r="AF967">
        <v>1836.35</v>
      </c>
    </row>
    <row r="968" spans="31:32" x14ac:dyDescent="0.2">
      <c r="AE968" s="3">
        <v>44365</v>
      </c>
      <c r="AF968">
        <v>1828.22</v>
      </c>
    </row>
    <row r="969" spans="31:32" x14ac:dyDescent="0.2">
      <c r="AE969" s="3">
        <v>44364</v>
      </c>
      <c r="AF969">
        <v>1838.66</v>
      </c>
    </row>
    <row r="970" spans="31:32" x14ac:dyDescent="0.2">
      <c r="AE970" s="3">
        <v>44363</v>
      </c>
      <c r="AF970">
        <v>1854.45</v>
      </c>
    </row>
    <row r="971" spans="31:32" x14ac:dyDescent="0.2">
      <c r="AE971" s="3">
        <v>44362</v>
      </c>
      <c r="AF971">
        <v>1837.63</v>
      </c>
    </row>
    <row r="972" spans="31:32" x14ac:dyDescent="0.2">
      <c r="AE972" s="3">
        <v>44361</v>
      </c>
      <c r="AF972">
        <v>1830.56</v>
      </c>
    </row>
    <row r="973" spans="31:32" x14ac:dyDescent="0.2">
      <c r="AE973" s="3">
        <v>44358</v>
      </c>
      <c r="AF973">
        <v>1814.29</v>
      </c>
    </row>
    <row r="974" spans="31:32" x14ac:dyDescent="0.2">
      <c r="AE974" s="3">
        <v>44357</v>
      </c>
      <c r="AF974">
        <v>1813.74</v>
      </c>
    </row>
    <row r="975" spans="31:32" x14ac:dyDescent="0.2">
      <c r="AE975" s="3">
        <v>44356</v>
      </c>
      <c r="AF975">
        <v>1815.42</v>
      </c>
    </row>
    <row r="976" spans="31:32" x14ac:dyDescent="0.2">
      <c r="AE976" s="3">
        <v>44355</v>
      </c>
      <c r="AF976">
        <v>1802.23</v>
      </c>
    </row>
    <row r="977" spans="31:32" x14ac:dyDescent="0.2">
      <c r="AE977" s="3">
        <v>44354</v>
      </c>
      <c r="AF977">
        <v>1806.36</v>
      </c>
    </row>
    <row r="978" spans="31:32" x14ac:dyDescent="0.2">
      <c r="AE978" s="3">
        <v>44351</v>
      </c>
      <c r="AF978">
        <v>1799.79</v>
      </c>
    </row>
    <row r="979" spans="31:32" x14ac:dyDescent="0.2">
      <c r="AE979" s="3">
        <v>44350</v>
      </c>
      <c r="AF979">
        <v>1787.96</v>
      </c>
    </row>
    <row r="980" spans="31:32" x14ac:dyDescent="0.2">
      <c r="AE980" s="3">
        <v>44349</v>
      </c>
      <c r="AF980">
        <v>1786.33</v>
      </c>
    </row>
    <row r="981" spans="31:32" x14ac:dyDescent="0.2">
      <c r="AE981" s="3">
        <v>44348</v>
      </c>
      <c r="AF981">
        <v>1807.12</v>
      </c>
    </row>
    <row r="982" spans="31:32" x14ac:dyDescent="0.2">
      <c r="AE982" s="3">
        <v>44347</v>
      </c>
      <c r="AF982">
        <v>1793.05</v>
      </c>
    </row>
    <row r="983" spans="31:32" x14ac:dyDescent="0.2">
      <c r="AE983" s="3">
        <v>44344</v>
      </c>
      <c r="AF983">
        <v>1805.89</v>
      </c>
    </row>
    <row r="984" spans="31:32" x14ac:dyDescent="0.2">
      <c r="AE984" s="3">
        <v>44343</v>
      </c>
      <c r="AF984">
        <v>1782.3</v>
      </c>
    </row>
    <row r="985" spans="31:32" x14ac:dyDescent="0.2">
      <c r="AE985" s="3">
        <v>44342</v>
      </c>
      <c r="AF985">
        <v>1801.52</v>
      </c>
    </row>
    <row r="986" spans="31:32" x14ac:dyDescent="0.2">
      <c r="AE986" s="3">
        <v>44341</v>
      </c>
      <c r="AF986">
        <v>1803.01</v>
      </c>
    </row>
    <row r="987" spans="31:32" x14ac:dyDescent="0.2">
      <c r="AE987" s="3">
        <v>44337</v>
      </c>
      <c r="AF987">
        <v>1796.89</v>
      </c>
    </row>
    <row r="988" spans="31:32" x14ac:dyDescent="0.2">
      <c r="AE988" s="3">
        <v>44336</v>
      </c>
      <c r="AF988">
        <v>1776.84</v>
      </c>
    </row>
    <row r="989" spans="31:32" x14ac:dyDescent="0.2">
      <c r="AE989" s="3">
        <v>44335</v>
      </c>
      <c r="AF989">
        <v>1743.61</v>
      </c>
    </row>
    <row r="990" spans="31:32" x14ac:dyDescent="0.2">
      <c r="AE990" s="3">
        <v>44334</v>
      </c>
      <c r="AF990">
        <v>1754.81</v>
      </c>
    </row>
    <row r="991" spans="31:32" x14ac:dyDescent="0.2">
      <c r="AE991" s="3">
        <v>44333</v>
      </c>
      <c r="AF991">
        <v>1742.44</v>
      </c>
    </row>
    <row r="992" spans="31:32" x14ac:dyDescent="0.2">
      <c r="AE992" s="3">
        <v>44328</v>
      </c>
      <c r="AF992">
        <v>1718.43</v>
      </c>
    </row>
    <row r="993" spans="31:32" x14ac:dyDescent="0.2">
      <c r="AE993" s="3">
        <v>44327</v>
      </c>
      <c r="AF993">
        <v>1726.27</v>
      </c>
    </row>
    <row r="994" spans="31:32" x14ac:dyDescent="0.2">
      <c r="AE994" s="3">
        <v>44326</v>
      </c>
      <c r="AF994">
        <v>1772.84</v>
      </c>
    </row>
    <row r="995" spans="31:32" x14ac:dyDescent="0.2">
      <c r="AE995" s="3">
        <v>44323</v>
      </c>
      <c r="AF995">
        <v>1779.53</v>
      </c>
    </row>
    <row r="996" spans="31:32" x14ac:dyDescent="0.2">
      <c r="AE996" s="3">
        <v>44322</v>
      </c>
      <c r="AF996">
        <v>1750.52</v>
      </c>
    </row>
    <row r="997" spans="31:32" x14ac:dyDescent="0.2">
      <c r="AE997" s="3">
        <v>44321</v>
      </c>
      <c r="AF997">
        <v>1771.03</v>
      </c>
    </row>
    <row r="998" spans="31:32" x14ac:dyDescent="0.2">
      <c r="AE998" s="3">
        <v>44320</v>
      </c>
      <c r="AF998">
        <v>1734.58</v>
      </c>
    </row>
    <row r="999" spans="31:32" x14ac:dyDescent="0.2">
      <c r="AE999" s="3">
        <v>44319</v>
      </c>
      <c r="AF999">
        <v>1769.41</v>
      </c>
    </row>
    <row r="1000" spans="31:32" x14ac:dyDescent="0.2">
      <c r="AE1000" s="3">
        <v>44315</v>
      </c>
      <c r="AF1000">
        <v>1766.36</v>
      </c>
    </row>
    <row r="1001" spans="31:32" x14ac:dyDescent="0.2">
      <c r="AE1001" s="3">
        <v>44314</v>
      </c>
      <c r="AF1001">
        <v>1781.11</v>
      </c>
    </row>
    <row r="1002" spans="31:32" x14ac:dyDescent="0.2">
      <c r="AE1002" s="3">
        <v>44313</v>
      </c>
      <c r="AF1002">
        <v>1788.48</v>
      </c>
    </row>
    <row r="1003" spans="31:32" x14ac:dyDescent="0.2">
      <c r="AE1003" s="3">
        <v>44312</v>
      </c>
      <c r="AF1003">
        <v>1765.21</v>
      </c>
    </row>
    <row r="1004" spans="31:32" x14ac:dyDescent="0.2">
      <c r="AE1004" s="3">
        <v>44309</v>
      </c>
      <c r="AF1004">
        <v>1761.54</v>
      </c>
    </row>
    <row r="1005" spans="31:32" x14ac:dyDescent="0.2">
      <c r="AE1005" s="3">
        <v>44308</v>
      </c>
      <c r="AF1005">
        <v>1763.85</v>
      </c>
    </row>
    <row r="1006" spans="31:32" x14ac:dyDescent="0.2">
      <c r="AE1006" s="3">
        <v>44307</v>
      </c>
      <c r="AF1006">
        <v>1724.87</v>
      </c>
    </row>
    <row r="1007" spans="31:32" x14ac:dyDescent="0.2">
      <c r="AE1007" s="3">
        <v>44306</v>
      </c>
      <c r="AF1007">
        <v>1705.26</v>
      </c>
    </row>
    <row r="1008" spans="31:32" x14ac:dyDescent="0.2">
      <c r="AE1008" s="3">
        <v>44305</v>
      </c>
      <c r="AF1008">
        <v>1727.53</v>
      </c>
    </row>
    <row r="1009" spans="31:32" x14ac:dyDescent="0.2">
      <c r="AE1009" s="3">
        <v>44302</v>
      </c>
      <c r="AF1009">
        <v>1737.89</v>
      </c>
    </row>
    <row r="1010" spans="31:32" x14ac:dyDescent="0.2">
      <c r="AE1010" s="3">
        <v>44301</v>
      </c>
      <c r="AF1010">
        <v>1719.26</v>
      </c>
    </row>
    <row r="1011" spans="31:32" x14ac:dyDescent="0.2">
      <c r="AE1011" s="3">
        <v>44300</v>
      </c>
      <c r="AF1011">
        <v>1706.24</v>
      </c>
    </row>
    <row r="1012" spans="31:32" x14ac:dyDescent="0.2">
      <c r="AE1012" s="3">
        <v>44299</v>
      </c>
      <c r="AF1012">
        <v>1719.58</v>
      </c>
    </row>
    <row r="1013" spans="31:32" x14ac:dyDescent="0.2">
      <c r="AE1013" s="3">
        <v>44298</v>
      </c>
      <c r="AF1013">
        <v>1703.76</v>
      </c>
    </row>
    <row r="1014" spans="31:32" x14ac:dyDescent="0.2">
      <c r="AE1014" s="3">
        <v>44295</v>
      </c>
      <c r="AF1014">
        <v>1724.42</v>
      </c>
    </row>
    <row r="1015" spans="31:32" x14ac:dyDescent="0.2">
      <c r="AE1015" s="3">
        <v>44294</v>
      </c>
      <c r="AF1015">
        <v>1710.22</v>
      </c>
    </row>
    <row r="1016" spans="31:32" x14ac:dyDescent="0.2">
      <c r="AE1016" s="3">
        <v>44293</v>
      </c>
      <c r="AF1016">
        <v>1679.7</v>
      </c>
    </row>
    <row r="1017" spans="31:32" x14ac:dyDescent="0.2">
      <c r="AE1017" s="3">
        <v>44292</v>
      </c>
      <c r="AF1017">
        <v>1695.96</v>
      </c>
    </row>
    <row r="1018" spans="31:32" x14ac:dyDescent="0.2">
      <c r="AE1018" s="3">
        <v>44286</v>
      </c>
      <c r="AF1018">
        <v>1689.8</v>
      </c>
    </row>
    <row r="1019" spans="31:32" x14ac:dyDescent="0.2">
      <c r="AE1019" s="3">
        <v>44285</v>
      </c>
      <c r="AF1019">
        <v>1665.35</v>
      </c>
    </row>
    <row r="1020" spans="31:32" x14ac:dyDescent="0.2">
      <c r="AE1020" s="3">
        <v>44284</v>
      </c>
      <c r="AF1020">
        <v>1663.07</v>
      </c>
    </row>
    <row r="1021" spans="31:32" x14ac:dyDescent="0.2">
      <c r="AE1021" s="3">
        <v>44281</v>
      </c>
      <c r="AF1021">
        <v>1651.25</v>
      </c>
    </row>
    <row r="1022" spans="31:32" x14ac:dyDescent="0.2">
      <c r="AE1022" s="3">
        <v>44280</v>
      </c>
      <c r="AF1022">
        <v>1620.67</v>
      </c>
    </row>
    <row r="1023" spans="31:32" x14ac:dyDescent="0.2">
      <c r="AE1023" s="3">
        <v>44279</v>
      </c>
      <c r="AF1023">
        <v>1619.52</v>
      </c>
    </row>
    <row r="1024" spans="31:32" x14ac:dyDescent="0.2">
      <c r="AE1024" s="3">
        <v>44278</v>
      </c>
      <c r="AF1024">
        <v>1640.14</v>
      </c>
    </row>
    <row r="1025" spans="31:32" x14ac:dyDescent="0.2">
      <c r="AE1025" s="3">
        <v>44277</v>
      </c>
      <c r="AF1025">
        <v>1649.25</v>
      </c>
    </row>
    <row r="1026" spans="31:32" x14ac:dyDescent="0.2">
      <c r="AE1026" s="3">
        <v>44274</v>
      </c>
      <c r="AF1026">
        <v>1637.03</v>
      </c>
    </row>
    <row r="1027" spans="31:32" x14ac:dyDescent="0.2">
      <c r="AE1027" s="3">
        <v>44273</v>
      </c>
      <c r="AF1027">
        <v>1630.6</v>
      </c>
    </row>
    <row r="1028" spans="31:32" x14ac:dyDescent="0.2">
      <c r="AE1028" s="3">
        <v>44272</v>
      </c>
      <c r="AF1028">
        <v>1623.06</v>
      </c>
    </row>
    <row r="1029" spans="31:32" x14ac:dyDescent="0.2">
      <c r="AE1029" s="3">
        <v>44271</v>
      </c>
      <c r="AF1029">
        <v>1655.74</v>
      </c>
    </row>
    <row r="1030" spans="31:32" x14ac:dyDescent="0.2">
      <c r="AE1030" s="3">
        <v>44270</v>
      </c>
      <c r="AF1030">
        <v>1636.08</v>
      </c>
    </row>
    <row r="1031" spans="31:32" x14ac:dyDescent="0.2">
      <c r="AE1031" s="3">
        <v>44267</v>
      </c>
      <c r="AF1031">
        <v>1624.13</v>
      </c>
    </row>
    <row r="1032" spans="31:32" x14ac:dyDescent="0.2">
      <c r="AE1032" s="3">
        <v>44266</v>
      </c>
      <c r="AF1032">
        <v>1642.26</v>
      </c>
    </row>
    <row r="1033" spans="31:32" x14ac:dyDescent="0.2">
      <c r="AE1033" s="3">
        <v>44265</v>
      </c>
      <c r="AF1033">
        <v>1621.94</v>
      </c>
    </row>
    <row r="1034" spans="31:32" x14ac:dyDescent="0.2">
      <c r="AE1034" s="3">
        <v>44264</v>
      </c>
      <c r="AF1034">
        <v>1607.33</v>
      </c>
    </row>
    <row r="1035" spans="31:32" x14ac:dyDescent="0.2">
      <c r="AE1035" s="3">
        <v>44263</v>
      </c>
      <c r="AF1035">
        <v>1556.4</v>
      </c>
    </row>
    <row r="1036" spans="31:32" x14ac:dyDescent="0.2">
      <c r="AE1036" s="3">
        <v>44260</v>
      </c>
      <c r="AF1036">
        <v>1538.82</v>
      </c>
    </row>
    <row r="1037" spans="31:32" x14ac:dyDescent="0.2">
      <c r="AE1037" s="3">
        <v>44259</v>
      </c>
      <c r="AF1037">
        <v>1560.01</v>
      </c>
    </row>
    <row r="1038" spans="31:32" x14ac:dyDescent="0.2">
      <c r="AE1038" s="3">
        <v>44258</v>
      </c>
      <c r="AF1038">
        <v>1580.93</v>
      </c>
    </row>
    <row r="1039" spans="31:32" x14ac:dyDescent="0.2">
      <c r="AE1039" s="3">
        <v>44257</v>
      </c>
      <c r="AF1039">
        <v>1620.93</v>
      </c>
    </row>
    <row r="1040" spans="31:32" x14ac:dyDescent="0.2">
      <c r="AE1040" s="3">
        <v>44256</v>
      </c>
      <c r="AF1040">
        <v>1633.01</v>
      </c>
    </row>
    <row r="1041" spans="31:32" x14ac:dyDescent="0.2">
      <c r="AE1041" s="3">
        <v>44253</v>
      </c>
      <c r="AF1041">
        <v>1606.86</v>
      </c>
    </row>
    <row r="1042" spans="31:32" x14ac:dyDescent="0.2">
      <c r="AE1042" s="3">
        <v>44252</v>
      </c>
      <c r="AF1042">
        <v>1627.61</v>
      </c>
    </row>
    <row r="1043" spans="31:32" x14ac:dyDescent="0.2">
      <c r="AE1043" s="3">
        <v>44251</v>
      </c>
      <c r="AF1043">
        <v>1609.75</v>
      </c>
    </row>
    <row r="1044" spans="31:32" x14ac:dyDescent="0.2">
      <c r="AE1044" s="3">
        <v>44250</v>
      </c>
      <c r="AF1044">
        <v>1615.97</v>
      </c>
    </row>
    <row r="1045" spans="31:32" x14ac:dyDescent="0.2">
      <c r="AE1045" s="3">
        <v>44249</v>
      </c>
      <c r="AF1045">
        <v>1645.22</v>
      </c>
    </row>
    <row r="1046" spans="31:32" x14ac:dyDescent="0.2">
      <c r="AE1046" s="3">
        <v>44246</v>
      </c>
      <c r="AF1046">
        <v>1676.75</v>
      </c>
    </row>
    <row r="1047" spans="31:32" x14ac:dyDescent="0.2">
      <c r="AE1047" s="3">
        <v>44245</v>
      </c>
      <c r="AF1047">
        <v>1678.12</v>
      </c>
    </row>
    <row r="1048" spans="31:32" x14ac:dyDescent="0.2">
      <c r="AE1048" s="3">
        <v>44244</v>
      </c>
      <c r="AF1048">
        <v>1701.43</v>
      </c>
    </row>
    <row r="1049" spans="31:32" x14ac:dyDescent="0.2">
      <c r="AE1049" s="3">
        <v>44243</v>
      </c>
      <c r="AF1049">
        <v>1711.93</v>
      </c>
    </row>
    <row r="1050" spans="31:32" x14ac:dyDescent="0.2">
      <c r="AE1050" s="3">
        <v>44242</v>
      </c>
      <c r="AF1050">
        <v>1710.28</v>
      </c>
    </row>
    <row r="1051" spans="31:32" x14ac:dyDescent="0.2">
      <c r="AE1051" s="3">
        <v>44239</v>
      </c>
      <c r="AF1051">
        <v>1696</v>
      </c>
    </row>
    <row r="1052" spans="31:32" x14ac:dyDescent="0.2">
      <c r="AE1052" s="3">
        <v>44238</v>
      </c>
      <c r="AF1052">
        <v>1672.01</v>
      </c>
    </row>
    <row r="1053" spans="31:32" x14ac:dyDescent="0.2">
      <c r="AE1053" s="3">
        <v>44237</v>
      </c>
      <c r="AF1053">
        <v>1631.47</v>
      </c>
    </row>
    <row r="1054" spans="31:32" x14ac:dyDescent="0.2">
      <c r="AE1054" s="3">
        <v>44236</v>
      </c>
      <c r="AF1054">
        <v>1660.03</v>
      </c>
    </row>
    <row r="1055" spans="31:32" x14ac:dyDescent="0.2">
      <c r="AE1055" s="3">
        <v>44235</v>
      </c>
      <c r="AF1055">
        <v>1672.76</v>
      </c>
    </row>
    <row r="1056" spans="31:32" x14ac:dyDescent="0.2">
      <c r="AE1056" s="3">
        <v>44232</v>
      </c>
      <c r="AF1056">
        <v>1679.4</v>
      </c>
    </row>
    <row r="1057" spans="31:32" x14ac:dyDescent="0.2">
      <c r="AE1057" s="3">
        <v>44231</v>
      </c>
      <c r="AF1057">
        <v>1665.23</v>
      </c>
    </row>
    <row r="1058" spans="31:32" x14ac:dyDescent="0.2">
      <c r="AE1058" s="3">
        <v>44230</v>
      </c>
      <c r="AF1058">
        <v>1675.26</v>
      </c>
    </row>
    <row r="1059" spans="31:32" x14ac:dyDescent="0.2">
      <c r="AE1059" s="3">
        <v>44229</v>
      </c>
      <c r="AF1059">
        <v>1665.37</v>
      </c>
    </row>
    <row r="1060" spans="31:32" x14ac:dyDescent="0.2">
      <c r="AE1060" s="3">
        <v>44228</v>
      </c>
      <c r="AF1060">
        <v>1639.48</v>
      </c>
    </row>
    <row r="1061" spans="31:32" x14ac:dyDescent="0.2">
      <c r="AE1061" s="3">
        <v>44225</v>
      </c>
      <c r="AF1061">
        <v>1612.51</v>
      </c>
    </row>
    <row r="1062" spans="31:32" x14ac:dyDescent="0.2">
      <c r="AE1062" s="3">
        <v>44224</v>
      </c>
      <c r="AF1062">
        <v>1644.17</v>
      </c>
    </row>
    <row r="1063" spans="31:32" x14ac:dyDescent="0.2">
      <c r="AE1063" s="3">
        <v>44223</v>
      </c>
      <c r="AF1063">
        <v>1628.07</v>
      </c>
    </row>
    <row r="1064" spans="31:32" x14ac:dyDescent="0.2">
      <c r="AE1064" s="3">
        <v>44222</v>
      </c>
      <c r="AF1064">
        <v>1667.63</v>
      </c>
    </row>
    <row r="1065" spans="31:32" x14ac:dyDescent="0.2">
      <c r="AE1065" s="3">
        <v>44221</v>
      </c>
      <c r="AF1065">
        <v>1688.72</v>
      </c>
    </row>
    <row r="1066" spans="31:32" x14ac:dyDescent="0.2">
      <c r="AE1066" s="3">
        <v>44218</v>
      </c>
      <c r="AF1066">
        <v>1685.72</v>
      </c>
    </row>
    <row r="1067" spans="31:32" x14ac:dyDescent="0.2">
      <c r="AE1067" s="3">
        <v>44217</v>
      </c>
      <c r="AF1067">
        <v>1691.06</v>
      </c>
    </row>
    <row r="1068" spans="31:32" x14ac:dyDescent="0.2">
      <c r="AE1068" s="3">
        <v>44216</v>
      </c>
      <c r="AF1068">
        <v>1689.91</v>
      </c>
    </row>
    <row r="1069" spans="31:32" x14ac:dyDescent="0.2">
      <c r="AE1069" s="3">
        <v>44215</v>
      </c>
      <c r="AF1069">
        <v>1686.82</v>
      </c>
    </row>
    <row r="1070" spans="31:32" x14ac:dyDescent="0.2">
      <c r="AE1070" s="3">
        <v>44214</v>
      </c>
      <c r="AF1070">
        <v>1667.86</v>
      </c>
    </row>
    <row r="1071" spans="31:32" x14ac:dyDescent="0.2">
      <c r="AE1071" s="3">
        <v>44211</v>
      </c>
      <c r="AF1071">
        <v>1657.63</v>
      </c>
    </row>
    <row r="1072" spans="31:32" x14ac:dyDescent="0.2">
      <c r="AE1072" s="3">
        <v>44210</v>
      </c>
      <c r="AF1072">
        <v>1676.51</v>
      </c>
    </row>
    <row r="1073" spans="31:32" x14ac:dyDescent="0.2">
      <c r="AE1073" s="3">
        <v>44209</v>
      </c>
      <c r="AF1073">
        <v>1671.63</v>
      </c>
    </row>
    <row r="1074" spans="31:32" x14ac:dyDescent="0.2">
      <c r="AE1074" s="3">
        <v>44208</v>
      </c>
      <c r="AF1074">
        <v>1664.55</v>
      </c>
    </row>
    <row r="1075" spans="31:32" x14ac:dyDescent="0.2">
      <c r="AE1075" s="3">
        <v>44207</v>
      </c>
      <c r="AF1075">
        <v>1690.54</v>
      </c>
    </row>
    <row r="1076" spans="31:32" x14ac:dyDescent="0.2">
      <c r="AE1076" s="3">
        <v>44204</v>
      </c>
      <c r="AF1076">
        <v>1706.57</v>
      </c>
    </row>
    <row r="1077" spans="31:32" x14ac:dyDescent="0.2">
      <c r="AE1077" s="3">
        <v>44203</v>
      </c>
      <c r="AF1077">
        <v>1691.89</v>
      </c>
    </row>
    <row r="1078" spans="31:32" x14ac:dyDescent="0.2">
      <c r="AE1078" s="3">
        <v>44202</v>
      </c>
      <c r="AF1078">
        <v>1673.52</v>
      </c>
    </row>
    <row r="1079" spans="31:32" x14ac:dyDescent="0.2">
      <c r="AE1079" s="3">
        <v>44201</v>
      </c>
      <c r="AF1079">
        <v>1680.59</v>
      </c>
    </row>
    <row r="1080" spans="31:32" x14ac:dyDescent="0.2">
      <c r="AE1080" s="3">
        <v>44200</v>
      </c>
      <c r="AF1080">
        <v>1701.55</v>
      </c>
    </row>
    <row r="1081" spans="31:32" x14ac:dyDescent="0.2">
      <c r="AE1081" s="3">
        <v>44195</v>
      </c>
      <c r="AF1081">
        <v>1676.67</v>
      </c>
    </row>
    <row r="1082" spans="31:32" x14ac:dyDescent="0.2">
      <c r="AE1082" s="3">
        <v>44194</v>
      </c>
      <c r="AF1082">
        <v>1688.22</v>
      </c>
    </row>
    <row r="1083" spans="31:32" x14ac:dyDescent="0.2">
      <c r="AE1083" s="3">
        <v>44193</v>
      </c>
      <c r="AF1083">
        <v>1682.93</v>
      </c>
    </row>
    <row r="1084" spans="31:32" x14ac:dyDescent="0.2">
      <c r="AE1084" s="3">
        <v>44188</v>
      </c>
      <c r="AF1084">
        <v>1649.42</v>
      </c>
    </row>
    <row r="1085" spans="31:32" x14ac:dyDescent="0.2">
      <c r="AE1085" s="3">
        <v>44187</v>
      </c>
      <c r="AF1085">
        <v>1654.2</v>
      </c>
    </row>
    <row r="1086" spans="31:32" x14ac:dyDescent="0.2">
      <c r="AE1086" s="3">
        <v>44186</v>
      </c>
      <c r="AF1086">
        <v>1634.76</v>
      </c>
    </row>
    <row r="1087" spans="31:32" x14ac:dyDescent="0.2">
      <c r="AE1087" s="3">
        <v>44183</v>
      </c>
      <c r="AF1087">
        <v>1643.84</v>
      </c>
    </row>
    <row r="1088" spans="31:32" x14ac:dyDescent="0.2">
      <c r="AE1088" s="3">
        <v>44182</v>
      </c>
      <c r="AF1088">
        <v>1618.41</v>
      </c>
    </row>
    <row r="1089" spans="31:32" x14ac:dyDescent="0.2">
      <c r="AE1089" s="3">
        <v>44181</v>
      </c>
      <c r="AF1089">
        <v>1612.62</v>
      </c>
    </row>
    <row r="1090" spans="31:32" x14ac:dyDescent="0.2">
      <c r="AE1090" s="3">
        <v>44180</v>
      </c>
      <c r="AF1090">
        <v>1595.31</v>
      </c>
    </row>
    <row r="1091" spans="31:32" x14ac:dyDescent="0.2">
      <c r="AE1091" s="3">
        <v>44179</v>
      </c>
      <c r="AF1091">
        <v>1600.27</v>
      </c>
    </row>
    <row r="1092" spans="31:32" x14ac:dyDescent="0.2">
      <c r="AE1092" s="3">
        <v>44176</v>
      </c>
      <c r="AF1092">
        <v>1581.97</v>
      </c>
    </row>
    <row r="1093" spans="31:32" x14ac:dyDescent="0.2">
      <c r="AE1093" s="3">
        <v>44175</v>
      </c>
      <c r="AF1093">
        <v>1576.91</v>
      </c>
    </row>
    <row r="1094" spans="31:32" x14ac:dyDescent="0.2">
      <c r="AE1094" s="3">
        <v>44174</v>
      </c>
      <c r="AF1094">
        <v>1588.94</v>
      </c>
    </row>
    <row r="1095" spans="31:32" x14ac:dyDescent="0.2">
      <c r="AE1095" s="3">
        <v>44173</v>
      </c>
      <c r="AF1095">
        <v>1579.64</v>
      </c>
    </row>
    <row r="1096" spans="31:32" x14ac:dyDescent="0.2">
      <c r="AE1096" s="3">
        <v>44172</v>
      </c>
      <c r="AF1096">
        <v>1563.56</v>
      </c>
    </row>
    <row r="1097" spans="31:32" x14ac:dyDescent="0.2">
      <c r="AE1097" s="3">
        <v>44169</v>
      </c>
      <c r="AF1097">
        <v>1554.98</v>
      </c>
    </row>
    <row r="1098" spans="31:32" x14ac:dyDescent="0.2">
      <c r="AE1098" s="3">
        <v>44168</v>
      </c>
      <c r="AF1098">
        <v>1554.04</v>
      </c>
    </row>
    <row r="1099" spans="31:32" x14ac:dyDescent="0.2">
      <c r="AE1099" s="3">
        <v>44167</v>
      </c>
      <c r="AF1099">
        <v>1575.69</v>
      </c>
    </row>
    <row r="1100" spans="31:32" x14ac:dyDescent="0.2">
      <c r="AE1100" s="3">
        <v>44166</v>
      </c>
      <c r="AF1100">
        <v>1581.62</v>
      </c>
    </row>
    <row r="1101" spans="31:32" x14ac:dyDescent="0.2">
      <c r="AE1101" s="3">
        <v>44165</v>
      </c>
      <c r="AF1101">
        <v>1596.78</v>
      </c>
    </row>
    <row r="1102" spans="31:32" x14ac:dyDescent="0.2">
      <c r="AE1102" s="3">
        <v>44162</v>
      </c>
      <c r="AF1102">
        <v>1593.18</v>
      </c>
    </row>
    <row r="1103" spans="31:32" x14ac:dyDescent="0.2">
      <c r="AE1103" s="3">
        <v>44161</v>
      </c>
      <c r="AF1103">
        <v>1572.36</v>
      </c>
    </row>
    <row r="1104" spans="31:32" x14ac:dyDescent="0.2">
      <c r="AE1104" s="3">
        <v>44160</v>
      </c>
      <c r="AF1104">
        <v>1562.86</v>
      </c>
    </row>
    <row r="1105" spans="31:32" x14ac:dyDescent="0.2">
      <c r="AE1105" s="3">
        <v>44159</v>
      </c>
      <c r="AF1105">
        <v>1558.89</v>
      </c>
    </row>
    <row r="1106" spans="31:32" x14ac:dyDescent="0.2">
      <c r="AE1106" s="3">
        <v>44158</v>
      </c>
      <c r="AF1106">
        <v>1582.06</v>
      </c>
    </row>
    <row r="1107" spans="31:32" x14ac:dyDescent="0.2">
      <c r="AE1107" s="3">
        <v>44155</v>
      </c>
      <c r="AF1107">
        <v>1595.77</v>
      </c>
    </row>
    <row r="1108" spans="31:32" x14ac:dyDescent="0.2">
      <c r="AE1108" s="3">
        <v>44154</v>
      </c>
      <c r="AF1108">
        <v>1569.97</v>
      </c>
    </row>
    <row r="1109" spans="31:32" x14ac:dyDescent="0.2">
      <c r="AE1109" s="3">
        <v>44153</v>
      </c>
      <c r="AF1109">
        <v>1564.55</v>
      </c>
    </row>
    <row r="1110" spans="31:32" x14ac:dyDescent="0.2">
      <c r="AE1110" s="3">
        <v>44152</v>
      </c>
      <c r="AF1110">
        <v>1564.25</v>
      </c>
    </row>
    <row r="1111" spans="31:32" x14ac:dyDescent="0.2">
      <c r="AE1111" s="3">
        <v>44151</v>
      </c>
      <c r="AF1111">
        <v>1570.7</v>
      </c>
    </row>
    <row r="1112" spans="31:32" x14ac:dyDescent="0.2">
      <c r="AE1112" s="3">
        <v>44148</v>
      </c>
      <c r="AF1112">
        <v>1578.94</v>
      </c>
    </row>
    <row r="1113" spans="31:32" x14ac:dyDescent="0.2">
      <c r="AE1113" s="3">
        <v>44147</v>
      </c>
      <c r="AF1113">
        <v>1585.57</v>
      </c>
    </row>
    <row r="1114" spans="31:32" x14ac:dyDescent="0.2">
      <c r="AE1114" s="3">
        <v>44146</v>
      </c>
      <c r="AF1114">
        <v>1579.12</v>
      </c>
    </row>
    <row r="1115" spans="31:32" x14ac:dyDescent="0.2">
      <c r="AE1115" s="3">
        <v>44145</v>
      </c>
      <c r="AF1115">
        <v>1552.16</v>
      </c>
    </row>
    <row r="1116" spans="31:32" x14ac:dyDescent="0.2">
      <c r="AE1116" s="3">
        <v>44144</v>
      </c>
      <c r="AF1116">
        <v>1562.99</v>
      </c>
    </row>
    <row r="1117" spans="31:32" x14ac:dyDescent="0.2">
      <c r="AE1117" s="3">
        <v>44141</v>
      </c>
      <c r="AF1117">
        <v>1586.33</v>
      </c>
    </row>
    <row r="1118" spans="31:32" x14ac:dyDescent="0.2">
      <c r="AE1118" s="3">
        <v>44140</v>
      </c>
      <c r="AF1118">
        <v>1593.26</v>
      </c>
    </row>
    <row r="1119" spans="31:32" x14ac:dyDescent="0.2">
      <c r="AE1119" s="3">
        <v>44139</v>
      </c>
      <c r="AF1119">
        <v>1555.24</v>
      </c>
    </row>
    <row r="1120" spans="31:32" x14ac:dyDescent="0.2">
      <c r="AE1120" s="3">
        <v>44138</v>
      </c>
      <c r="AF1120">
        <v>1514.11</v>
      </c>
    </row>
    <row r="1121" spans="31:32" x14ac:dyDescent="0.2">
      <c r="AE1121" s="3">
        <v>44137</v>
      </c>
      <c r="AF1121">
        <v>1497.09</v>
      </c>
    </row>
    <row r="1122" spans="31:32" x14ac:dyDescent="0.2">
      <c r="AE1122" s="3">
        <v>44134</v>
      </c>
      <c r="AF1122">
        <v>1485.11</v>
      </c>
    </row>
    <row r="1123" spans="31:32" x14ac:dyDescent="0.2">
      <c r="AE1123" s="3">
        <v>44133</v>
      </c>
      <c r="AF1123">
        <v>1493.91</v>
      </c>
    </row>
    <row r="1124" spans="31:32" x14ac:dyDescent="0.2">
      <c r="AE1124" s="3">
        <v>44132</v>
      </c>
      <c r="AF1124">
        <v>1464.51</v>
      </c>
    </row>
    <row r="1125" spans="31:32" x14ac:dyDescent="0.2">
      <c r="AE1125" s="3">
        <v>44131</v>
      </c>
      <c r="AF1125">
        <v>1501.66</v>
      </c>
    </row>
    <row r="1126" spans="31:32" x14ac:dyDescent="0.2">
      <c r="AE1126" s="3">
        <v>44130</v>
      </c>
      <c r="AF1126">
        <v>1501.83</v>
      </c>
    </row>
    <row r="1127" spans="31:32" x14ac:dyDescent="0.2">
      <c r="AE1127" s="3">
        <v>44127</v>
      </c>
      <c r="AF1127">
        <v>1529.24</v>
      </c>
    </row>
    <row r="1128" spans="31:32" x14ac:dyDescent="0.2">
      <c r="AE1128" s="3">
        <v>44126</v>
      </c>
      <c r="AF1128">
        <v>1526.36</v>
      </c>
    </row>
    <row r="1129" spans="31:32" x14ac:dyDescent="0.2">
      <c r="AE1129" s="3">
        <v>44125</v>
      </c>
      <c r="AF1129">
        <v>1541.22</v>
      </c>
    </row>
    <row r="1130" spans="31:32" x14ac:dyDescent="0.2">
      <c r="AE1130" s="3">
        <v>44124</v>
      </c>
      <c r="AF1130">
        <v>1566.89</v>
      </c>
    </row>
    <row r="1131" spans="31:32" x14ac:dyDescent="0.2">
      <c r="AE1131" s="3">
        <v>44123</v>
      </c>
      <c r="AF1131">
        <v>1569.76</v>
      </c>
    </row>
    <row r="1132" spans="31:32" x14ac:dyDescent="0.2">
      <c r="AE1132" s="3">
        <v>44120</v>
      </c>
      <c r="AF1132">
        <v>1579.13</v>
      </c>
    </row>
    <row r="1133" spans="31:32" x14ac:dyDescent="0.2">
      <c r="AE1133" s="3">
        <v>44119</v>
      </c>
      <c r="AF1133">
        <v>1570.79</v>
      </c>
    </row>
    <row r="1134" spans="31:32" x14ac:dyDescent="0.2">
      <c r="AE1134" s="3">
        <v>44118</v>
      </c>
      <c r="AF1134">
        <v>1598.27</v>
      </c>
    </row>
    <row r="1135" spans="31:32" x14ac:dyDescent="0.2">
      <c r="AE1135" s="3">
        <v>44117</v>
      </c>
      <c r="AF1135">
        <v>1597</v>
      </c>
    </row>
    <row r="1136" spans="31:32" x14ac:dyDescent="0.2">
      <c r="AE1136" s="3">
        <v>44116</v>
      </c>
      <c r="AF1136">
        <v>1597.11</v>
      </c>
    </row>
    <row r="1137" spans="31:32" x14ac:dyDescent="0.2">
      <c r="AE1137" s="3">
        <v>44113</v>
      </c>
      <c r="AF1137">
        <v>1565.08</v>
      </c>
    </row>
    <row r="1138" spans="31:32" x14ac:dyDescent="0.2">
      <c r="AE1138" s="3">
        <v>44112</v>
      </c>
      <c r="AF1138">
        <v>1549.31</v>
      </c>
    </row>
    <row r="1139" spans="31:32" x14ac:dyDescent="0.2">
      <c r="AE1139" s="3">
        <v>44111</v>
      </c>
      <c r="AF1139">
        <v>1536.63</v>
      </c>
    </row>
    <row r="1140" spans="31:32" x14ac:dyDescent="0.2">
      <c r="AE1140" s="3">
        <v>44110</v>
      </c>
      <c r="AF1140">
        <v>1528.29</v>
      </c>
    </row>
    <row r="1141" spans="31:32" x14ac:dyDescent="0.2">
      <c r="AE1141" s="3">
        <v>44109</v>
      </c>
      <c r="AF1141">
        <v>1539.83</v>
      </c>
    </row>
    <row r="1142" spans="31:32" x14ac:dyDescent="0.2">
      <c r="AE1142" s="3">
        <v>44106</v>
      </c>
      <c r="AF1142">
        <v>1517.84</v>
      </c>
    </row>
    <row r="1143" spans="31:32" x14ac:dyDescent="0.2">
      <c r="AE1143" s="3">
        <v>44105</v>
      </c>
      <c r="AF1143">
        <v>1525.68</v>
      </c>
    </row>
    <row r="1144" spans="31:32" x14ac:dyDescent="0.2">
      <c r="AE1144" s="3">
        <v>44104</v>
      </c>
      <c r="AF1144">
        <v>1508.36</v>
      </c>
    </row>
    <row r="1145" spans="31:32" x14ac:dyDescent="0.2">
      <c r="AE1145" s="3">
        <v>44103</v>
      </c>
      <c r="AF1145">
        <v>1512.51</v>
      </c>
    </row>
    <row r="1146" spans="31:32" x14ac:dyDescent="0.2">
      <c r="AE1146" s="3">
        <v>44102</v>
      </c>
      <c r="AF1146">
        <v>1495.69</v>
      </c>
    </row>
    <row r="1147" spans="31:32" x14ac:dyDescent="0.2">
      <c r="AE1147" s="3">
        <v>44099</v>
      </c>
      <c r="AF1147">
        <v>1472.61</v>
      </c>
    </row>
    <row r="1148" spans="31:32" x14ac:dyDescent="0.2">
      <c r="AE1148" s="3">
        <v>44098</v>
      </c>
      <c r="AF1148">
        <v>1465.21</v>
      </c>
    </row>
    <row r="1149" spans="31:32" x14ac:dyDescent="0.2">
      <c r="AE1149" s="3">
        <v>44097</v>
      </c>
      <c r="AF1149">
        <v>1483.08</v>
      </c>
    </row>
    <row r="1150" spans="31:32" x14ac:dyDescent="0.2">
      <c r="AE1150" s="3">
        <v>44096</v>
      </c>
      <c r="AF1150">
        <v>1475.27</v>
      </c>
    </row>
    <row r="1151" spans="31:32" x14ac:dyDescent="0.2">
      <c r="AE1151" s="3">
        <v>44095</v>
      </c>
      <c r="AF1151">
        <v>1469.48</v>
      </c>
    </row>
    <row r="1152" spans="31:32" x14ac:dyDescent="0.2">
      <c r="AE1152" s="3">
        <v>44092</v>
      </c>
      <c r="AF1152">
        <v>1491.36</v>
      </c>
    </row>
    <row r="1153" spans="31:32" x14ac:dyDescent="0.2">
      <c r="AE1153" s="3">
        <v>44091</v>
      </c>
      <c r="AF1153">
        <v>1492.81</v>
      </c>
    </row>
    <row r="1154" spans="31:32" x14ac:dyDescent="0.2">
      <c r="AE1154" s="3">
        <v>44090</v>
      </c>
      <c r="AF1154">
        <v>1488.79</v>
      </c>
    </row>
    <row r="1155" spans="31:32" x14ac:dyDescent="0.2">
      <c r="AE1155" s="3">
        <v>44089</v>
      </c>
      <c r="AF1155">
        <v>1477.99</v>
      </c>
    </row>
    <row r="1156" spans="31:32" x14ac:dyDescent="0.2">
      <c r="AE1156" s="3">
        <v>44088</v>
      </c>
      <c r="AF1156">
        <v>1463.51</v>
      </c>
    </row>
    <row r="1157" spans="31:32" x14ac:dyDescent="0.2">
      <c r="AE1157" s="3">
        <v>44085</v>
      </c>
      <c r="AF1157">
        <v>1465.33</v>
      </c>
    </row>
    <row r="1158" spans="31:32" x14ac:dyDescent="0.2">
      <c r="AE1158" s="3">
        <v>44084</v>
      </c>
      <c r="AF1158">
        <v>1468.96</v>
      </c>
    </row>
    <row r="1159" spans="31:32" x14ac:dyDescent="0.2">
      <c r="AE1159" s="3">
        <v>44083</v>
      </c>
      <c r="AF1159">
        <v>1474.58</v>
      </c>
    </row>
    <row r="1160" spans="31:32" x14ac:dyDescent="0.2">
      <c r="AE1160" s="3">
        <v>44082</v>
      </c>
      <c r="AF1160">
        <v>1439.29</v>
      </c>
    </row>
    <row r="1161" spans="31:32" x14ac:dyDescent="0.2">
      <c r="AE1161" s="3">
        <v>44081</v>
      </c>
      <c r="AF1161">
        <v>1464.53</v>
      </c>
    </row>
    <row r="1162" spans="31:32" x14ac:dyDescent="0.2">
      <c r="AE1162" s="3">
        <v>44078</v>
      </c>
      <c r="AF1162">
        <v>1436.57</v>
      </c>
    </row>
    <row r="1163" spans="31:32" x14ac:dyDescent="0.2">
      <c r="AE1163" s="3">
        <v>44077</v>
      </c>
      <c r="AF1163">
        <v>1471.7</v>
      </c>
    </row>
    <row r="1164" spans="31:32" x14ac:dyDescent="0.2">
      <c r="AE1164" s="3">
        <v>44076</v>
      </c>
      <c r="AF1164">
        <v>1486.6</v>
      </c>
    </row>
    <row r="1165" spans="31:32" x14ac:dyDescent="0.2">
      <c r="AE1165" s="3">
        <v>44075</v>
      </c>
      <c r="AF1165">
        <v>1465.5</v>
      </c>
    </row>
    <row r="1166" spans="31:32" x14ac:dyDescent="0.2">
      <c r="AE1166" s="3">
        <v>44074</v>
      </c>
      <c r="AF1166">
        <v>1479.43</v>
      </c>
    </row>
    <row r="1167" spans="31:32" x14ac:dyDescent="0.2">
      <c r="AE1167" s="3">
        <v>44071</v>
      </c>
      <c r="AF1167">
        <v>1469.9</v>
      </c>
    </row>
    <row r="1168" spans="31:32" x14ac:dyDescent="0.2">
      <c r="AE1168" s="3">
        <v>44070</v>
      </c>
      <c r="AF1168">
        <v>1481.45</v>
      </c>
    </row>
    <row r="1169" spans="31:32" x14ac:dyDescent="0.2">
      <c r="AE1169" s="3">
        <v>44069</v>
      </c>
      <c r="AF1169">
        <v>1489.44</v>
      </c>
    </row>
    <row r="1170" spans="31:32" x14ac:dyDescent="0.2">
      <c r="AE1170" s="3">
        <v>44068</v>
      </c>
      <c r="AF1170">
        <v>1479.71</v>
      </c>
    </row>
    <row r="1171" spans="31:32" x14ac:dyDescent="0.2">
      <c r="AE1171" s="3">
        <v>44067</v>
      </c>
      <c r="AF1171">
        <v>1478.68</v>
      </c>
    </row>
    <row r="1172" spans="31:32" x14ac:dyDescent="0.2">
      <c r="AE1172" s="3">
        <v>44064</v>
      </c>
      <c r="AF1172">
        <v>1470.22</v>
      </c>
    </row>
    <row r="1173" spans="31:32" x14ac:dyDescent="0.2">
      <c r="AE1173" s="3">
        <v>44063</v>
      </c>
      <c r="AF1173">
        <v>1460.43</v>
      </c>
    </row>
    <row r="1174" spans="31:32" x14ac:dyDescent="0.2">
      <c r="AE1174" s="3">
        <v>44062</v>
      </c>
      <c r="AF1174">
        <v>1467.04</v>
      </c>
    </row>
    <row r="1175" spans="31:32" x14ac:dyDescent="0.2">
      <c r="AE1175" s="3">
        <v>44061</v>
      </c>
      <c r="AF1175">
        <v>1453.47</v>
      </c>
    </row>
    <row r="1176" spans="31:32" x14ac:dyDescent="0.2">
      <c r="AE1176" s="3">
        <v>44060</v>
      </c>
      <c r="AF1176">
        <v>1475.37</v>
      </c>
    </row>
    <row r="1177" spans="31:32" x14ac:dyDescent="0.2">
      <c r="AE1177" s="3">
        <v>44057</v>
      </c>
      <c r="AF1177">
        <v>1460.68</v>
      </c>
    </row>
    <row r="1178" spans="31:32" x14ac:dyDescent="0.2">
      <c r="AE1178" s="3">
        <v>44056</v>
      </c>
      <c r="AF1178">
        <v>1482.14</v>
      </c>
    </row>
    <row r="1179" spans="31:32" x14ac:dyDescent="0.2">
      <c r="AE1179" s="3">
        <v>44055</v>
      </c>
      <c r="AF1179">
        <v>1475.12</v>
      </c>
    </row>
    <row r="1180" spans="31:32" x14ac:dyDescent="0.2">
      <c r="AE1180" s="3">
        <v>44054</v>
      </c>
      <c r="AF1180">
        <v>1470.73</v>
      </c>
    </row>
    <row r="1181" spans="31:32" x14ac:dyDescent="0.2">
      <c r="AE1181" s="3">
        <v>44053</v>
      </c>
      <c r="AF1181">
        <v>1439.44</v>
      </c>
    </row>
    <row r="1182" spans="31:32" x14ac:dyDescent="0.2">
      <c r="AE1182" s="3">
        <v>44050</v>
      </c>
      <c r="AF1182">
        <v>1448.85</v>
      </c>
    </row>
    <row r="1183" spans="31:32" x14ac:dyDescent="0.2">
      <c r="AE1183" s="3">
        <v>44049</v>
      </c>
      <c r="AF1183">
        <v>1432.21</v>
      </c>
    </row>
    <row r="1184" spans="31:32" x14ac:dyDescent="0.2">
      <c r="AE1184" s="3">
        <v>44048</v>
      </c>
      <c r="AF1184">
        <v>1438.21</v>
      </c>
    </row>
    <row r="1185" spans="31:32" x14ac:dyDescent="0.2">
      <c r="AE1185" s="3">
        <v>44047</v>
      </c>
      <c r="AF1185">
        <v>1433.98</v>
      </c>
    </row>
    <row r="1186" spans="31:32" x14ac:dyDescent="0.2">
      <c r="AE1186" s="3">
        <v>44046</v>
      </c>
      <c r="AF1186">
        <v>1451.62</v>
      </c>
    </row>
    <row r="1187" spans="31:32" x14ac:dyDescent="0.2">
      <c r="AE1187" s="3">
        <v>44043</v>
      </c>
      <c r="AF1187">
        <v>1423.63</v>
      </c>
    </row>
    <row r="1188" spans="31:32" x14ac:dyDescent="0.2">
      <c r="AE1188" s="3">
        <v>44042</v>
      </c>
      <c r="AF1188">
        <v>1432.4</v>
      </c>
    </row>
    <row r="1189" spans="31:32" x14ac:dyDescent="0.2">
      <c r="AE1189" s="3">
        <v>44041</v>
      </c>
      <c r="AF1189">
        <v>1442.87</v>
      </c>
    </row>
    <row r="1190" spans="31:32" x14ac:dyDescent="0.2">
      <c r="AE1190" s="3">
        <v>44040</v>
      </c>
      <c r="AF1190">
        <v>1446.79</v>
      </c>
    </row>
    <row r="1191" spans="31:32" x14ac:dyDescent="0.2">
      <c r="AE1191" s="3">
        <v>44039</v>
      </c>
      <c r="AF1191">
        <v>1448.45</v>
      </c>
    </row>
    <row r="1192" spans="31:32" x14ac:dyDescent="0.2">
      <c r="AE1192" s="3">
        <v>44036</v>
      </c>
      <c r="AF1192">
        <v>1442.51</v>
      </c>
    </row>
    <row r="1193" spans="31:32" x14ac:dyDescent="0.2">
      <c r="AE1193" s="3">
        <v>44035</v>
      </c>
      <c r="AF1193">
        <v>1465.88</v>
      </c>
    </row>
    <row r="1194" spans="31:32" x14ac:dyDescent="0.2">
      <c r="AE1194" s="3">
        <v>44034</v>
      </c>
      <c r="AF1194">
        <v>1466.03</v>
      </c>
    </row>
    <row r="1195" spans="31:32" x14ac:dyDescent="0.2">
      <c r="AE1195" s="3">
        <v>44033</v>
      </c>
      <c r="AF1195">
        <v>1473.47</v>
      </c>
    </row>
    <row r="1196" spans="31:32" x14ac:dyDescent="0.2">
      <c r="AE1196" s="3">
        <v>44032</v>
      </c>
      <c r="AF1196">
        <v>1464.68</v>
      </c>
    </row>
    <row r="1197" spans="31:32" x14ac:dyDescent="0.2">
      <c r="AE1197" s="3">
        <v>44029</v>
      </c>
      <c r="AF1197">
        <v>1445</v>
      </c>
    </row>
    <row r="1198" spans="31:32" x14ac:dyDescent="0.2">
      <c r="AE1198" s="3">
        <v>44028</v>
      </c>
      <c r="AF1198">
        <v>1436.48</v>
      </c>
    </row>
    <row r="1199" spans="31:32" x14ac:dyDescent="0.2">
      <c r="AE1199" s="3">
        <v>44027</v>
      </c>
      <c r="AF1199">
        <v>1440.15</v>
      </c>
    </row>
    <row r="1200" spans="31:32" x14ac:dyDescent="0.2">
      <c r="AE1200" s="3">
        <v>44026</v>
      </c>
      <c r="AF1200">
        <v>1408.53</v>
      </c>
    </row>
    <row r="1201" spans="31:32" x14ac:dyDescent="0.2">
      <c r="AE1201" s="3">
        <v>44025</v>
      </c>
      <c r="AF1201">
        <v>1424.47</v>
      </c>
    </row>
    <row r="1202" spans="31:32" x14ac:dyDescent="0.2">
      <c r="AE1202" s="3">
        <v>44022</v>
      </c>
      <c r="AF1202">
        <v>1408.87</v>
      </c>
    </row>
    <row r="1203" spans="31:32" x14ac:dyDescent="0.2">
      <c r="AE1203" s="3">
        <v>44021</v>
      </c>
      <c r="AF1203">
        <v>1405.2</v>
      </c>
    </row>
    <row r="1204" spans="31:32" x14ac:dyDescent="0.2">
      <c r="AE1204" s="3">
        <v>44020</v>
      </c>
      <c r="AF1204">
        <v>1399.83</v>
      </c>
    </row>
    <row r="1205" spans="31:32" x14ac:dyDescent="0.2">
      <c r="AE1205" s="3">
        <v>44019</v>
      </c>
      <c r="AF1205">
        <v>1392.51</v>
      </c>
    </row>
    <row r="1206" spans="31:32" x14ac:dyDescent="0.2">
      <c r="AE1206" s="3">
        <v>44018</v>
      </c>
      <c r="AF1206">
        <v>1392.04</v>
      </c>
    </row>
    <row r="1207" spans="31:32" x14ac:dyDescent="0.2">
      <c r="AE1207" s="3">
        <v>44015</v>
      </c>
      <c r="AF1207">
        <v>1379.59</v>
      </c>
    </row>
    <row r="1208" spans="31:32" x14ac:dyDescent="0.2">
      <c r="AE1208" s="3">
        <v>44014</v>
      </c>
      <c r="AF1208">
        <v>1381.48</v>
      </c>
    </row>
    <row r="1209" spans="31:32" x14ac:dyDescent="0.2">
      <c r="AE1209" s="3">
        <v>44013</v>
      </c>
      <c r="AF1209">
        <v>1361.13</v>
      </c>
    </row>
    <row r="1210" spans="31:32" x14ac:dyDescent="0.2">
      <c r="AE1210" s="3">
        <v>44012</v>
      </c>
      <c r="AF1210">
        <v>1347.89</v>
      </c>
    </row>
    <row r="1211" spans="31:32" x14ac:dyDescent="0.2">
      <c r="AE1211" s="3">
        <v>44011</v>
      </c>
      <c r="AF1211">
        <v>1344.2</v>
      </c>
    </row>
    <row r="1212" spans="31:32" x14ac:dyDescent="0.2">
      <c r="AE1212" s="3">
        <v>44008</v>
      </c>
      <c r="AF1212">
        <v>1342.76</v>
      </c>
    </row>
    <row r="1213" spans="31:32" x14ac:dyDescent="0.2">
      <c r="AE1213" s="3">
        <v>44007</v>
      </c>
      <c r="AF1213">
        <v>1350.7</v>
      </c>
    </row>
    <row r="1214" spans="31:32" x14ac:dyDescent="0.2">
      <c r="AE1214" s="3">
        <v>44006</v>
      </c>
      <c r="AF1214">
        <v>1355.1</v>
      </c>
    </row>
    <row r="1215" spans="31:32" x14ac:dyDescent="0.2">
      <c r="AE1215" s="3">
        <v>44005</v>
      </c>
      <c r="AF1215">
        <v>1379.3</v>
      </c>
    </row>
    <row r="1216" spans="31:32" x14ac:dyDescent="0.2">
      <c r="AE1216" s="3">
        <v>44004</v>
      </c>
      <c r="AF1216">
        <v>1356.64</v>
      </c>
    </row>
    <row r="1217" spans="31:32" x14ac:dyDescent="0.2">
      <c r="AE1217" s="3">
        <v>44001</v>
      </c>
      <c r="AF1217">
        <v>1360.74</v>
      </c>
    </row>
    <row r="1218" spans="31:32" x14ac:dyDescent="0.2">
      <c r="AE1218" s="3">
        <v>44000</v>
      </c>
      <c r="AF1218">
        <v>1347.59</v>
      </c>
    </row>
    <row r="1219" spans="31:32" x14ac:dyDescent="0.2">
      <c r="AE1219" s="3">
        <v>43999</v>
      </c>
      <c r="AF1219">
        <v>1357.67</v>
      </c>
    </row>
    <row r="1220" spans="31:32" x14ac:dyDescent="0.2">
      <c r="AE1220" s="3">
        <v>43998</v>
      </c>
      <c r="AF1220">
        <v>1336.68</v>
      </c>
    </row>
    <row r="1221" spans="31:32" x14ac:dyDescent="0.2">
      <c r="AE1221" s="3">
        <v>43997</v>
      </c>
      <c r="AF1221">
        <v>1316.96</v>
      </c>
    </row>
    <row r="1222" spans="31:32" x14ac:dyDescent="0.2">
      <c r="AE1222" s="3">
        <v>43994</v>
      </c>
      <c r="AF1222">
        <v>1320.5</v>
      </c>
    </row>
    <row r="1223" spans="31:32" x14ac:dyDescent="0.2">
      <c r="AE1223" s="3">
        <v>43993</v>
      </c>
      <c r="AF1223">
        <v>1318.71</v>
      </c>
    </row>
    <row r="1224" spans="31:32" x14ac:dyDescent="0.2">
      <c r="AE1224" s="3">
        <v>43992</v>
      </c>
      <c r="AF1224">
        <v>1343.32</v>
      </c>
    </row>
    <row r="1225" spans="31:32" x14ac:dyDescent="0.2">
      <c r="AE1225" s="3">
        <v>43991</v>
      </c>
      <c r="AF1225">
        <v>1333.8</v>
      </c>
    </row>
    <row r="1226" spans="31:32" x14ac:dyDescent="0.2">
      <c r="AE1226" s="3">
        <v>43990</v>
      </c>
      <c r="AF1226">
        <v>1331.65</v>
      </c>
    </row>
    <row r="1227" spans="31:32" x14ac:dyDescent="0.2">
      <c r="AE1227" s="3">
        <v>43986</v>
      </c>
      <c r="AF1227">
        <v>1334.68</v>
      </c>
    </row>
    <row r="1228" spans="31:32" x14ac:dyDescent="0.2">
      <c r="AE1228" s="3">
        <v>43985</v>
      </c>
      <c r="AF1228">
        <v>1339.47</v>
      </c>
    </row>
    <row r="1229" spans="31:32" x14ac:dyDescent="0.2">
      <c r="AE1229" s="3">
        <v>43984</v>
      </c>
      <c r="AF1229">
        <v>1331.65</v>
      </c>
    </row>
    <row r="1230" spans="31:32" x14ac:dyDescent="0.2">
      <c r="AE1230" s="3">
        <v>43980</v>
      </c>
      <c r="AF1230">
        <v>1327.01</v>
      </c>
    </row>
    <row r="1231" spans="31:32" x14ac:dyDescent="0.2">
      <c r="AE1231" s="3">
        <v>43979</v>
      </c>
      <c r="AF1231">
        <v>1324.42</v>
      </c>
    </row>
    <row r="1232" spans="31:32" x14ac:dyDescent="0.2">
      <c r="AE1232" s="3">
        <v>43978</v>
      </c>
      <c r="AF1232">
        <v>1287.08</v>
      </c>
    </row>
    <row r="1233" spans="31:32" x14ac:dyDescent="0.2">
      <c r="AE1233" s="3">
        <v>43977</v>
      </c>
      <c r="AF1233">
        <v>1327</v>
      </c>
    </row>
    <row r="1234" spans="31:32" x14ac:dyDescent="0.2">
      <c r="AE1234" s="3">
        <v>43976</v>
      </c>
      <c r="AF1234">
        <v>1322.2</v>
      </c>
    </row>
    <row r="1235" spans="31:32" x14ac:dyDescent="0.2">
      <c r="AE1235" s="3">
        <v>43971</v>
      </c>
      <c r="AF1235">
        <v>1301.5899999999999</v>
      </c>
    </row>
    <row r="1236" spans="31:32" x14ac:dyDescent="0.2">
      <c r="AE1236" s="3">
        <v>43970</v>
      </c>
      <c r="AF1236">
        <v>1283.01</v>
      </c>
    </row>
    <row r="1237" spans="31:32" x14ac:dyDescent="0.2">
      <c r="AE1237" s="3">
        <v>43969</v>
      </c>
      <c r="AF1237">
        <v>1274.6500000000001</v>
      </c>
    </row>
    <row r="1238" spans="31:32" x14ac:dyDescent="0.2">
      <c r="AE1238" s="3">
        <v>43966</v>
      </c>
      <c r="AF1238">
        <v>1242.56</v>
      </c>
    </row>
    <row r="1239" spans="31:32" x14ac:dyDescent="0.2">
      <c r="AE1239" s="3">
        <v>43965</v>
      </c>
      <c r="AF1239">
        <v>1236.51</v>
      </c>
    </row>
    <row r="1240" spans="31:32" x14ac:dyDescent="0.2">
      <c r="AE1240" s="3">
        <v>43964</v>
      </c>
      <c r="AF1240">
        <v>1254.75</v>
      </c>
    </row>
    <row r="1241" spans="31:32" x14ac:dyDescent="0.2">
      <c r="AE1241" s="3">
        <v>43963</v>
      </c>
      <c r="AF1241">
        <v>1260.1500000000001</v>
      </c>
    </row>
    <row r="1242" spans="31:32" x14ac:dyDescent="0.2">
      <c r="AE1242" s="3">
        <v>43962</v>
      </c>
      <c r="AF1242">
        <v>1256.9000000000001</v>
      </c>
    </row>
    <row r="1243" spans="31:32" x14ac:dyDescent="0.2">
      <c r="AE1243" s="3">
        <v>43958</v>
      </c>
      <c r="AF1243">
        <v>1239.77</v>
      </c>
    </row>
    <row r="1244" spans="31:32" x14ac:dyDescent="0.2">
      <c r="AE1244" s="3">
        <v>43957</v>
      </c>
      <c r="AF1244">
        <v>1222.8900000000001</v>
      </c>
    </row>
    <row r="1245" spans="31:32" x14ac:dyDescent="0.2">
      <c r="AE1245" s="3">
        <v>43956</v>
      </c>
      <c r="AF1245">
        <v>1216.1099999999999</v>
      </c>
    </row>
    <row r="1246" spans="31:32" x14ac:dyDescent="0.2">
      <c r="AE1246" s="3">
        <v>43955</v>
      </c>
      <c r="AF1246">
        <v>1202.74</v>
      </c>
    </row>
    <row r="1247" spans="31:32" x14ac:dyDescent="0.2">
      <c r="AE1247" s="3">
        <v>43952</v>
      </c>
      <c r="AF1247">
        <v>1220.74</v>
      </c>
    </row>
    <row r="1248" spans="31:32" x14ac:dyDescent="0.2">
      <c r="AE1248" s="3">
        <v>43951</v>
      </c>
      <c r="AF1248">
        <v>1234.96</v>
      </c>
    </row>
    <row r="1249" spans="31:32" x14ac:dyDescent="0.2">
      <c r="AE1249" s="3">
        <v>43950</v>
      </c>
      <c r="AF1249">
        <v>1236.3599999999999</v>
      </c>
    </row>
    <row r="1250" spans="31:32" x14ac:dyDescent="0.2">
      <c r="AE1250" s="3">
        <v>43949</v>
      </c>
      <c r="AF1250">
        <v>1237.19</v>
      </c>
    </row>
    <row r="1251" spans="31:32" x14ac:dyDescent="0.2">
      <c r="AE1251" s="3">
        <v>43948</v>
      </c>
      <c r="AF1251">
        <v>1223.94</v>
      </c>
    </row>
    <row r="1252" spans="31:32" x14ac:dyDescent="0.2">
      <c r="AE1252" s="3">
        <v>43945</v>
      </c>
      <c r="AF1252">
        <v>1215.2</v>
      </c>
    </row>
    <row r="1253" spans="31:32" x14ac:dyDescent="0.2">
      <c r="AE1253" s="3">
        <v>43944</v>
      </c>
      <c r="AF1253">
        <v>1230.7</v>
      </c>
    </row>
    <row r="1254" spans="31:32" x14ac:dyDescent="0.2">
      <c r="AE1254" s="3">
        <v>43943</v>
      </c>
      <c r="AF1254">
        <v>1209.67</v>
      </c>
    </row>
    <row r="1255" spans="31:32" x14ac:dyDescent="0.2">
      <c r="AE1255" s="3">
        <v>43942</v>
      </c>
      <c r="AF1255">
        <v>1206.3399999999999</v>
      </c>
    </row>
    <row r="1256" spans="31:32" x14ac:dyDescent="0.2">
      <c r="AE1256" s="3">
        <v>43941</v>
      </c>
      <c r="AF1256">
        <v>1219.3800000000001</v>
      </c>
    </row>
    <row r="1257" spans="31:32" x14ac:dyDescent="0.2">
      <c r="AE1257" s="3">
        <v>43938</v>
      </c>
      <c r="AF1257">
        <v>1204.6500000000001</v>
      </c>
    </row>
    <row r="1258" spans="31:32" x14ac:dyDescent="0.2">
      <c r="AE1258" s="3">
        <v>43937</v>
      </c>
      <c r="AF1258">
        <v>1178.5999999999999</v>
      </c>
    </row>
    <row r="1259" spans="31:32" x14ac:dyDescent="0.2">
      <c r="AE1259" s="3">
        <v>43936</v>
      </c>
      <c r="AF1259">
        <v>1165.22</v>
      </c>
    </row>
    <row r="1260" spans="31:32" x14ac:dyDescent="0.2">
      <c r="AE1260" s="3">
        <v>43935</v>
      </c>
      <c r="AF1260">
        <v>1180.6400000000001</v>
      </c>
    </row>
    <row r="1261" spans="31:32" x14ac:dyDescent="0.2">
      <c r="AE1261" s="3">
        <v>43929</v>
      </c>
      <c r="AF1261">
        <v>1151.31</v>
      </c>
    </row>
    <row r="1262" spans="31:32" x14ac:dyDescent="0.2">
      <c r="AE1262" s="3">
        <v>43928</v>
      </c>
      <c r="AF1262">
        <v>1159.79</v>
      </c>
    </row>
    <row r="1263" spans="31:32" x14ac:dyDescent="0.2">
      <c r="AE1263" s="3">
        <v>43927</v>
      </c>
      <c r="AF1263">
        <v>1142.94</v>
      </c>
    </row>
    <row r="1264" spans="31:32" x14ac:dyDescent="0.2">
      <c r="AE1264" s="3">
        <v>43924</v>
      </c>
      <c r="AF1264">
        <v>1129.3</v>
      </c>
    </row>
    <row r="1265" spans="31:32" x14ac:dyDescent="0.2">
      <c r="AE1265" s="3">
        <v>43923</v>
      </c>
      <c r="AF1265">
        <v>1114.05</v>
      </c>
    </row>
    <row r="1266" spans="31:32" x14ac:dyDescent="0.2">
      <c r="AE1266" s="3">
        <v>43922</v>
      </c>
      <c r="AF1266">
        <v>1120.47</v>
      </c>
    </row>
    <row r="1267" spans="31:32" x14ac:dyDescent="0.2">
      <c r="AE1267" s="3">
        <v>43921</v>
      </c>
      <c r="AF1267">
        <v>1126.5</v>
      </c>
    </row>
    <row r="1268" spans="31:32" x14ac:dyDescent="0.2">
      <c r="AE1268" s="3">
        <v>43920</v>
      </c>
      <c r="AF1268">
        <v>1104.6500000000001</v>
      </c>
    </row>
    <row r="1269" spans="31:32" x14ac:dyDescent="0.2">
      <c r="AE1269" s="3">
        <v>43917</v>
      </c>
      <c r="AF1269">
        <v>1075.92</v>
      </c>
    </row>
    <row r="1270" spans="31:32" x14ac:dyDescent="0.2">
      <c r="AE1270" s="3">
        <v>43916</v>
      </c>
      <c r="AF1270">
        <v>1086.43</v>
      </c>
    </row>
    <row r="1271" spans="31:32" x14ac:dyDescent="0.2">
      <c r="AE1271" s="3">
        <v>43915</v>
      </c>
      <c r="AF1271">
        <v>1055.5</v>
      </c>
    </row>
    <row r="1272" spans="31:32" x14ac:dyDescent="0.2">
      <c r="AE1272" s="3">
        <v>43914</v>
      </c>
      <c r="AF1272">
        <v>1031.0899999999999</v>
      </c>
    </row>
    <row r="1273" spans="31:32" x14ac:dyDescent="0.2">
      <c r="AE1273" s="3">
        <v>43913</v>
      </c>
      <c r="AF1273">
        <v>990.61</v>
      </c>
    </row>
    <row r="1274" spans="31:32" x14ac:dyDescent="0.2">
      <c r="AE1274" s="3">
        <v>43910</v>
      </c>
      <c r="AF1274">
        <v>1031.3699999999999</v>
      </c>
    </row>
    <row r="1275" spans="31:32" x14ac:dyDescent="0.2">
      <c r="AE1275" s="3">
        <v>43909</v>
      </c>
      <c r="AF1275">
        <v>1015.93</v>
      </c>
    </row>
    <row r="1276" spans="31:32" x14ac:dyDescent="0.2">
      <c r="AE1276" s="3">
        <v>43908</v>
      </c>
      <c r="AF1276">
        <v>1007.04</v>
      </c>
    </row>
    <row r="1277" spans="31:32" x14ac:dyDescent="0.2">
      <c r="AE1277" s="3">
        <v>43907</v>
      </c>
      <c r="AF1277">
        <v>1032.5899999999999</v>
      </c>
    </row>
    <row r="1278" spans="31:32" x14ac:dyDescent="0.2">
      <c r="AE1278" s="3">
        <v>43906</v>
      </c>
      <c r="AF1278">
        <v>1017.31</v>
      </c>
    </row>
    <row r="1279" spans="31:32" x14ac:dyDescent="0.2">
      <c r="AE1279" s="3">
        <v>43903</v>
      </c>
      <c r="AF1279">
        <v>1041.51</v>
      </c>
    </row>
    <row r="1280" spans="31:32" x14ac:dyDescent="0.2">
      <c r="AE1280" s="3">
        <v>43902</v>
      </c>
      <c r="AF1280">
        <v>1030.26</v>
      </c>
    </row>
    <row r="1281" spans="31:32" x14ac:dyDescent="0.2">
      <c r="AE1281" s="3">
        <v>43901</v>
      </c>
      <c r="AF1281">
        <v>1120.2</v>
      </c>
    </row>
    <row r="1282" spans="31:32" x14ac:dyDescent="0.2">
      <c r="AE1282" s="3">
        <v>43900</v>
      </c>
      <c r="AF1282">
        <v>1143.17</v>
      </c>
    </row>
    <row r="1283" spans="31:32" x14ac:dyDescent="0.2">
      <c r="AE1283" s="3">
        <v>43899</v>
      </c>
      <c r="AF1283">
        <v>1159.79</v>
      </c>
    </row>
    <row r="1284" spans="31:32" x14ac:dyDescent="0.2">
      <c r="AE1284" s="3">
        <v>43896</v>
      </c>
      <c r="AF1284">
        <v>1227.1500000000001</v>
      </c>
    </row>
    <row r="1285" spans="31:32" x14ac:dyDescent="0.2">
      <c r="AE1285" s="3">
        <v>43895</v>
      </c>
      <c r="AF1285">
        <v>1262.5899999999999</v>
      </c>
    </row>
    <row r="1286" spans="31:32" x14ac:dyDescent="0.2">
      <c r="AE1286" s="3">
        <v>43894</v>
      </c>
      <c r="AF1286">
        <v>1271.58</v>
      </c>
    </row>
    <row r="1287" spans="31:32" x14ac:dyDescent="0.2">
      <c r="AE1287" s="3">
        <v>43893</v>
      </c>
      <c r="AF1287">
        <v>1265.27</v>
      </c>
    </row>
    <row r="1288" spans="31:32" x14ac:dyDescent="0.2">
      <c r="AE1288" s="3">
        <v>43892</v>
      </c>
      <c r="AF1288">
        <v>1230.6400000000001</v>
      </c>
    </row>
    <row r="1289" spans="31:32" x14ac:dyDescent="0.2">
      <c r="AE1289" s="3">
        <v>43889</v>
      </c>
      <c r="AF1289">
        <v>1218.7</v>
      </c>
    </row>
    <row r="1290" spans="31:32" x14ac:dyDescent="0.2">
      <c r="AE1290" s="3">
        <v>43888</v>
      </c>
      <c r="AF1290">
        <v>1249.3800000000001</v>
      </c>
    </row>
    <row r="1291" spans="31:32" x14ac:dyDescent="0.2">
      <c r="AE1291" s="3">
        <v>43887</v>
      </c>
      <c r="AF1291">
        <v>1285.31</v>
      </c>
    </row>
    <row r="1292" spans="31:32" x14ac:dyDescent="0.2">
      <c r="AE1292" s="3">
        <v>43886</v>
      </c>
      <c r="AF1292">
        <v>1286.2</v>
      </c>
    </row>
    <row r="1293" spans="31:32" x14ac:dyDescent="0.2">
      <c r="AE1293" s="3">
        <v>43885</v>
      </c>
      <c r="AF1293">
        <v>1309.19</v>
      </c>
    </row>
    <row r="1294" spans="31:32" x14ac:dyDescent="0.2">
      <c r="AE1294" s="3">
        <v>43882</v>
      </c>
      <c r="AF1294">
        <v>1361.53</v>
      </c>
    </row>
    <row r="1295" spans="31:32" x14ac:dyDescent="0.2">
      <c r="AE1295" s="3">
        <v>43881</v>
      </c>
      <c r="AF1295">
        <v>1373.27</v>
      </c>
    </row>
    <row r="1296" spans="31:32" x14ac:dyDescent="0.2">
      <c r="AE1296" s="3">
        <v>43880</v>
      </c>
      <c r="AF1296">
        <v>1376.67</v>
      </c>
    </row>
    <row r="1297" spans="31:32" x14ac:dyDescent="0.2">
      <c r="AE1297" s="3">
        <v>43879</v>
      </c>
      <c r="AF1297">
        <v>1363.56</v>
      </c>
    </row>
    <row r="1298" spans="31:32" x14ac:dyDescent="0.2">
      <c r="AE1298" s="3">
        <v>43878</v>
      </c>
      <c r="AF1298">
        <v>1354.48</v>
      </c>
    </row>
    <row r="1299" spans="31:32" x14ac:dyDescent="0.2">
      <c r="AE1299" s="3">
        <v>43875</v>
      </c>
      <c r="AF1299">
        <v>1355.4</v>
      </c>
    </row>
    <row r="1300" spans="31:32" x14ac:dyDescent="0.2">
      <c r="AE1300" s="3">
        <v>43874</v>
      </c>
      <c r="AF1300">
        <v>1345.14</v>
      </c>
    </row>
    <row r="1301" spans="31:32" x14ac:dyDescent="0.2">
      <c r="AE1301" s="3">
        <v>43873</v>
      </c>
      <c r="AF1301">
        <v>1347.79</v>
      </c>
    </row>
    <row r="1302" spans="31:32" x14ac:dyDescent="0.2">
      <c r="AE1302" s="3">
        <v>43872</v>
      </c>
      <c r="AF1302">
        <v>1351.88</v>
      </c>
    </row>
    <row r="1303" spans="31:32" x14ac:dyDescent="0.2">
      <c r="AE1303" s="3">
        <v>43871</v>
      </c>
      <c r="AF1303">
        <v>1333.47</v>
      </c>
    </row>
    <row r="1304" spans="31:32" x14ac:dyDescent="0.2">
      <c r="AE1304" s="3">
        <v>43868</v>
      </c>
      <c r="AF1304">
        <v>1340.25</v>
      </c>
    </row>
    <row r="1305" spans="31:32" x14ac:dyDescent="0.2">
      <c r="AE1305" s="3">
        <v>43867</v>
      </c>
      <c r="AF1305">
        <v>1342.84</v>
      </c>
    </row>
    <row r="1306" spans="31:32" x14ac:dyDescent="0.2">
      <c r="AE1306" s="3">
        <v>43866</v>
      </c>
      <c r="AF1306">
        <v>1330.64</v>
      </c>
    </row>
    <row r="1307" spans="31:32" x14ac:dyDescent="0.2">
      <c r="AE1307" s="3">
        <v>43865</v>
      </c>
      <c r="AF1307">
        <v>1299.1400000000001</v>
      </c>
    </row>
    <row r="1308" spans="31:32" x14ac:dyDescent="0.2">
      <c r="AE1308" s="3">
        <v>43864</v>
      </c>
      <c r="AF1308">
        <v>1278.76</v>
      </c>
    </row>
    <row r="1309" spans="31:32" x14ac:dyDescent="0.2">
      <c r="AE1309" s="3">
        <v>43861</v>
      </c>
      <c r="AF1309">
        <v>1277.8</v>
      </c>
    </row>
    <row r="1310" spans="31:32" x14ac:dyDescent="0.2">
      <c r="AE1310" s="3">
        <v>43860</v>
      </c>
      <c r="AF1310">
        <v>1274.98</v>
      </c>
    </row>
    <row r="1311" spans="31:32" x14ac:dyDescent="0.2">
      <c r="AE1311" s="3">
        <v>43859</v>
      </c>
      <c r="AF1311">
        <v>1295.3399999999999</v>
      </c>
    </row>
    <row r="1312" spans="31:32" x14ac:dyDescent="0.2">
      <c r="AE1312" s="3">
        <v>43858</v>
      </c>
      <c r="AF1312">
        <v>1276.93</v>
      </c>
    </row>
    <row r="1313" spans="31:32" x14ac:dyDescent="0.2">
      <c r="AE1313" s="3">
        <v>43857</v>
      </c>
      <c r="AF1313">
        <v>1268.78</v>
      </c>
    </row>
    <row r="1314" spans="31:32" x14ac:dyDescent="0.2">
      <c r="AE1314" s="3">
        <v>43854</v>
      </c>
      <c r="AF1314">
        <v>1299.42</v>
      </c>
    </row>
    <row r="1315" spans="31:32" x14ac:dyDescent="0.2">
      <c r="AE1315" s="3">
        <v>43853</v>
      </c>
      <c r="AF1315">
        <v>1288.94</v>
      </c>
    </row>
    <row r="1316" spans="31:32" x14ac:dyDescent="0.2">
      <c r="AE1316" s="3">
        <v>43852</v>
      </c>
      <c r="AF1316">
        <v>1294.2</v>
      </c>
    </row>
    <row r="1317" spans="31:32" x14ac:dyDescent="0.2">
      <c r="AE1317" s="3">
        <v>43851</v>
      </c>
      <c r="AF1317">
        <v>1286.32</v>
      </c>
    </row>
    <row r="1318" spans="31:32" x14ac:dyDescent="0.2">
      <c r="AE1318" s="3">
        <v>43850</v>
      </c>
      <c r="AF1318">
        <v>1287.53</v>
      </c>
    </row>
    <row r="1319" spans="31:32" x14ac:dyDescent="0.2">
      <c r="AE1319" s="3">
        <v>43847</v>
      </c>
      <c r="AF1319">
        <v>1284.3</v>
      </c>
    </row>
    <row r="1320" spans="31:32" x14ac:dyDescent="0.2">
      <c r="AE1320" s="3">
        <v>43846</v>
      </c>
      <c r="AF1320">
        <v>1272.92</v>
      </c>
    </row>
    <row r="1321" spans="31:32" x14ac:dyDescent="0.2">
      <c r="AE1321" s="3">
        <v>43845</v>
      </c>
      <c r="AF1321">
        <v>1274.01</v>
      </c>
    </row>
    <row r="1322" spans="31:32" x14ac:dyDescent="0.2">
      <c r="AE1322" s="3">
        <v>43844</v>
      </c>
      <c r="AF1322">
        <v>1255.01</v>
      </c>
    </row>
    <row r="1323" spans="31:32" x14ac:dyDescent="0.2">
      <c r="AE1323" s="3">
        <v>43843</v>
      </c>
      <c r="AF1323">
        <v>1250.5</v>
      </c>
    </row>
    <row r="1324" spans="31:32" x14ac:dyDescent="0.2">
      <c r="AE1324" s="3">
        <v>43840</v>
      </c>
      <c r="AF1324">
        <v>1246.79</v>
      </c>
    </row>
    <row r="1325" spans="31:32" x14ac:dyDescent="0.2">
      <c r="AE1325" s="3">
        <v>43839</v>
      </c>
      <c r="AF1325">
        <v>1246.1199999999999</v>
      </c>
    </row>
    <row r="1326" spans="31:32" x14ac:dyDescent="0.2">
      <c r="AE1326" s="3">
        <v>43838</v>
      </c>
      <c r="AF1326">
        <v>1239.03</v>
      </c>
    </row>
    <row r="1327" spans="31:32" x14ac:dyDescent="0.2">
      <c r="AE1327" s="3">
        <v>43837</v>
      </c>
      <c r="AF1327">
        <v>1240.97</v>
      </c>
    </row>
    <row r="1328" spans="31:32" x14ac:dyDescent="0.2">
      <c r="AE1328" s="3">
        <v>43836</v>
      </c>
      <c r="AF1328">
        <v>1235.1600000000001</v>
      </c>
    </row>
    <row r="1329" spans="31:32" x14ac:dyDescent="0.2">
      <c r="AE1329" s="3">
        <v>43833</v>
      </c>
      <c r="AF1329">
        <v>1237.55</v>
      </c>
    </row>
    <row r="1330" spans="31:32" x14ac:dyDescent="0.2">
      <c r="AE1330" s="3">
        <v>43832</v>
      </c>
      <c r="AF1330">
        <v>1253.25</v>
      </c>
    </row>
    <row r="1331" spans="31:32" x14ac:dyDescent="0.2">
      <c r="AE1331" s="3">
        <v>43829</v>
      </c>
      <c r="AF1331">
        <v>1253.9000000000001</v>
      </c>
    </row>
    <row r="1332" spans="31:32" x14ac:dyDescent="0.2">
      <c r="AE1332" s="3">
        <v>43826</v>
      </c>
      <c r="AF1332">
        <v>1264.3599999999999</v>
      </c>
    </row>
    <row r="1333" spans="31:32" x14ac:dyDescent="0.2">
      <c r="AE1333" s="3">
        <v>43822</v>
      </c>
      <c r="AF1333">
        <v>1258.8800000000001</v>
      </c>
    </row>
    <row r="1334" spans="31:32" x14ac:dyDescent="0.2">
      <c r="AE1334" s="3">
        <v>43819</v>
      </c>
      <c r="AF1334">
        <v>1247.1500000000001</v>
      </c>
    </row>
    <row r="1335" spans="31:32" x14ac:dyDescent="0.2">
      <c r="AE1335" s="3">
        <v>43818</v>
      </c>
      <c r="AF1335">
        <v>1240.69</v>
      </c>
    </row>
    <row r="1336" spans="31:32" x14ac:dyDescent="0.2">
      <c r="AE1336" s="3">
        <v>43817</v>
      </c>
      <c r="AF1336">
        <v>1240.93</v>
      </c>
    </row>
    <row r="1337" spans="31:32" x14ac:dyDescent="0.2">
      <c r="AE1337" s="3">
        <v>43816</v>
      </c>
      <c r="AF1337">
        <v>1254.5899999999999</v>
      </c>
    </row>
    <row r="1338" spans="31:32" x14ac:dyDescent="0.2">
      <c r="AE1338" s="3">
        <v>43815</v>
      </c>
      <c r="AF1338">
        <v>1257.06</v>
      </c>
    </row>
    <row r="1339" spans="31:32" x14ac:dyDescent="0.2">
      <c r="AE1339" s="3">
        <v>43812</v>
      </c>
      <c r="AF1339">
        <v>1234.9000000000001</v>
      </c>
    </row>
    <row r="1340" spans="31:32" x14ac:dyDescent="0.2">
      <c r="AE1340" s="3">
        <v>43811</v>
      </c>
      <c r="AF1340">
        <v>1233.5899999999999</v>
      </c>
    </row>
    <row r="1341" spans="31:32" x14ac:dyDescent="0.2">
      <c r="AE1341" s="3">
        <v>43810</v>
      </c>
      <c r="AF1341">
        <v>1228.52</v>
      </c>
    </row>
    <row r="1342" spans="31:32" x14ac:dyDescent="0.2">
      <c r="AE1342" s="3">
        <v>43809</v>
      </c>
      <c r="AF1342">
        <v>1232.95</v>
      </c>
    </row>
    <row r="1343" spans="31:32" x14ac:dyDescent="0.2">
      <c r="AE1343" s="3">
        <v>43808</v>
      </c>
      <c r="AF1343">
        <v>1234.54</v>
      </c>
    </row>
    <row r="1344" spans="31:32" x14ac:dyDescent="0.2">
      <c r="AE1344" s="3">
        <v>43805</v>
      </c>
      <c r="AF1344">
        <v>1240.31</v>
      </c>
    </row>
    <row r="1345" spans="31:32" x14ac:dyDescent="0.2">
      <c r="AE1345" s="3">
        <v>43804</v>
      </c>
      <c r="AF1345">
        <v>1231.55</v>
      </c>
    </row>
    <row r="1346" spans="31:32" x14ac:dyDescent="0.2">
      <c r="AE1346" s="3">
        <v>43803</v>
      </c>
      <c r="AF1346">
        <v>1223.58</v>
      </c>
    </row>
    <row r="1347" spans="31:32" x14ac:dyDescent="0.2">
      <c r="AE1347" s="3">
        <v>43802</v>
      </c>
      <c r="AF1347">
        <v>1215.22</v>
      </c>
    </row>
    <row r="1348" spans="31:32" x14ac:dyDescent="0.2">
      <c r="AE1348" s="3">
        <v>43801</v>
      </c>
      <c r="AF1348">
        <v>1214.6600000000001</v>
      </c>
    </row>
    <row r="1349" spans="31:32" x14ac:dyDescent="0.2">
      <c r="AE1349" s="3">
        <v>43798</v>
      </c>
      <c r="AF1349">
        <v>1218.78</v>
      </c>
    </row>
    <row r="1350" spans="31:32" x14ac:dyDescent="0.2">
      <c r="AE1350" s="3">
        <v>43797</v>
      </c>
      <c r="AF1350">
        <v>1226.73</v>
      </c>
    </row>
    <row r="1351" spans="31:32" x14ac:dyDescent="0.2">
      <c r="AE1351" s="3">
        <v>43796</v>
      </c>
      <c r="AF1351">
        <v>1225.4100000000001</v>
      </c>
    </row>
    <row r="1352" spans="31:32" x14ac:dyDescent="0.2">
      <c r="AE1352" s="3">
        <v>43795</v>
      </c>
      <c r="AF1352">
        <v>1224.21</v>
      </c>
    </row>
    <row r="1353" spans="31:32" x14ac:dyDescent="0.2">
      <c r="AE1353" s="3">
        <v>43794</v>
      </c>
      <c r="AF1353">
        <v>1212.67</v>
      </c>
    </row>
    <row r="1354" spans="31:32" x14ac:dyDescent="0.2">
      <c r="AE1354" s="3">
        <v>43791</v>
      </c>
      <c r="AF1354">
        <v>1196.22</v>
      </c>
    </row>
    <row r="1355" spans="31:32" x14ac:dyDescent="0.2">
      <c r="AE1355" s="3">
        <v>43790</v>
      </c>
      <c r="AF1355">
        <v>1187.3699999999999</v>
      </c>
    </row>
    <row r="1356" spans="31:32" x14ac:dyDescent="0.2">
      <c r="AE1356" s="3">
        <v>43789</v>
      </c>
      <c r="AF1356">
        <v>1199.58</v>
      </c>
    </row>
    <row r="1357" spans="31:32" x14ac:dyDescent="0.2">
      <c r="AE1357" s="3">
        <v>43788</v>
      </c>
      <c r="AF1357">
        <v>1205.55</v>
      </c>
    </row>
    <row r="1358" spans="31:32" x14ac:dyDescent="0.2">
      <c r="AE1358" s="3">
        <v>43787</v>
      </c>
      <c r="AF1358">
        <v>1205.94</v>
      </c>
    </row>
    <row r="1359" spans="31:32" x14ac:dyDescent="0.2">
      <c r="AE1359" s="3">
        <v>43784</v>
      </c>
      <c r="AF1359">
        <v>1209.1400000000001</v>
      </c>
    </row>
    <row r="1360" spans="31:32" x14ac:dyDescent="0.2">
      <c r="AE1360" s="3">
        <v>43783</v>
      </c>
      <c r="AF1360">
        <v>1200.51</v>
      </c>
    </row>
    <row r="1361" spans="31:32" x14ac:dyDescent="0.2">
      <c r="AE1361" s="3">
        <v>43782</v>
      </c>
      <c r="AF1361">
        <v>1205.1400000000001</v>
      </c>
    </row>
    <row r="1362" spans="31:32" x14ac:dyDescent="0.2">
      <c r="AE1362" s="3">
        <v>43781</v>
      </c>
      <c r="AF1362">
        <v>1199.92</v>
      </c>
    </row>
    <row r="1363" spans="31:32" x14ac:dyDescent="0.2">
      <c r="AE1363" s="3">
        <v>43780</v>
      </c>
      <c r="AF1363">
        <v>1195.4000000000001</v>
      </c>
    </row>
    <row r="1364" spans="31:32" x14ac:dyDescent="0.2">
      <c r="AE1364" s="3">
        <v>43777</v>
      </c>
      <c r="AF1364">
        <v>1195.8699999999999</v>
      </c>
    </row>
    <row r="1365" spans="31:32" x14ac:dyDescent="0.2">
      <c r="AE1365" s="3">
        <v>43776</v>
      </c>
      <c r="AF1365">
        <v>1183.81</v>
      </c>
    </row>
    <row r="1366" spans="31:32" x14ac:dyDescent="0.2">
      <c r="AE1366" s="3">
        <v>43775</v>
      </c>
      <c r="AF1366">
        <v>1165.05</v>
      </c>
    </row>
    <row r="1367" spans="31:32" x14ac:dyDescent="0.2">
      <c r="AE1367" s="3">
        <v>43774</v>
      </c>
      <c r="AF1367">
        <v>1168.93</v>
      </c>
    </row>
    <row r="1368" spans="31:32" x14ac:dyDescent="0.2">
      <c r="AE1368" s="3">
        <v>43773</v>
      </c>
      <c r="AF1368">
        <v>1180.5999999999999</v>
      </c>
    </row>
    <row r="1369" spans="31:32" x14ac:dyDescent="0.2">
      <c r="AE1369" s="3">
        <v>43770</v>
      </c>
      <c r="AF1369">
        <v>1172.97</v>
      </c>
    </row>
    <row r="1370" spans="31:32" x14ac:dyDescent="0.2">
      <c r="AE1370" s="3">
        <v>43769</v>
      </c>
      <c r="AF1370">
        <v>1149.4100000000001</v>
      </c>
    </row>
    <row r="1371" spans="31:32" x14ac:dyDescent="0.2">
      <c r="AE1371" s="3">
        <v>43768</v>
      </c>
      <c r="AF1371">
        <v>1155.81</v>
      </c>
    </row>
    <row r="1372" spans="31:32" x14ac:dyDescent="0.2">
      <c r="AE1372" s="3">
        <v>43767</v>
      </c>
      <c r="AF1372">
        <v>1146.8</v>
      </c>
    </row>
    <row r="1373" spans="31:32" x14ac:dyDescent="0.2">
      <c r="AE1373" s="3">
        <v>43766</v>
      </c>
      <c r="AF1373">
        <v>1159.0899999999999</v>
      </c>
    </row>
    <row r="1374" spans="31:32" x14ac:dyDescent="0.2">
      <c r="AE1374" s="3">
        <v>43763</v>
      </c>
      <c r="AF1374">
        <v>1148.93</v>
      </c>
    </row>
    <row r="1375" spans="31:32" x14ac:dyDescent="0.2">
      <c r="AE1375" s="3">
        <v>43762</v>
      </c>
      <c r="AF1375">
        <v>1144.58</v>
      </c>
    </row>
    <row r="1376" spans="31:32" x14ac:dyDescent="0.2">
      <c r="AE1376" s="3">
        <v>43761</v>
      </c>
      <c r="AF1376">
        <v>1142.43</v>
      </c>
    </row>
    <row r="1377" spans="31:32" x14ac:dyDescent="0.2">
      <c r="AE1377" s="3">
        <v>43760</v>
      </c>
      <c r="AF1377">
        <v>1141.27</v>
      </c>
    </row>
    <row r="1378" spans="31:32" x14ac:dyDescent="0.2">
      <c r="AE1378" s="3">
        <v>43759</v>
      </c>
      <c r="AF1378">
        <v>1133.27</v>
      </c>
    </row>
    <row r="1379" spans="31:32" x14ac:dyDescent="0.2">
      <c r="AE1379" s="3">
        <v>43756</v>
      </c>
      <c r="AF1379">
        <v>1121.24</v>
      </c>
    </row>
    <row r="1380" spans="31:32" x14ac:dyDescent="0.2">
      <c r="AE1380" s="3">
        <v>43755</v>
      </c>
      <c r="AF1380">
        <v>1132.1600000000001</v>
      </c>
    </row>
    <row r="1381" spans="31:32" x14ac:dyDescent="0.2">
      <c r="AE1381" s="3">
        <v>43754</v>
      </c>
      <c r="AF1381">
        <v>1131.31</v>
      </c>
    </row>
    <row r="1382" spans="31:32" x14ac:dyDescent="0.2">
      <c r="AE1382" s="3">
        <v>43753</v>
      </c>
      <c r="AF1382">
        <v>1139.83</v>
      </c>
    </row>
    <row r="1383" spans="31:32" x14ac:dyDescent="0.2">
      <c r="AE1383" s="3">
        <v>43752</v>
      </c>
      <c r="AF1383">
        <v>1128.04</v>
      </c>
    </row>
    <row r="1384" spans="31:32" x14ac:dyDescent="0.2">
      <c r="AE1384" s="3">
        <v>43749</v>
      </c>
      <c r="AF1384">
        <v>1117.3699999999999</v>
      </c>
    </row>
    <row r="1385" spans="31:32" x14ac:dyDescent="0.2">
      <c r="AE1385" s="3">
        <v>43748</v>
      </c>
      <c r="AF1385">
        <v>1106.02</v>
      </c>
    </row>
    <row r="1386" spans="31:32" x14ac:dyDescent="0.2">
      <c r="AE1386" s="3">
        <v>43747</v>
      </c>
      <c r="AF1386">
        <v>1114.01</v>
      </c>
    </row>
    <row r="1387" spans="31:32" x14ac:dyDescent="0.2">
      <c r="AE1387" s="3">
        <v>43746</v>
      </c>
      <c r="AF1387">
        <v>1112.44</v>
      </c>
    </row>
    <row r="1388" spans="31:32" x14ac:dyDescent="0.2">
      <c r="AE1388" s="3">
        <v>43745</v>
      </c>
      <c r="AF1388">
        <v>1121.7</v>
      </c>
    </row>
    <row r="1389" spans="31:32" x14ac:dyDescent="0.2">
      <c r="AE1389" s="3">
        <v>43742</v>
      </c>
      <c r="AF1389">
        <v>1113.0899999999999</v>
      </c>
    </row>
    <row r="1390" spans="31:32" x14ac:dyDescent="0.2">
      <c r="AE1390" s="3">
        <v>43741</v>
      </c>
      <c r="AF1390">
        <v>1101.06</v>
      </c>
    </row>
    <row r="1391" spans="31:32" x14ac:dyDescent="0.2">
      <c r="AE1391" s="3">
        <v>43740</v>
      </c>
      <c r="AF1391">
        <v>1099.76</v>
      </c>
    </row>
    <row r="1392" spans="31:32" x14ac:dyDescent="0.2">
      <c r="AE1392" s="3">
        <v>43739</v>
      </c>
      <c r="AF1392">
        <v>1128.8</v>
      </c>
    </row>
    <row r="1393" spans="31:32" x14ac:dyDescent="0.2">
      <c r="AE1393" s="3">
        <v>43738</v>
      </c>
      <c r="AF1393">
        <v>1141.6500000000001</v>
      </c>
    </row>
    <row r="1394" spans="31:32" x14ac:dyDescent="0.2">
      <c r="AE1394" s="3">
        <v>43735</v>
      </c>
      <c r="AF1394">
        <v>1148.6400000000001</v>
      </c>
    </row>
    <row r="1395" spans="31:32" x14ac:dyDescent="0.2">
      <c r="AE1395" s="3">
        <v>43734</v>
      </c>
      <c r="AF1395">
        <v>1150.33</v>
      </c>
    </row>
    <row r="1396" spans="31:32" x14ac:dyDescent="0.2">
      <c r="AE1396" s="3">
        <v>43733</v>
      </c>
      <c r="AF1396">
        <v>1142.98</v>
      </c>
    </row>
    <row r="1397" spans="31:32" x14ac:dyDescent="0.2">
      <c r="AE1397" s="3">
        <v>43732</v>
      </c>
      <c r="AF1397">
        <v>1154.43</v>
      </c>
    </row>
    <row r="1398" spans="31:32" x14ac:dyDescent="0.2">
      <c r="AE1398" s="3">
        <v>43731</v>
      </c>
      <c r="AF1398">
        <v>1148.82</v>
      </c>
    </row>
    <row r="1399" spans="31:32" x14ac:dyDescent="0.2">
      <c r="AE1399" s="3">
        <v>43728</v>
      </c>
      <c r="AF1399">
        <v>1150.31</v>
      </c>
    </row>
    <row r="1400" spans="31:32" x14ac:dyDescent="0.2">
      <c r="AE1400" s="3">
        <v>43727</v>
      </c>
      <c r="AF1400">
        <v>1146.5</v>
      </c>
    </row>
    <row r="1401" spans="31:32" x14ac:dyDescent="0.2">
      <c r="AE1401" s="3">
        <v>43726</v>
      </c>
      <c r="AF1401">
        <v>1143.8</v>
      </c>
    </row>
    <row r="1402" spans="31:32" x14ac:dyDescent="0.2">
      <c r="AE1402" s="3">
        <v>43725</v>
      </c>
      <c r="AF1402">
        <v>1144.42</v>
      </c>
    </row>
    <row r="1403" spans="31:32" x14ac:dyDescent="0.2">
      <c r="AE1403" s="3">
        <v>43724</v>
      </c>
      <c r="AF1403">
        <v>1138.82</v>
      </c>
    </row>
    <row r="1404" spans="31:32" x14ac:dyDescent="0.2">
      <c r="AE1404" s="3">
        <v>43721</v>
      </c>
      <c r="AF1404">
        <v>1147.9100000000001</v>
      </c>
    </row>
    <row r="1405" spans="31:32" x14ac:dyDescent="0.2">
      <c r="AE1405" s="3">
        <v>43720</v>
      </c>
      <c r="AF1405">
        <v>1149.22</v>
      </c>
    </row>
    <row r="1406" spans="31:32" x14ac:dyDescent="0.2">
      <c r="AE1406" s="3">
        <v>43719</v>
      </c>
      <c r="AF1406">
        <v>1152.6600000000001</v>
      </c>
    </row>
    <row r="1407" spans="31:32" x14ac:dyDescent="0.2">
      <c r="AE1407" s="3">
        <v>43718</v>
      </c>
      <c r="AF1407">
        <v>1132.0899999999999</v>
      </c>
    </row>
    <row r="1408" spans="31:32" x14ac:dyDescent="0.2">
      <c r="AE1408" s="3">
        <v>43717</v>
      </c>
      <c r="AF1408">
        <v>1149.51</v>
      </c>
    </row>
    <row r="1409" spans="31:32" x14ac:dyDescent="0.2">
      <c r="AE1409" s="3">
        <v>43714</v>
      </c>
      <c r="AF1409">
        <v>1156.74</v>
      </c>
    </row>
    <row r="1410" spans="31:32" x14ac:dyDescent="0.2">
      <c r="AE1410" s="3">
        <v>43713</v>
      </c>
      <c r="AF1410">
        <v>1155.6199999999999</v>
      </c>
    </row>
    <row r="1411" spans="31:32" x14ac:dyDescent="0.2">
      <c r="AE1411" s="3">
        <v>43712</v>
      </c>
      <c r="AF1411">
        <v>1151.5</v>
      </c>
    </row>
    <row r="1412" spans="31:32" x14ac:dyDescent="0.2">
      <c r="AE1412" s="3">
        <v>43711</v>
      </c>
      <c r="AF1412">
        <v>1144.6400000000001</v>
      </c>
    </row>
    <row r="1413" spans="31:32" x14ac:dyDescent="0.2">
      <c r="AE1413" s="3">
        <v>43710</v>
      </c>
      <c r="AF1413">
        <v>1141.71</v>
      </c>
    </row>
    <row r="1414" spans="31:32" x14ac:dyDescent="0.2">
      <c r="AE1414" s="3">
        <v>43707</v>
      </c>
      <c r="AF1414">
        <v>1133.69</v>
      </c>
    </row>
    <row r="1415" spans="31:32" x14ac:dyDescent="0.2">
      <c r="AE1415" s="3">
        <v>43706</v>
      </c>
      <c r="AF1415">
        <v>1122.8599999999999</v>
      </c>
    </row>
    <row r="1416" spans="31:32" x14ac:dyDescent="0.2">
      <c r="AE1416" s="3">
        <v>43705</v>
      </c>
      <c r="AF1416">
        <v>1123.27</v>
      </c>
    </row>
    <row r="1417" spans="31:32" x14ac:dyDescent="0.2">
      <c r="AE1417" s="3">
        <v>43704</v>
      </c>
      <c r="AF1417">
        <v>1129.3599999999999</v>
      </c>
    </row>
    <row r="1418" spans="31:32" x14ac:dyDescent="0.2">
      <c r="AE1418" s="3">
        <v>43703</v>
      </c>
      <c r="AF1418">
        <v>1124.42</v>
      </c>
    </row>
    <row r="1419" spans="31:32" x14ac:dyDescent="0.2">
      <c r="AE1419" s="3">
        <v>43700</v>
      </c>
      <c r="AF1419">
        <v>1135.3900000000001</v>
      </c>
    </row>
    <row r="1420" spans="31:32" x14ac:dyDescent="0.2">
      <c r="AE1420" s="3">
        <v>43699</v>
      </c>
      <c r="AF1420">
        <v>1138.95</v>
      </c>
    </row>
    <row r="1421" spans="31:32" x14ac:dyDescent="0.2">
      <c r="AE1421" s="3">
        <v>43698</v>
      </c>
      <c r="AF1421">
        <v>1142.4000000000001</v>
      </c>
    </row>
    <row r="1422" spans="31:32" x14ac:dyDescent="0.2">
      <c r="AE1422" s="3">
        <v>43697</v>
      </c>
      <c r="AF1422">
        <v>1124.0999999999999</v>
      </c>
    </row>
    <row r="1423" spans="31:32" x14ac:dyDescent="0.2">
      <c r="AE1423" s="3">
        <v>43696</v>
      </c>
      <c r="AF1423">
        <v>1123.79</v>
      </c>
    </row>
    <row r="1424" spans="31:32" x14ac:dyDescent="0.2">
      <c r="AE1424" s="3">
        <v>43693</v>
      </c>
      <c r="AF1424">
        <v>1120.29</v>
      </c>
    </row>
    <row r="1425" spans="31:32" x14ac:dyDescent="0.2">
      <c r="AE1425" s="3">
        <v>43692</v>
      </c>
      <c r="AF1425">
        <v>1098.93</v>
      </c>
    </row>
    <row r="1426" spans="31:32" x14ac:dyDescent="0.2">
      <c r="AE1426" s="3">
        <v>43691</v>
      </c>
      <c r="AF1426">
        <v>1098.7</v>
      </c>
    </row>
    <row r="1427" spans="31:32" x14ac:dyDescent="0.2">
      <c r="AE1427" s="3">
        <v>43690</v>
      </c>
      <c r="AF1427">
        <v>1113.76</v>
      </c>
    </row>
    <row r="1428" spans="31:32" x14ac:dyDescent="0.2">
      <c r="AE1428" s="3">
        <v>43689</v>
      </c>
      <c r="AF1428">
        <v>1104.3</v>
      </c>
    </row>
    <row r="1429" spans="31:32" x14ac:dyDescent="0.2">
      <c r="AE1429" s="3">
        <v>43686</v>
      </c>
      <c r="AF1429">
        <v>1113.97</v>
      </c>
    </row>
    <row r="1430" spans="31:32" x14ac:dyDescent="0.2">
      <c r="AE1430" s="3">
        <v>43685</v>
      </c>
      <c r="AF1430">
        <v>1121.75</v>
      </c>
    </row>
    <row r="1431" spans="31:32" x14ac:dyDescent="0.2">
      <c r="AE1431" s="3">
        <v>43684</v>
      </c>
      <c r="AF1431">
        <v>1104.6500000000001</v>
      </c>
    </row>
    <row r="1432" spans="31:32" x14ac:dyDescent="0.2">
      <c r="AE1432" s="3">
        <v>43683</v>
      </c>
      <c r="AF1432">
        <v>1098.8</v>
      </c>
    </row>
    <row r="1433" spans="31:32" x14ac:dyDescent="0.2">
      <c r="AE1433" s="3">
        <v>43682</v>
      </c>
      <c r="AF1433">
        <v>1089.22</v>
      </c>
    </row>
    <row r="1434" spans="31:32" x14ac:dyDescent="0.2">
      <c r="AE1434" s="3">
        <v>43679</v>
      </c>
      <c r="AF1434">
        <v>1118.53</v>
      </c>
    </row>
    <row r="1435" spans="31:32" x14ac:dyDescent="0.2">
      <c r="AE1435" s="3">
        <v>43678</v>
      </c>
      <c r="AF1435">
        <v>1138.42</v>
      </c>
    </row>
    <row r="1436" spans="31:32" x14ac:dyDescent="0.2">
      <c r="AE1436" s="3">
        <v>43677</v>
      </c>
      <c r="AF1436">
        <v>1124.3699999999999</v>
      </c>
    </row>
    <row r="1437" spans="31:32" x14ac:dyDescent="0.2">
      <c r="AE1437" s="3">
        <v>43676</v>
      </c>
      <c r="AF1437">
        <v>1119.01</v>
      </c>
    </row>
    <row r="1438" spans="31:32" x14ac:dyDescent="0.2">
      <c r="AE1438" s="3">
        <v>43675</v>
      </c>
      <c r="AF1438">
        <v>1139.3499999999999</v>
      </c>
    </row>
    <row r="1439" spans="31:32" x14ac:dyDescent="0.2">
      <c r="AE1439" s="3">
        <v>43672</v>
      </c>
      <c r="AF1439">
        <v>1138.5899999999999</v>
      </c>
    </row>
    <row r="1440" spans="31:32" x14ac:dyDescent="0.2">
      <c r="AE1440" s="3">
        <v>43671</v>
      </c>
      <c r="AF1440">
        <v>1141.1600000000001</v>
      </c>
    </row>
    <row r="1441" spans="31:32" x14ac:dyDescent="0.2">
      <c r="AE1441" s="3">
        <v>43670</v>
      </c>
      <c r="AF1441">
        <v>1139.51</v>
      </c>
    </row>
    <row r="1442" spans="31:32" x14ac:dyDescent="0.2">
      <c r="AE1442" s="3">
        <v>43669</v>
      </c>
      <c r="AF1442">
        <v>1133.42</v>
      </c>
    </row>
    <row r="1443" spans="31:32" x14ac:dyDescent="0.2">
      <c r="AE1443" s="3">
        <v>43668</v>
      </c>
      <c r="AF1443">
        <v>1128.45</v>
      </c>
    </row>
    <row r="1444" spans="31:32" x14ac:dyDescent="0.2">
      <c r="AE1444" s="3">
        <v>43665</v>
      </c>
      <c r="AF1444">
        <v>1128.4100000000001</v>
      </c>
    </row>
    <row r="1445" spans="31:32" x14ac:dyDescent="0.2">
      <c r="AE1445" s="3">
        <v>43664</v>
      </c>
      <c r="AF1445">
        <v>1131.32</v>
      </c>
    </row>
    <row r="1446" spans="31:32" x14ac:dyDescent="0.2">
      <c r="AE1446" s="3">
        <v>43663</v>
      </c>
      <c r="AF1446">
        <v>1132.43</v>
      </c>
    </row>
    <row r="1447" spans="31:32" x14ac:dyDescent="0.2">
      <c r="AE1447" s="3">
        <v>43662</v>
      </c>
      <c r="AF1447">
        <v>1134.69</v>
      </c>
    </row>
    <row r="1448" spans="31:32" x14ac:dyDescent="0.2">
      <c r="AE1448" s="3">
        <v>43661</v>
      </c>
      <c r="AF1448">
        <v>1130.0999999999999</v>
      </c>
    </row>
    <row r="1449" spans="31:32" x14ac:dyDescent="0.2">
      <c r="AE1449" s="3">
        <v>43658</v>
      </c>
      <c r="AF1449">
        <v>1124.03</v>
      </c>
    </row>
    <row r="1450" spans="31:32" x14ac:dyDescent="0.2">
      <c r="AE1450" s="3">
        <v>43657</v>
      </c>
      <c r="AF1450">
        <v>1135.1400000000001</v>
      </c>
    </row>
    <row r="1451" spans="31:32" x14ac:dyDescent="0.2">
      <c r="AE1451" s="3">
        <v>43656</v>
      </c>
      <c r="AF1451">
        <v>1138.7</v>
      </c>
    </row>
    <row r="1452" spans="31:32" x14ac:dyDescent="0.2">
      <c r="AE1452" s="3">
        <v>43655</v>
      </c>
      <c r="AF1452">
        <v>1135.18</v>
      </c>
    </row>
    <row r="1453" spans="31:32" x14ac:dyDescent="0.2">
      <c r="AE1453" s="3">
        <v>43654</v>
      </c>
      <c r="AF1453">
        <v>1141.29</v>
      </c>
    </row>
    <row r="1454" spans="31:32" x14ac:dyDescent="0.2">
      <c r="AE1454" s="3">
        <v>43651</v>
      </c>
      <c r="AF1454">
        <v>1141.0899999999999</v>
      </c>
    </row>
    <row r="1455" spans="31:32" x14ac:dyDescent="0.2">
      <c r="AE1455" s="3">
        <v>43650</v>
      </c>
      <c r="AF1455">
        <v>1153.96</v>
      </c>
    </row>
    <row r="1456" spans="31:32" x14ac:dyDescent="0.2">
      <c r="AE1456" s="3">
        <v>43649</v>
      </c>
      <c r="AF1456">
        <v>1159.6600000000001</v>
      </c>
    </row>
    <row r="1457" spans="31:32" x14ac:dyDescent="0.2">
      <c r="AE1457" s="3">
        <v>43648</v>
      </c>
      <c r="AF1457">
        <v>1144.83</v>
      </c>
    </row>
    <row r="1458" spans="31:32" x14ac:dyDescent="0.2">
      <c r="AE1458" s="3">
        <v>43647</v>
      </c>
      <c r="AF1458">
        <v>1141.42</v>
      </c>
    </row>
    <row r="1459" spans="31:32" x14ac:dyDescent="0.2">
      <c r="AE1459" s="3">
        <v>43644</v>
      </c>
      <c r="AF1459">
        <v>1122.77</v>
      </c>
    </row>
    <row r="1460" spans="31:32" x14ac:dyDescent="0.2">
      <c r="AE1460" s="3">
        <v>43643</v>
      </c>
      <c r="AF1460">
        <v>1114.01</v>
      </c>
    </row>
    <row r="1461" spans="31:32" x14ac:dyDescent="0.2">
      <c r="AE1461" s="3">
        <v>43642</v>
      </c>
      <c r="AF1461">
        <v>1125</v>
      </c>
    </row>
    <row r="1462" spans="31:32" x14ac:dyDescent="0.2">
      <c r="AE1462" s="3">
        <v>43641</v>
      </c>
      <c r="AF1462">
        <v>1130.99</v>
      </c>
    </row>
    <row r="1463" spans="31:32" x14ac:dyDescent="0.2">
      <c r="AE1463" s="3">
        <v>43640</v>
      </c>
      <c r="AF1463">
        <v>1129.26</v>
      </c>
    </row>
    <row r="1464" spans="31:32" x14ac:dyDescent="0.2">
      <c r="AE1464" s="3">
        <v>43637</v>
      </c>
      <c r="AF1464">
        <v>1129.68</v>
      </c>
    </row>
    <row r="1465" spans="31:32" x14ac:dyDescent="0.2">
      <c r="AE1465" s="3">
        <v>43636</v>
      </c>
      <c r="AF1465">
        <v>1141.28</v>
      </c>
    </row>
    <row r="1466" spans="31:32" x14ac:dyDescent="0.2">
      <c r="AE1466" s="3">
        <v>43635</v>
      </c>
      <c r="AF1466">
        <v>1142.19</v>
      </c>
    </row>
    <row r="1467" spans="31:32" x14ac:dyDescent="0.2">
      <c r="AE1467" s="3">
        <v>43634</v>
      </c>
      <c r="AF1467">
        <v>1138.6600000000001</v>
      </c>
    </row>
    <row r="1468" spans="31:32" x14ac:dyDescent="0.2">
      <c r="AE1468" s="3">
        <v>43633</v>
      </c>
      <c r="AF1468">
        <v>1128.56</v>
      </c>
    </row>
    <row r="1469" spans="31:32" x14ac:dyDescent="0.2">
      <c r="AE1469" s="3">
        <v>43630</v>
      </c>
      <c r="AF1469">
        <v>1125.94</v>
      </c>
    </row>
    <row r="1470" spans="31:32" x14ac:dyDescent="0.2">
      <c r="AE1470" s="3">
        <v>43629</v>
      </c>
      <c r="AF1470">
        <v>1133.82</v>
      </c>
    </row>
    <row r="1471" spans="31:32" x14ac:dyDescent="0.2">
      <c r="AE1471" s="3">
        <v>43628</v>
      </c>
      <c r="AF1471">
        <v>1137.97</v>
      </c>
    </row>
    <row r="1472" spans="31:32" x14ac:dyDescent="0.2">
      <c r="AE1472" s="3">
        <v>43627</v>
      </c>
      <c r="AF1472">
        <v>1129.49</v>
      </c>
    </row>
    <row r="1473" spans="31:32" x14ac:dyDescent="0.2">
      <c r="AE1473" s="3">
        <v>43623</v>
      </c>
      <c r="AF1473">
        <v>1112.8599999999999</v>
      </c>
    </row>
    <row r="1474" spans="31:32" x14ac:dyDescent="0.2">
      <c r="AE1474" s="3">
        <v>43622</v>
      </c>
      <c r="AF1474">
        <v>1107.72</v>
      </c>
    </row>
    <row r="1475" spans="31:32" x14ac:dyDescent="0.2">
      <c r="AE1475" s="3">
        <v>43620</v>
      </c>
      <c r="AF1475">
        <v>1094.54</v>
      </c>
    </row>
    <row r="1476" spans="31:32" x14ac:dyDescent="0.2">
      <c r="AE1476" s="3">
        <v>43619</v>
      </c>
      <c r="AF1476">
        <v>1099.94</v>
      </c>
    </row>
    <row r="1477" spans="31:32" x14ac:dyDescent="0.2">
      <c r="AE1477" s="3">
        <v>43614</v>
      </c>
      <c r="AF1477">
        <v>1097.1199999999999</v>
      </c>
    </row>
    <row r="1478" spans="31:32" x14ac:dyDescent="0.2">
      <c r="AE1478" s="3">
        <v>43613</v>
      </c>
      <c r="AF1478">
        <v>1127.7</v>
      </c>
    </row>
    <row r="1479" spans="31:32" x14ac:dyDescent="0.2">
      <c r="AE1479" s="3">
        <v>43612</v>
      </c>
      <c r="AF1479">
        <v>1114.78</v>
      </c>
    </row>
    <row r="1480" spans="31:32" x14ac:dyDescent="0.2">
      <c r="AE1480" s="3">
        <v>43609</v>
      </c>
      <c r="AF1480">
        <v>1122.97</v>
      </c>
    </row>
    <row r="1481" spans="31:32" x14ac:dyDescent="0.2">
      <c r="AE1481" s="3">
        <v>43608</v>
      </c>
      <c r="AF1481">
        <v>1118.6199999999999</v>
      </c>
    </row>
    <row r="1482" spans="31:32" x14ac:dyDescent="0.2">
      <c r="AE1482" s="3">
        <v>43607</v>
      </c>
      <c r="AF1482">
        <v>1132.3599999999999</v>
      </c>
    </row>
    <row r="1483" spans="31:32" x14ac:dyDescent="0.2">
      <c r="AE1483" s="3">
        <v>43606</v>
      </c>
      <c r="AF1483">
        <v>1120.55</v>
      </c>
    </row>
    <row r="1484" spans="31:32" x14ac:dyDescent="0.2">
      <c r="AE1484" s="3">
        <v>43605</v>
      </c>
      <c r="AF1484">
        <v>1108.78</v>
      </c>
    </row>
    <row r="1485" spans="31:32" x14ac:dyDescent="0.2">
      <c r="AE1485" s="3">
        <v>43601</v>
      </c>
      <c r="AF1485">
        <v>1117.93</v>
      </c>
    </row>
    <row r="1486" spans="31:32" x14ac:dyDescent="0.2">
      <c r="AE1486" s="3">
        <v>43600</v>
      </c>
      <c r="AF1486">
        <v>1103.92</v>
      </c>
    </row>
    <row r="1487" spans="31:32" x14ac:dyDescent="0.2">
      <c r="AE1487" s="3">
        <v>43599</v>
      </c>
      <c r="AF1487">
        <v>1108.8699999999999</v>
      </c>
    </row>
    <row r="1488" spans="31:32" x14ac:dyDescent="0.2">
      <c r="AE1488" s="3">
        <v>43598</v>
      </c>
      <c r="AF1488">
        <v>1101.8800000000001</v>
      </c>
    </row>
    <row r="1489" spans="31:32" x14ac:dyDescent="0.2">
      <c r="AE1489" s="3">
        <v>43595</v>
      </c>
      <c r="AF1489">
        <v>1125.1099999999999</v>
      </c>
    </row>
    <row r="1490" spans="31:32" x14ac:dyDescent="0.2">
      <c r="AE1490" s="3">
        <v>43594</v>
      </c>
      <c r="AF1490">
        <v>1125.93</v>
      </c>
    </row>
    <row r="1491" spans="31:32" x14ac:dyDescent="0.2">
      <c r="AE1491" s="3">
        <v>43593</v>
      </c>
      <c r="AF1491">
        <v>1138.96</v>
      </c>
    </row>
    <row r="1492" spans="31:32" x14ac:dyDescent="0.2">
      <c r="AE1492" s="3">
        <v>43592</v>
      </c>
      <c r="AF1492">
        <v>1133.76</v>
      </c>
    </row>
    <row r="1493" spans="31:32" x14ac:dyDescent="0.2">
      <c r="AE1493" s="3">
        <v>43591</v>
      </c>
      <c r="AF1493">
        <v>1130.06</v>
      </c>
    </row>
    <row r="1494" spans="31:32" x14ac:dyDescent="0.2">
      <c r="AE1494" s="3">
        <v>43588</v>
      </c>
      <c r="AF1494">
        <v>1138.6400000000001</v>
      </c>
    </row>
    <row r="1495" spans="31:32" x14ac:dyDescent="0.2">
      <c r="AE1495" s="3">
        <v>43587</v>
      </c>
      <c r="AF1495">
        <v>1141.69</v>
      </c>
    </row>
    <row r="1496" spans="31:32" x14ac:dyDescent="0.2">
      <c r="AE1496" s="3">
        <v>43586</v>
      </c>
      <c r="AF1496">
        <v>1153.1600000000001</v>
      </c>
    </row>
    <row r="1497" spans="31:32" x14ac:dyDescent="0.2">
      <c r="AE1497" s="3">
        <v>43585</v>
      </c>
      <c r="AF1497">
        <v>1149.69</v>
      </c>
    </row>
    <row r="1498" spans="31:32" x14ac:dyDescent="0.2">
      <c r="AE1498" s="3">
        <v>43584</v>
      </c>
      <c r="AF1498">
        <v>1157.19</v>
      </c>
    </row>
    <row r="1499" spans="31:32" x14ac:dyDescent="0.2">
      <c r="AE1499" s="3">
        <v>43581</v>
      </c>
      <c r="AF1499">
        <v>1155.96</v>
      </c>
    </row>
    <row r="1500" spans="31:32" x14ac:dyDescent="0.2">
      <c r="AE1500" s="3">
        <v>43580</v>
      </c>
      <c r="AF1500">
        <v>1139.42</v>
      </c>
    </row>
    <row r="1501" spans="31:32" x14ac:dyDescent="0.2">
      <c r="AE1501" s="3">
        <v>43579</v>
      </c>
      <c r="AF1501">
        <v>1143.1199999999999</v>
      </c>
    </row>
    <row r="1502" spans="31:32" x14ac:dyDescent="0.2">
      <c r="AE1502" s="3">
        <v>43578</v>
      </c>
      <c r="AF1502">
        <v>1143.74</v>
      </c>
    </row>
    <row r="1503" spans="31:32" x14ac:dyDescent="0.2">
      <c r="AE1503" s="3">
        <v>43572</v>
      </c>
      <c r="AF1503">
        <v>1141.51</v>
      </c>
    </row>
    <row r="1504" spans="31:32" x14ac:dyDescent="0.2">
      <c r="AE1504" s="3">
        <v>43571</v>
      </c>
      <c r="AF1504">
        <v>1149.77</v>
      </c>
    </row>
    <row r="1505" spans="31:32" x14ac:dyDescent="0.2">
      <c r="AE1505" s="3">
        <v>43570</v>
      </c>
      <c r="AF1505">
        <v>1149.19</v>
      </c>
    </row>
    <row r="1506" spans="31:32" x14ac:dyDescent="0.2">
      <c r="AE1506" s="3">
        <v>43567</v>
      </c>
      <c r="AF1506">
        <v>1144.0899999999999</v>
      </c>
    </row>
    <row r="1507" spans="31:32" x14ac:dyDescent="0.2">
      <c r="AE1507" s="3">
        <v>43566</v>
      </c>
      <c r="AF1507">
        <v>1140.42</v>
      </c>
    </row>
    <row r="1508" spans="31:32" x14ac:dyDescent="0.2">
      <c r="AE1508" s="3">
        <v>43565</v>
      </c>
      <c r="AF1508">
        <v>1140.81</v>
      </c>
    </row>
    <row r="1509" spans="31:32" x14ac:dyDescent="0.2">
      <c r="AE1509" s="3">
        <v>43564</v>
      </c>
      <c r="AF1509">
        <v>1139.68</v>
      </c>
    </row>
    <row r="1510" spans="31:32" x14ac:dyDescent="0.2">
      <c r="AE1510" s="3">
        <v>43563</v>
      </c>
      <c r="AF1510">
        <v>1143.69</v>
      </c>
    </row>
    <row r="1511" spans="31:32" x14ac:dyDescent="0.2">
      <c r="AE1511" s="3">
        <v>43560</v>
      </c>
      <c r="AF1511">
        <v>1143.93</v>
      </c>
    </row>
    <row r="1512" spans="31:32" x14ac:dyDescent="0.2">
      <c r="AE1512" s="3">
        <v>43559</v>
      </c>
      <c r="AF1512">
        <v>1137.68</v>
      </c>
    </row>
    <row r="1513" spans="31:32" x14ac:dyDescent="0.2">
      <c r="AE1513" s="3">
        <v>43558</v>
      </c>
      <c r="AF1513">
        <v>1146.94</v>
      </c>
    </row>
    <row r="1514" spans="31:32" x14ac:dyDescent="0.2">
      <c r="AE1514" s="3">
        <v>43557</v>
      </c>
      <c r="AF1514">
        <v>1147</v>
      </c>
    </row>
    <row r="1515" spans="31:32" x14ac:dyDescent="0.2">
      <c r="AE1515" s="3">
        <v>43556</v>
      </c>
      <c r="AF1515">
        <v>1139.3</v>
      </c>
    </row>
    <row r="1516" spans="31:32" x14ac:dyDescent="0.2">
      <c r="AE1516" s="3">
        <v>43553</v>
      </c>
      <c r="AF1516">
        <v>1122.8699999999999</v>
      </c>
    </row>
    <row r="1517" spans="31:32" x14ac:dyDescent="0.2">
      <c r="AE1517" s="3">
        <v>43552</v>
      </c>
      <c r="AF1517">
        <v>1119.29</v>
      </c>
    </row>
    <row r="1518" spans="31:32" x14ac:dyDescent="0.2">
      <c r="AE1518" s="3">
        <v>43551</v>
      </c>
      <c r="AF1518">
        <v>1118</v>
      </c>
    </row>
    <row r="1519" spans="31:32" x14ac:dyDescent="0.2">
      <c r="AE1519" s="3">
        <v>43550</v>
      </c>
      <c r="AF1519">
        <v>1122.02</v>
      </c>
    </row>
    <row r="1520" spans="31:32" x14ac:dyDescent="0.2">
      <c r="AE1520" s="3">
        <v>43549</v>
      </c>
      <c r="AF1520">
        <v>1112.3599999999999</v>
      </c>
    </row>
    <row r="1521" spans="31:32" x14ac:dyDescent="0.2">
      <c r="AE1521" s="3">
        <v>43546</v>
      </c>
      <c r="AF1521">
        <v>1118.81</v>
      </c>
    </row>
    <row r="1522" spans="31:32" x14ac:dyDescent="0.2">
      <c r="AE1522" s="3">
        <v>43545</v>
      </c>
      <c r="AF1522">
        <v>1134.3399999999999</v>
      </c>
    </row>
    <row r="1523" spans="31:32" x14ac:dyDescent="0.2">
      <c r="AE1523" s="3">
        <v>43544</v>
      </c>
      <c r="AF1523">
        <v>1135.56</v>
      </c>
    </row>
    <row r="1524" spans="31:32" x14ac:dyDescent="0.2">
      <c r="AE1524" s="3">
        <v>43543</v>
      </c>
      <c r="AF1524">
        <v>1138.98</v>
      </c>
    </row>
    <row r="1525" spans="31:32" x14ac:dyDescent="0.2">
      <c r="AE1525" s="3">
        <v>43542</v>
      </c>
      <c r="AF1525">
        <v>1133.8599999999999</v>
      </c>
    </row>
    <row r="1526" spans="31:32" x14ac:dyDescent="0.2">
      <c r="AE1526" s="3">
        <v>43539</v>
      </c>
      <c r="AF1526">
        <v>1130.9000000000001</v>
      </c>
    </row>
    <row r="1527" spans="31:32" x14ac:dyDescent="0.2">
      <c r="AE1527" s="3">
        <v>43538</v>
      </c>
      <c r="AF1527">
        <v>1126.3699999999999</v>
      </c>
    </row>
    <row r="1528" spans="31:32" x14ac:dyDescent="0.2">
      <c r="AE1528" s="3">
        <v>43537</v>
      </c>
      <c r="AF1528">
        <v>1118.53</v>
      </c>
    </row>
    <row r="1529" spans="31:32" x14ac:dyDescent="0.2">
      <c r="AE1529" s="3">
        <v>43536</v>
      </c>
      <c r="AF1529">
        <v>1112.03</v>
      </c>
    </row>
    <row r="1530" spans="31:32" x14ac:dyDescent="0.2">
      <c r="AE1530" s="3">
        <v>43535</v>
      </c>
      <c r="AF1530">
        <v>1103.93</v>
      </c>
    </row>
    <row r="1531" spans="31:32" x14ac:dyDescent="0.2">
      <c r="AE1531" s="3">
        <v>43532</v>
      </c>
      <c r="AF1531">
        <v>1101.46</v>
      </c>
    </row>
    <row r="1532" spans="31:32" x14ac:dyDescent="0.2">
      <c r="AE1532" s="3">
        <v>43531</v>
      </c>
      <c r="AF1532">
        <v>1105.8599999999999</v>
      </c>
    </row>
    <row r="1533" spans="31:32" x14ac:dyDescent="0.2">
      <c r="AE1533" s="3">
        <v>43530</v>
      </c>
      <c r="AF1533">
        <v>1108.21</v>
      </c>
    </row>
    <row r="1534" spans="31:32" x14ac:dyDescent="0.2">
      <c r="AE1534" s="3">
        <v>43529</v>
      </c>
      <c r="AF1534">
        <v>1113.92</v>
      </c>
    </row>
    <row r="1535" spans="31:32" x14ac:dyDescent="0.2">
      <c r="AE1535" s="3">
        <v>43528</v>
      </c>
      <c r="AF1535">
        <v>1111.1500000000001</v>
      </c>
    </row>
    <row r="1536" spans="31:32" x14ac:dyDescent="0.2">
      <c r="AE1536" s="3">
        <v>43525</v>
      </c>
      <c r="AF1536">
        <v>1104.78</v>
      </c>
    </row>
    <row r="1537" spans="31:32" x14ac:dyDescent="0.2">
      <c r="AE1537" s="3">
        <v>43524</v>
      </c>
      <c r="AF1537">
        <v>1100.56</v>
      </c>
    </row>
    <row r="1538" spans="31:32" x14ac:dyDescent="0.2">
      <c r="AE1538" s="3">
        <v>43523</v>
      </c>
      <c r="AF1538">
        <v>1099.42</v>
      </c>
    </row>
    <row r="1539" spans="31:32" x14ac:dyDescent="0.2">
      <c r="AE1539" s="3">
        <v>43522</v>
      </c>
      <c r="AF1539">
        <v>1101.45</v>
      </c>
    </row>
    <row r="1540" spans="31:32" x14ac:dyDescent="0.2">
      <c r="AE1540" s="3">
        <v>43521</v>
      </c>
      <c r="AF1540">
        <v>1097.06</v>
      </c>
    </row>
    <row r="1541" spans="31:32" x14ac:dyDescent="0.2">
      <c r="AE1541" s="3">
        <v>43518</v>
      </c>
      <c r="AF1541">
        <v>1091.6600000000001</v>
      </c>
    </row>
    <row r="1542" spans="31:32" x14ac:dyDescent="0.2">
      <c r="AE1542" s="3">
        <v>43517</v>
      </c>
      <c r="AF1542">
        <v>1086.98</v>
      </c>
    </row>
    <row r="1543" spans="31:32" x14ac:dyDescent="0.2">
      <c r="AE1543" s="3">
        <v>43516</v>
      </c>
      <c r="AF1543">
        <v>1092.48</v>
      </c>
    </row>
    <row r="1544" spans="31:32" x14ac:dyDescent="0.2">
      <c r="AE1544" s="3">
        <v>43515</v>
      </c>
      <c r="AF1544">
        <v>1083.4100000000001</v>
      </c>
    </row>
    <row r="1545" spans="31:32" x14ac:dyDescent="0.2">
      <c r="AE1545" s="3">
        <v>43514</v>
      </c>
      <c r="AF1545">
        <v>1092.23</v>
      </c>
    </row>
    <row r="1546" spans="31:32" x14ac:dyDescent="0.2">
      <c r="AE1546" s="3">
        <v>43511</v>
      </c>
      <c r="AF1546">
        <v>1089.6199999999999</v>
      </c>
    </row>
    <row r="1547" spans="31:32" x14ac:dyDescent="0.2">
      <c r="AE1547" s="3">
        <v>43510</v>
      </c>
      <c r="AF1547">
        <v>1083.6099999999999</v>
      </c>
    </row>
    <row r="1548" spans="31:32" x14ac:dyDescent="0.2">
      <c r="AE1548" s="3">
        <v>43509</v>
      </c>
      <c r="AF1548">
        <v>1076.1600000000001</v>
      </c>
    </row>
    <row r="1549" spans="31:32" x14ac:dyDescent="0.2">
      <c r="AE1549" s="3">
        <v>43508</v>
      </c>
      <c r="AF1549">
        <v>1076.0899999999999</v>
      </c>
    </row>
    <row r="1550" spans="31:32" x14ac:dyDescent="0.2">
      <c r="AE1550" s="3">
        <v>43507</v>
      </c>
      <c r="AF1550">
        <v>1063.79</v>
      </c>
    </row>
    <row r="1551" spans="31:32" x14ac:dyDescent="0.2">
      <c r="AE1551" s="3">
        <v>43504</v>
      </c>
      <c r="AF1551">
        <v>1051.94</v>
      </c>
    </row>
    <row r="1552" spans="31:32" x14ac:dyDescent="0.2">
      <c r="AE1552" s="3">
        <v>43503</v>
      </c>
      <c r="AF1552">
        <v>1061.69</v>
      </c>
    </row>
    <row r="1553" spans="31:32" x14ac:dyDescent="0.2">
      <c r="AE1553" s="3">
        <v>43502</v>
      </c>
      <c r="AF1553">
        <v>1068.1099999999999</v>
      </c>
    </row>
    <row r="1554" spans="31:32" x14ac:dyDescent="0.2">
      <c r="AE1554" s="3">
        <v>43501</v>
      </c>
      <c r="AF1554">
        <v>1073.44</v>
      </c>
    </row>
    <row r="1555" spans="31:32" x14ac:dyDescent="0.2">
      <c r="AE1555" s="3">
        <v>43500</v>
      </c>
      <c r="AF1555">
        <v>1049.9000000000001</v>
      </c>
    </row>
    <row r="1556" spans="31:32" x14ac:dyDescent="0.2">
      <c r="AE1556" s="3">
        <v>43497</v>
      </c>
      <c r="AF1556">
        <v>1054.9100000000001</v>
      </c>
    </row>
    <row r="1557" spans="31:32" x14ac:dyDescent="0.2">
      <c r="AE1557" s="3">
        <v>43496</v>
      </c>
      <c r="AF1557">
        <v>1035.6199999999999</v>
      </c>
    </row>
    <row r="1558" spans="31:32" x14ac:dyDescent="0.2">
      <c r="AE1558" s="3">
        <v>43495</v>
      </c>
      <c r="AF1558">
        <v>1042.3</v>
      </c>
    </row>
    <row r="1559" spans="31:32" x14ac:dyDescent="0.2">
      <c r="AE1559" s="3">
        <v>43494</v>
      </c>
      <c r="AF1559">
        <v>1039.6199999999999</v>
      </c>
    </row>
    <row r="1560" spans="31:32" x14ac:dyDescent="0.2">
      <c r="AE1560" s="3">
        <v>43493</v>
      </c>
      <c r="AF1560">
        <v>1031.53</v>
      </c>
    </row>
    <row r="1561" spans="31:32" x14ac:dyDescent="0.2">
      <c r="AE1561" s="3">
        <v>43490</v>
      </c>
      <c r="AF1561">
        <v>1035.3399999999999</v>
      </c>
    </row>
    <row r="1562" spans="31:32" x14ac:dyDescent="0.2">
      <c r="AE1562" s="3">
        <v>43489</v>
      </c>
      <c r="AF1562">
        <v>1040.48</v>
      </c>
    </row>
    <row r="1563" spans="31:32" x14ac:dyDescent="0.2">
      <c r="AE1563" s="3">
        <v>43488</v>
      </c>
      <c r="AF1563">
        <v>1042.93</v>
      </c>
    </row>
    <row r="1564" spans="31:32" x14ac:dyDescent="0.2">
      <c r="AE1564" s="3">
        <v>43487</v>
      </c>
      <c r="AF1564">
        <v>1044.6400000000001</v>
      </c>
    </row>
    <row r="1565" spans="31:32" x14ac:dyDescent="0.2">
      <c r="AE1565" s="3">
        <v>43486</v>
      </c>
      <c r="AF1565">
        <v>1048.45</v>
      </c>
    </row>
    <row r="1566" spans="31:32" x14ac:dyDescent="0.2">
      <c r="AE1566" s="3">
        <v>43483</v>
      </c>
      <c r="AF1566">
        <v>1044.29</v>
      </c>
    </row>
    <row r="1567" spans="31:32" x14ac:dyDescent="0.2">
      <c r="AE1567" s="3">
        <v>43482</v>
      </c>
      <c r="AF1567">
        <v>1036.19</v>
      </c>
    </row>
    <row r="1568" spans="31:32" x14ac:dyDescent="0.2">
      <c r="AE1568" s="3">
        <v>43481</v>
      </c>
      <c r="AF1568">
        <v>1032.8399999999999</v>
      </c>
    </row>
    <row r="1569" spans="31:32" x14ac:dyDescent="0.2">
      <c r="AE1569" s="3">
        <v>43480</v>
      </c>
      <c r="AF1569">
        <v>1024.28</v>
      </c>
    </row>
    <row r="1570" spans="31:32" x14ac:dyDescent="0.2">
      <c r="AE1570" s="3">
        <v>43479</v>
      </c>
      <c r="AF1570">
        <v>1021.22</v>
      </c>
    </row>
    <row r="1571" spans="31:32" x14ac:dyDescent="0.2">
      <c r="AE1571" s="3">
        <v>43476</v>
      </c>
      <c r="AF1571">
        <v>1037.6500000000001</v>
      </c>
    </row>
    <row r="1572" spans="31:32" x14ac:dyDescent="0.2">
      <c r="AE1572" s="3">
        <v>43475</v>
      </c>
      <c r="AF1572">
        <v>1037.8499999999999</v>
      </c>
    </row>
    <row r="1573" spans="31:32" x14ac:dyDescent="0.2">
      <c r="AE1573" s="3">
        <v>43474</v>
      </c>
      <c r="AF1573">
        <v>1044.04</v>
      </c>
    </row>
    <row r="1574" spans="31:32" x14ac:dyDescent="0.2">
      <c r="AE1574" s="3">
        <v>43473</v>
      </c>
      <c r="AF1574">
        <v>1037.4000000000001</v>
      </c>
    </row>
    <row r="1575" spans="31:32" x14ac:dyDescent="0.2">
      <c r="AE1575" s="3">
        <v>43472</v>
      </c>
      <c r="AF1575">
        <v>1027.82</v>
      </c>
    </row>
    <row r="1576" spans="31:32" x14ac:dyDescent="0.2">
      <c r="AE1576" s="3">
        <v>43469</v>
      </c>
      <c r="AF1576">
        <v>1020.17</v>
      </c>
    </row>
    <row r="1577" spans="31:32" x14ac:dyDescent="0.2">
      <c r="AE1577" s="3">
        <v>43468</v>
      </c>
      <c r="AF1577">
        <v>995.37</v>
      </c>
    </row>
    <row r="1578" spans="31:32" x14ac:dyDescent="0.2">
      <c r="AE1578" s="3">
        <v>43467</v>
      </c>
      <c r="AF1578">
        <v>1004.76</v>
      </c>
    </row>
    <row r="1579" spans="31:32" x14ac:dyDescent="0.2">
      <c r="AE1579" s="3">
        <v>43462</v>
      </c>
      <c r="AF1579">
        <v>994.92</v>
      </c>
    </row>
    <row r="1580" spans="31:32" x14ac:dyDescent="0.2">
      <c r="AE1580" s="3">
        <v>43461</v>
      </c>
      <c r="AF1580">
        <v>980.75</v>
      </c>
    </row>
    <row r="1581" spans="31:32" x14ac:dyDescent="0.2">
      <c r="AE1581" s="3">
        <v>43455</v>
      </c>
      <c r="AF1581">
        <v>997.93</v>
      </c>
    </row>
    <row r="1582" spans="31:32" x14ac:dyDescent="0.2">
      <c r="AE1582" s="3">
        <v>43454</v>
      </c>
      <c r="AF1582">
        <v>1005.51</v>
      </c>
    </row>
    <row r="1583" spans="31:32" x14ac:dyDescent="0.2">
      <c r="AE1583" s="3">
        <v>43453</v>
      </c>
      <c r="AF1583">
        <v>1023.41</v>
      </c>
    </row>
    <row r="1584" spans="31:32" x14ac:dyDescent="0.2">
      <c r="AE1584" s="3">
        <v>43452</v>
      </c>
      <c r="AF1584">
        <v>1030.48</v>
      </c>
    </row>
    <row r="1585" spans="31:32" x14ac:dyDescent="0.2">
      <c r="AE1585" s="3">
        <v>43451</v>
      </c>
      <c r="AF1585">
        <v>1037.93</v>
      </c>
    </row>
    <row r="1586" spans="31:32" x14ac:dyDescent="0.2">
      <c r="AE1586" s="3">
        <v>43448</v>
      </c>
      <c r="AF1586">
        <v>1047.8900000000001</v>
      </c>
    </row>
    <row r="1587" spans="31:32" x14ac:dyDescent="0.2">
      <c r="AE1587" s="3">
        <v>43447</v>
      </c>
      <c r="AF1587">
        <v>1050.4100000000001</v>
      </c>
    </row>
    <row r="1588" spans="31:32" x14ac:dyDescent="0.2">
      <c r="AE1588" s="3">
        <v>43446</v>
      </c>
      <c r="AF1588">
        <v>1041.47</v>
      </c>
    </row>
    <row r="1589" spans="31:32" x14ac:dyDescent="0.2">
      <c r="AE1589" s="3">
        <v>43445</v>
      </c>
      <c r="AF1589">
        <v>1036.8399999999999</v>
      </c>
    </row>
    <row r="1590" spans="31:32" x14ac:dyDescent="0.2">
      <c r="AE1590" s="3">
        <v>43444</v>
      </c>
      <c r="AF1590">
        <v>1025.76</v>
      </c>
    </row>
    <row r="1591" spans="31:32" x14ac:dyDescent="0.2">
      <c r="AE1591" s="3">
        <v>43441</v>
      </c>
      <c r="AF1591">
        <v>1038.9000000000001</v>
      </c>
    </row>
    <row r="1592" spans="31:32" x14ac:dyDescent="0.2">
      <c r="AE1592" s="3">
        <v>43440</v>
      </c>
      <c r="AF1592">
        <v>1024.8499999999999</v>
      </c>
    </row>
    <row r="1593" spans="31:32" x14ac:dyDescent="0.2">
      <c r="AE1593" s="3">
        <v>43439</v>
      </c>
      <c r="AF1593">
        <v>1045.95</v>
      </c>
    </row>
    <row r="1594" spans="31:32" x14ac:dyDescent="0.2">
      <c r="AE1594" s="3">
        <v>43438</v>
      </c>
      <c r="AF1594">
        <v>1046.3399999999999</v>
      </c>
    </row>
    <row r="1595" spans="31:32" x14ac:dyDescent="0.2">
      <c r="AE1595" s="3">
        <v>43437</v>
      </c>
      <c r="AF1595">
        <v>1044.2</v>
      </c>
    </row>
    <row r="1596" spans="31:32" x14ac:dyDescent="0.2">
      <c r="AE1596" s="3">
        <v>43434</v>
      </c>
      <c r="AF1596">
        <v>1040.54</v>
      </c>
    </row>
    <row r="1597" spans="31:32" x14ac:dyDescent="0.2">
      <c r="AE1597" s="3">
        <v>43433</v>
      </c>
      <c r="AF1597">
        <v>1044.6600000000001</v>
      </c>
    </row>
    <row r="1598" spans="31:32" x14ac:dyDescent="0.2">
      <c r="AE1598" s="3">
        <v>43432</v>
      </c>
      <c r="AF1598">
        <v>1043.31</v>
      </c>
    </row>
    <row r="1599" spans="31:32" x14ac:dyDescent="0.2">
      <c r="AE1599" s="3">
        <v>43431</v>
      </c>
      <c r="AF1599">
        <v>1045.0999999999999</v>
      </c>
    </row>
    <row r="1600" spans="31:32" x14ac:dyDescent="0.2">
      <c r="AE1600" s="3">
        <v>43430</v>
      </c>
      <c r="AF1600">
        <v>1051.5899999999999</v>
      </c>
    </row>
    <row r="1601" spans="31:32" x14ac:dyDescent="0.2">
      <c r="AE1601" s="3">
        <v>43427</v>
      </c>
      <c r="AF1601">
        <v>1032.17</v>
      </c>
    </row>
    <row r="1602" spans="31:32" x14ac:dyDescent="0.2">
      <c r="AE1602" s="3">
        <v>43426</v>
      </c>
      <c r="AF1602">
        <v>1017.04</v>
      </c>
    </row>
    <row r="1603" spans="31:32" x14ac:dyDescent="0.2">
      <c r="AE1603" s="3">
        <v>43425</v>
      </c>
      <c r="AF1603">
        <v>1016.71</v>
      </c>
    </row>
    <row r="1604" spans="31:32" x14ac:dyDescent="0.2">
      <c r="AE1604" s="3">
        <v>43424</v>
      </c>
      <c r="AF1604">
        <v>1012.44</v>
      </c>
    </row>
    <row r="1605" spans="31:32" x14ac:dyDescent="0.2">
      <c r="AE1605" s="3">
        <v>43423</v>
      </c>
      <c r="AF1605">
        <v>1028.74</v>
      </c>
    </row>
    <row r="1606" spans="31:32" x14ac:dyDescent="0.2">
      <c r="AE1606" s="3">
        <v>43420</v>
      </c>
      <c r="AF1606">
        <v>1032.5999999999999</v>
      </c>
    </row>
    <row r="1607" spans="31:32" x14ac:dyDescent="0.2">
      <c r="AE1607" s="3">
        <v>43419</v>
      </c>
      <c r="AF1607">
        <v>1028.78</v>
      </c>
    </row>
    <row r="1608" spans="31:32" x14ac:dyDescent="0.2">
      <c r="AE1608" s="3">
        <v>43418</v>
      </c>
      <c r="AF1608">
        <v>1048.55</v>
      </c>
    </row>
    <row r="1609" spans="31:32" x14ac:dyDescent="0.2">
      <c r="AE1609" s="3">
        <v>43417</v>
      </c>
      <c r="AF1609">
        <v>1047.8499999999999</v>
      </c>
    </row>
    <row r="1610" spans="31:32" x14ac:dyDescent="0.2">
      <c r="AE1610" s="3">
        <v>43416</v>
      </c>
      <c r="AF1610">
        <v>1057.31</v>
      </c>
    </row>
    <row r="1611" spans="31:32" x14ac:dyDescent="0.2">
      <c r="AE1611" s="3">
        <v>43413</v>
      </c>
      <c r="AF1611">
        <v>1064.45</v>
      </c>
    </row>
    <row r="1612" spans="31:32" x14ac:dyDescent="0.2">
      <c r="AE1612" s="3">
        <v>43412</v>
      </c>
      <c r="AF1612">
        <v>1065.04</v>
      </c>
    </row>
    <row r="1613" spans="31:32" x14ac:dyDescent="0.2">
      <c r="AE1613" s="3">
        <v>43411</v>
      </c>
      <c r="AF1613">
        <v>1056.3800000000001</v>
      </c>
    </row>
    <row r="1614" spans="31:32" x14ac:dyDescent="0.2">
      <c r="AE1614" s="3">
        <v>43410</v>
      </c>
      <c r="AF1614">
        <v>1039.8800000000001</v>
      </c>
    </row>
    <row r="1615" spans="31:32" x14ac:dyDescent="0.2">
      <c r="AE1615" s="3">
        <v>43409</v>
      </c>
      <c r="AF1615">
        <v>1033.79</v>
      </c>
    </row>
    <row r="1616" spans="31:32" x14ac:dyDescent="0.2">
      <c r="AE1616" s="3">
        <v>43406</v>
      </c>
      <c r="AF1616">
        <v>1046.6199999999999</v>
      </c>
    </row>
    <row r="1617" spans="31:32" x14ac:dyDescent="0.2">
      <c r="AE1617" s="3">
        <v>43405</v>
      </c>
      <c r="AF1617">
        <v>1039.3900000000001</v>
      </c>
    </row>
    <row r="1618" spans="31:32" x14ac:dyDescent="0.2">
      <c r="AE1618" s="3">
        <v>43404</v>
      </c>
      <c r="AF1618">
        <v>1024.81</v>
      </c>
    </row>
    <row r="1619" spans="31:32" x14ac:dyDescent="0.2">
      <c r="AE1619" s="3">
        <v>43403</v>
      </c>
      <c r="AF1619">
        <v>1010.82</v>
      </c>
    </row>
    <row r="1620" spans="31:32" x14ac:dyDescent="0.2">
      <c r="AE1620" s="3">
        <v>43402</v>
      </c>
      <c r="AF1620">
        <v>1015.86</v>
      </c>
    </row>
    <row r="1621" spans="31:32" x14ac:dyDescent="0.2">
      <c r="AE1621" s="3">
        <v>43399</v>
      </c>
      <c r="AF1621">
        <v>992.34</v>
      </c>
    </row>
    <row r="1622" spans="31:32" x14ac:dyDescent="0.2">
      <c r="AE1622" s="3">
        <v>43398</v>
      </c>
      <c r="AF1622">
        <v>997.96</v>
      </c>
    </row>
    <row r="1623" spans="31:32" x14ac:dyDescent="0.2">
      <c r="AE1623" s="3">
        <v>43397</v>
      </c>
      <c r="AF1623">
        <v>1011.29</v>
      </c>
    </row>
    <row r="1624" spans="31:32" x14ac:dyDescent="0.2">
      <c r="AE1624" s="3">
        <v>43396</v>
      </c>
      <c r="AF1624">
        <v>1010.2</v>
      </c>
    </row>
    <row r="1625" spans="31:32" x14ac:dyDescent="0.2">
      <c r="AE1625" s="3">
        <v>43395</v>
      </c>
      <c r="AF1625">
        <v>1041.3499999999999</v>
      </c>
    </row>
    <row r="1626" spans="31:32" x14ac:dyDescent="0.2">
      <c r="AE1626" s="3">
        <v>43392</v>
      </c>
      <c r="AF1626">
        <v>1045.67</v>
      </c>
    </row>
    <row r="1627" spans="31:32" x14ac:dyDescent="0.2">
      <c r="AE1627" s="3">
        <v>43391</v>
      </c>
      <c r="AF1627">
        <v>1055.3800000000001</v>
      </c>
    </row>
    <row r="1628" spans="31:32" x14ac:dyDescent="0.2">
      <c r="AE1628" s="3">
        <v>43390</v>
      </c>
      <c r="AF1628">
        <v>1046.07</v>
      </c>
    </row>
    <row r="1629" spans="31:32" x14ac:dyDescent="0.2">
      <c r="AE1629" s="3">
        <v>43389</v>
      </c>
      <c r="AF1629">
        <v>1047.3699999999999</v>
      </c>
    </row>
    <row r="1630" spans="31:32" x14ac:dyDescent="0.2">
      <c r="AE1630" s="3">
        <v>43388</v>
      </c>
      <c r="AF1630">
        <v>1023.2</v>
      </c>
    </row>
    <row r="1631" spans="31:32" x14ac:dyDescent="0.2">
      <c r="AE1631" s="3">
        <v>43385</v>
      </c>
      <c r="AF1631">
        <v>1026.5</v>
      </c>
    </row>
    <row r="1632" spans="31:32" x14ac:dyDescent="0.2">
      <c r="AE1632" s="3">
        <v>43384</v>
      </c>
      <c r="AF1632">
        <v>1013.49</v>
      </c>
    </row>
    <row r="1633" spans="31:32" x14ac:dyDescent="0.2">
      <c r="AE1633" s="3">
        <v>43383</v>
      </c>
      <c r="AF1633">
        <v>1018.87</v>
      </c>
    </row>
    <row r="1634" spans="31:32" x14ac:dyDescent="0.2">
      <c r="AE1634" s="3">
        <v>43382</v>
      </c>
      <c r="AF1634">
        <v>1042.3</v>
      </c>
    </row>
    <row r="1635" spans="31:32" x14ac:dyDescent="0.2">
      <c r="AE1635" s="3">
        <v>43381</v>
      </c>
      <c r="AF1635">
        <v>1045.42</v>
      </c>
    </row>
    <row r="1636" spans="31:32" x14ac:dyDescent="0.2">
      <c r="AE1636" s="3">
        <v>43378</v>
      </c>
      <c r="AF1636">
        <v>1068.83</v>
      </c>
    </row>
    <row r="1637" spans="31:32" x14ac:dyDescent="0.2">
      <c r="AE1637" s="3">
        <v>43377</v>
      </c>
      <c r="AF1637">
        <v>1075</v>
      </c>
    </row>
    <row r="1638" spans="31:32" x14ac:dyDescent="0.2">
      <c r="AE1638" s="3">
        <v>43376</v>
      </c>
      <c r="AF1638">
        <v>1116.68</v>
      </c>
    </row>
    <row r="1639" spans="31:32" x14ac:dyDescent="0.2">
      <c r="AE1639" s="3">
        <v>43375</v>
      </c>
      <c r="AF1639">
        <v>1120.31</v>
      </c>
    </row>
    <row r="1640" spans="31:32" x14ac:dyDescent="0.2">
      <c r="AE1640" s="3">
        <v>43374</v>
      </c>
      <c r="AF1640">
        <v>1121.98</v>
      </c>
    </row>
    <row r="1641" spans="31:32" x14ac:dyDescent="0.2">
      <c r="AE1641" s="3">
        <v>43371</v>
      </c>
      <c r="AF1641">
        <v>1120.06</v>
      </c>
    </row>
    <row r="1642" spans="31:32" x14ac:dyDescent="0.2">
      <c r="AE1642" s="3">
        <v>43370</v>
      </c>
      <c r="AF1642">
        <v>1120.78</v>
      </c>
    </row>
    <row r="1643" spans="31:32" x14ac:dyDescent="0.2">
      <c r="AE1643" s="3">
        <v>43369</v>
      </c>
      <c r="AF1643">
        <v>1126.31</v>
      </c>
    </row>
    <row r="1644" spans="31:32" x14ac:dyDescent="0.2">
      <c r="AE1644" s="3">
        <v>43368</v>
      </c>
      <c r="AF1644">
        <v>1127.79</v>
      </c>
    </row>
    <row r="1645" spans="31:32" x14ac:dyDescent="0.2">
      <c r="AE1645" s="3">
        <v>43367</v>
      </c>
      <c r="AF1645">
        <v>1117.94</v>
      </c>
    </row>
    <row r="1646" spans="31:32" x14ac:dyDescent="0.2">
      <c r="AE1646" s="3">
        <v>43364</v>
      </c>
      <c r="AF1646">
        <v>1127.2</v>
      </c>
    </row>
    <row r="1647" spans="31:32" x14ac:dyDescent="0.2">
      <c r="AE1647" s="3">
        <v>43363</v>
      </c>
      <c r="AF1647">
        <v>1124.3900000000001</v>
      </c>
    </row>
    <row r="1648" spans="31:32" x14ac:dyDescent="0.2">
      <c r="AE1648" s="3">
        <v>43362</v>
      </c>
      <c r="AF1648">
        <v>1115.26</v>
      </c>
    </row>
    <row r="1649" spans="31:32" x14ac:dyDescent="0.2">
      <c r="AE1649" s="3">
        <v>43361</v>
      </c>
      <c r="AF1649">
        <v>1120.4000000000001</v>
      </c>
    </row>
    <row r="1650" spans="31:32" x14ac:dyDescent="0.2">
      <c r="AE1650" s="3">
        <v>43360</v>
      </c>
      <c r="AF1650">
        <v>1115.76</v>
      </c>
    </row>
    <row r="1651" spans="31:32" x14ac:dyDescent="0.2">
      <c r="AE1651" s="3">
        <v>43357</v>
      </c>
      <c r="AF1651">
        <v>1123.77</v>
      </c>
    </row>
    <row r="1652" spans="31:32" x14ac:dyDescent="0.2">
      <c r="AE1652" s="3">
        <v>43356</v>
      </c>
      <c r="AF1652">
        <v>1129.24</v>
      </c>
    </row>
    <row r="1653" spans="31:32" x14ac:dyDescent="0.2">
      <c r="AE1653" s="3">
        <v>43355</v>
      </c>
      <c r="AF1653">
        <v>1132.21</v>
      </c>
    </row>
    <row r="1654" spans="31:32" x14ac:dyDescent="0.2">
      <c r="AE1654" s="3">
        <v>43354</v>
      </c>
      <c r="AF1654">
        <v>1127.78</v>
      </c>
    </row>
    <row r="1655" spans="31:32" x14ac:dyDescent="0.2">
      <c r="AE1655" s="3">
        <v>43353</v>
      </c>
      <c r="AF1655">
        <v>1135.44</v>
      </c>
    </row>
    <row r="1656" spans="31:32" x14ac:dyDescent="0.2">
      <c r="AE1656" s="3">
        <v>43350</v>
      </c>
      <c r="AF1656">
        <v>1136.74</v>
      </c>
    </row>
    <row r="1657" spans="31:32" x14ac:dyDescent="0.2">
      <c r="AE1657" s="3">
        <v>43349</v>
      </c>
      <c r="AF1657">
        <v>1138.25</v>
      </c>
    </row>
    <row r="1658" spans="31:32" x14ac:dyDescent="0.2">
      <c r="AE1658" s="3">
        <v>43348</v>
      </c>
      <c r="AF1658">
        <v>1136.81</v>
      </c>
    </row>
    <row r="1659" spans="31:32" x14ac:dyDescent="0.2">
      <c r="AE1659" s="3">
        <v>43347</v>
      </c>
      <c r="AF1659">
        <v>1154.52</v>
      </c>
    </row>
    <row r="1660" spans="31:32" x14ac:dyDescent="0.2">
      <c r="AE1660" s="3">
        <v>43346</v>
      </c>
      <c r="AF1660">
        <v>1167.67</v>
      </c>
    </row>
    <row r="1661" spans="31:32" x14ac:dyDescent="0.2">
      <c r="AE1661" s="3">
        <v>43343</v>
      </c>
      <c r="AF1661">
        <v>1171.54</v>
      </c>
    </row>
    <row r="1662" spans="31:32" x14ac:dyDescent="0.2">
      <c r="AE1662" s="3">
        <v>43342</v>
      </c>
      <c r="AF1662">
        <v>1178</v>
      </c>
    </row>
    <row r="1663" spans="31:32" x14ac:dyDescent="0.2">
      <c r="AE1663" s="3">
        <v>43341</v>
      </c>
      <c r="AF1663">
        <v>1176.1400000000001</v>
      </c>
    </row>
    <row r="1664" spans="31:32" x14ac:dyDescent="0.2">
      <c r="AE1664" s="3">
        <v>43340</v>
      </c>
      <c r="AF1664">
        <v>1176.6500000000001</v>
      </c>
    </row>
    <row r="1665" spans="31:32" x14ac:dyDescent="0.2">
      <c r="AE1665" s="3">
        <v>43339</v>
      </c>
      <c r="AF1665">
        <v>1174.73</v>
      </c>
    </row>
    <row r="1666" spans="31:32" x14ac:dyDescent="0.2">
      <c r="AE1666" s="3">
        <v>43336</v>
      </c>
      <c r="AF1666">
        <v>1163.49</v>
      </c>
    </row>
    <row r="1667" spans="31:32" x14ac:dyDescent="0.2">
      <c r="AE1667" s="3">
        <v>43335</v>
      </c>
      <c r="AF1667">
        <v>1156.52</v>
      </c>
    </row>
    <row r="1668" spans="31:32" x14ac:dyDescent="0.2">
      <c r="AE1668" s="3">
        <v>43334</v>
      </c>
      <c r="AF1668">
        <v>1159.1199999999999</v>
      </c>
    </row>
    <row r="1669" spans="31:32" x14ac:dyDescent="0.2">
      <c r="AE1669" s="3">
        <v>43333</v>
      </c>
      <c r="AF1669">
        <v>1152.54</v>
      </c>
    </row>
    <row r="1670" spans="31:32" x14ac:dyDescent="0.2">
      <c r="AE1670" s="3">
        <v>43332</v>
      </c>
      <c r="AF1670">
        <v>1148.26</v>
      </c>
    </row>
    <row r="1671" spans="31:32" x14ac:dyDescent="0.2">
      <c r="AE1671" s="3">
        <v>43329</v>
      </c>
      <c r="AF1671">
        <v>1140.04</v>
      </c>
    </row>
    <row r="1672" spans="31:32" x14ac:dyDescent="0.2">
      <c r="AE1672" s="3">
        <v>43328</v>
      </c>
      <c r="AF1672">
        <v>1140.3499999999999</v>
      </c>
    </row>
    <row r="1673" spans="31:32" x14ac:dyDescent="0.2">
      <c r="AE1673" s="3">
        <v>43327</v>
      </c>
      <c r="AF1673">
        <v>1129.17</v>
      </c>
    </row>
    <row r="1674" spans="31:32" x14ac:dyDescent="0.2">
      <c r="AE1674" s="3">
        <v>43326</v>
      </c>
      <c r="AF1674">
        <v>1142.9100000000001</v>
      </c>
    </row>
    <row r="1675" spans="31:32" x14ac:dyDescent="0.2">
      <c r="AE1675" s="3">
        <v>43325</v>
      </c>
      <c r="AF1675">
        <v>1142.17</v>
      </c>
    </row>
    <row r="1676" spans="31:32" x14ac:dyDescent="0.2">
      <c r="AE1676" s="3">
        <v>43322</v>
      </c>
      <c r="AF1676">
        <v>1134.73</v>
      </c>
    </row>
    <row r="1677" spans="31:32" x14ac:dyDescent="0.2">
      <c r="AE1677" s="3">
        <v>43321</v>
      </c>
      <c r="AF1677">
        <v>1140.3499999999999</v>
      </c>
    </row>
    <row r="1678" spans="31:32" x14ac:dyDescent="0.2">
      <c r="AE1678" s="3">
        <v>43320</v>
      </c>
      <c r="AF1678">
        <v>1131.3</v>
      </c>
    </row>
    <row r="1679" spans="31:32" x14ac:dyDescent="0.2">
      <c r="AE1679" s="3">
        <v>43319</v>
      </c>
      <c r="AF1679">
        <v>1148.52</v>
      </c>
    </row>
    <row r="1680" spans="31:32" x14ac:dyDescent="0.2">
      <c r="AE1680" s="3">
        <v>43318</v>
      </c>
      <c r="AF1680">
        <v>1153.67</v>
      </c>
    </row>
    <row r="1681" spans="31:32" x14ac:dyDescent="0.2">
      <c r="AE1681" s="3">
        <v>43315</v>
      </c>
      <c r="AF1681">
        <v>1159.19</v>
      </c>
    </row>
    <row r="1682" spans="31:32" x14ac:dyDescent="0.2">
      <c r="AE1682" s="3">
        <v>43314</v>
      </c>
      <c r="AF1682">
        <v>1157.22</v>
      </c>
    </row>
    <row r="1683" spans="31:32" x14ac:dyDescent="0.2">
      <c r="AE1683" s="3">
        <v>43313</v>
      </c>
      <c r="AF1683">
        <v>1160.48</v>
      </c>
    </row>
    <row r="1684" spans="31:32" x14ac:dyDescent="0.2">
      <c r="AE1684" s="3">
        <v>43312</v>
      </c>
      <c r="AF1684">
        <v>1157.03</v>
      </c>
    </row>
    <row r="1685" spans="31:32" x14ac:dyDescent="0.2">
      <c r="AE1685" s="3">
        <v>43311</v>
      </c>
      <c r="AF1685">
        <v>1164.57</v>
      </c>
    </row>
    <row r="1686" spans="31:32" x14ac:dyDescent="0.2">
      <c r="AE1686" s="3">
        <v>43308</v>
      </c>
      <c r="AF1686">
        <v>1169.4100000000001</v>
      </c>
    </row>
    <row r="1687" spans="31:32" x14ac:dyDescent="0.2">
      <c r="AE1687" s="3">
        <v>43307</v>
      </c>
      <c r="AF1687">
        <v>1170.3900000000001</v>
      </c>
    </row>
    <row r="1688" spans="31:32" x14ac:dyDescent="0.2">
      <c r="AE1688" s="3">
        <v>43306</v>
      </c>
      <c r="AF1688">
        <v>1156.42</v>
      </c>
    </row>
    <row r="1689" spans="31:32" x14ac:dyDescent="0.2">
      <c r="AE1689" s="3">
        <v>43305</v>
      </c>
      <c r="AF1689">
        <v>1153.23</v>
      </c>
    </row>
    <row r="1690" spans="31:32" x14ac:dyDescent="0.2">
      <c r="AE1690" s="3">
        <v>43304</v>
      </c>
      <c r="AF1690">
        <v>1143.6400000000001</v>
      </c>
    </row>
    <row r="1691" spans="31:32" x14ac:dyDescent="0.2">
      <c r="AE1691" s="3">
        <v>43301</v>
      </c>
      <c r="AF1691">
        <v>1146.51</v>
      </c>
    </row>
    <row r="1692" spans="31:32" x14ac:dyDescent="0.2">
      <c r="AE1692" s="3">
        <v>43300</v>
      </c>
      <c r="AF1692">
        <v>1136.79</v>
      </c>
    </row>
    <row r="1693" spans="31:32" x14ac:dyDescent="0.2">
      <c r="AE1693" s="3">
        <v>43299</v>
      </c>
      <c r="AF1693">
        <v>1132.3</v>
      </c>
    </row>
    <row r="1694" spans="31:32" x14ac:dyDescent="0.2">
      <c r="AE1694" s="3">
        <v>43298</v>
      </c>
      <c r="AF1694">
        <v>1138.71</v>
      </c>
    </row>
    <row r="1695" spans="31:32" x14ac:dyDescent="0.2">
      <c r="AE1695" s="3">
        <v>43297</v>
      </c>
      <c r="AF1695">
        <v>1127.52</v>
      </c>
    </row>
    <row r="1696" spans="31:32" x14ac:dyDescent="0.2">
      <c r="AE1696" s="3">
        <v>43294</v>
      </c>
      <c r="AF1696">
        <v>1129.8</v>
      </c>
    </row>
    <row r="1697" spans="31:32" x14ac:dyDescent="0.2">
      <c r="AE1697" s="3">
        <v>43293</v>
      </c>
      <c r="AF1697">
        <v>1128.5</v>
      </c>
    </row>
    <row r="1698" spans="31:32" x14ac:dyDescent="0.2">
      <c r="AE1698" s="3">
        <v>43292</v>
      </c>
      <c r="AF1698">
        <v>1114.76</v>
      </c>
    </row>
    <row r="1699" spans="31:32" x14ac:dyDescent="0.2">
      <c r="AE1699" s="3">
        <v>43291</v>
      </c>
      <c r="AF1699">
        <v>1120.8900000000001</v>
      </c>
    </row>
    <row r="1700" spans="31:32" x14ac:dyDescent="0.2">
      <c r="AE1700" s="3">
        <v>43290</v>
      </c>
      <c r="AF1700">
        <v>1109.31</v>
      </c>
    </row>
    <row r="1701" spans="31:32" x14ac:dyDescent="0.2">
      <c r="AE1701" s="3">
        <v>43287</v>
      </c>
      <c r="AF1701">
        <v>1100</v>
      </c>
    </row>
    <row r="1702" spans="31:32" x14ac:dyDescent="0.2">
      <c r="AE1702" s="3">
        <v>43286</v>
      </c>
      <c r="AF1702">
        <v>1094</v>
      </c>
    </row>
    <row r="1703" spans="31:32" x14ac:dyDescent="0.2">
      <c r="AE1703" s="3">
        <v>43285</v>
      </c>
      <c r="AF1703">
        <v>1099.6500000000001</v>
      </c>
    </row>
    <row r="1704" spans="31:32" x14ac:dyDescent="0.2">
      <c r="AE1704" s="3">
        <v>43284</v>
      </c>
      <c r="AF1704">
        <v>1098.98</v>
      </c>
    </row>
    <row r="1705" spans="31:32" x14ac:dyDescent="0.2">
      <c r="AE1705" s="3">
        <v>43283</v>
      </c>
      <c r="AF1705">
        <v>1089.92</v>
      </c>
    </row>
    <row r="1706" spans="31:32" x14ac:dyDescent="0.2">
      <c r="AE1706" s="3">
        <v>43280</v>
      </c>
      <c r="AF1706">
        <v>1097.24</v>
      </c>
    </row>
    <row r="1707" spans="31:32" x14ac:dyDescent="0.2">
      <c r="AE1707" s="3">
        <v>43279</v>
      </c>
      <c r="AF1707">
        <v>1087.24</v>
      </c>
    </row>
    <row r="1708" spans="31:32" x14ac:dyDescent="0.2">
      <c r="AE1708" s="3">
        <v>43278</v>
      </c>
      <c r="AF1708">
        <v>1101.32</v>
      </c>
    </row>
    <row r="1709" spans="31:32" x14ac:dyDescent="0.2">
      <c r="AE1709" s="3">
        <v>43277</v>
      </c>
      <c r="AF1709">
        <v>1098.6199999999999</v>
      </c>
    </row>
    <row r="1710" spans="31:32" x14ac:dyDescent="0.2">
      <c r="AE1710" s="3">
        <v>43276</v>
      </c>
      <c r="AF1710">
        <v>1114.69</v>
      </c>
    </row>
    <row r="1711" spans="31:32" x14ac:dyDescent="0.2">
      <c r="AE1711" s="3">
        <v>43273</v>
      </c>
      <c r="AF1711">
        <v>1124.3699999999999</v>
      </c>
    </row>
    <row r="1712" spans="31:32" x14ac:dyDescent="0.2">
      <c r="AE1712" s="3">
        <v>43272</v>
      </c>
      <c r="AF1712">
        <v>1119.1400000000001</v>
      </c>
    </row>
    <row r="1713" spans="31:32" x14ac:dyDescent="0.2">
      <c r="AE1713" s="3">
        <v>43271</v>
      </c>
      <c r="AF1713">
        <v>1121.8399999999999</v>
      </c>
    </row>
    <row r="1714" spans="31:32" x14ac:dyDescent="0.2">
      <c r="AE1714" s="3">
        <v>43270</v>
      </c>
      <c r="AF1714">
        <v>1111.1300000000001</v>
      </c>
    </row>
    <row r="1715" spans="31:32" x14ac:dyDescent="0.2">
      <c r="AE1715" s="3">
        <v>43269</v>
      </c>
      <c r="AF1715">
        <v>1120.17</v>
      </c>
    </row>
    <row r="1716" spans="31:32" x14ac:dyDescent="0.2">
      <c r="AE1716" s="3">
        <v>43266</v>
      </c>
      <c r="AF1716">
        <v>1134.6500000000001</v>
      </c>
    </row>
    <row r="1717" spans="31:32" x14ac:dyDescent="0.2">
      <c r="AE1717" s="3">
        <v>43265</v>
      </c>
      <c r="AF1717">
        <v>1134.1600000000001</v>
      </c>
    </row>
    <row r="1718" spans="31:32" x14ac:dyDescent="0.2">
      <c r="AE1718" s="3">
        <v>43264</v>
      </c>
      <c r="AF1718">
        <v>1125.23</v>
      </c>
    </row>
    <row r="1719" spans="31:32" x14ac:dyDescent="0.2">
      <c r="AE1719" s="3">
        <v>43263</v>
      </c>
      <c r="AF1719">
        <v>1121.23</v>
      </c>
    </row>
    <row r="1720" spans="31:32" x14ac:dyDescent="0.2">
      <c r="AE1720" s="3">
        <v>43262</v>
      </c>
      <c r="AF1720">
        <v>1119.42</v>
      </c>
    </row>
    <row r="1721" spans="31:32" x14ac:dyDescent="0.2">
      <c r="AE1721" s="3">
        <v>43259</v>
      </c>
      <c r="AF1721">
        <v>1112.1199999999999</v>
      </c>
    </row>
    <row r="1722" spans="31:32" x14ac:dyDescent="0.2">
      <c r="AE1722" s="3">
        <v>43258</v>
      </c>
      <c r="AF1722">
        <v>1118.0999999999999</v>
      </c>
    </row>
    <row r="1723" spans="31:32" x14ac:dyDescent="0.2">
      <c r="AE1723" s="3">
        <v>43257</v>
      </c>
      <c r="AF1723">
        <v>1125.04</v>
      </c>
    </row>
    <row r="1724" spans="31:32" x14ac:dyDescent="0.2">
      <c r="AE1724" s="3">
        <v>43255</v>
      </c>
      <c r="AF1724">
        <v>1132.8800000000001</v>
      </c>
    </row>
    <row r="1725" spans="31:32" x14ac:dyDescent="0.2">
      <c r="AE1725" s="3">
        <v>43252</v>
      </c>
      <c r="AF1725">
        <v>1129.99</v>
      </c>
    </row>
    <row r="1726" spans="31:32" x14ac:dyDescent="0.2">
      <c r="AE1726" s="3">
        <v>43251</v>
      </c>
      <c r="AF1726">
        <v>1113.5899999999999</v>
      </c>
    </row>
    <row r="1727" spans="31:32" x14ac:dyDescent="0.2">
      <c r="AE1727" s="3">
        <v>43250</v>
      </c>
      <c r="AF1727">
        <v>1109.3</v>
      </c>
    </row>
    <row r="1728" spans="31:32" x14ac:dyDescent="0.2">
      <c r="AE1728" s="3">
        <v>43249</v>
      </c>
      <c r="AF1728">
        <v>1107.0899999999999</v>
      </c>
    </row>
    <row r="1729" spans="31:32" x14ac:dyDescent="0.2">
      <c r="AE1729" s="3">
        <v>43248</v>
      </c>
      <c r="AF1729">
        <v>1119.17</v>
      </c>
    </row>
    <row r="1730" spans="31:32" x14ac:dyDescent="0.2">
      <c r="AE1730" s="3">
        <v>43245</v>
      </c>
      <c r="AF1730">
        <v>1134.28</v>
      </c>
    </row>
    <row r="1731" spans="31:32" x14ac:dyDescent="0.2">
      <c r="AE1731" s="3">
        <v>43244</v>
      </c>
      <c r="AF1731">
        <v>1129.69</v>
      </c>
    </row>
    <row r="1732" spans="31:32" x14ac:dyDescent="0.2">
      <c r="AE1732" s="3">
        <v>43243</v>
      </c>
      <c r="AF1732">
        <v>1142.6500000000001</v>
      </c>
    </row>
    <row r="1733" spans="31:32" x14ac:dyDescent="0.2">
      <c r="AE1733" s="3">
        <v>43242</v>
      </c>
      <c r="AF1733">
        <v>1143.98</v>
      </c>
    </row>
    <row r="1734" spans="31:32" x14ac:dyDescent="0.2">
      <c r="AE1734" s="3">
        <v>43238</v>
      </c>
      <c r="AF1734">
        <v>1139.54</v>
      </c>
    </row>
    <row r="1735" spans="31:32" x14ac:dyDescent="0.2">
      <c r="AE1735" s="3">
        <v>43237</v>
      </c>
      <c r="AF1735">
        <v>1143.02</v>
      </c>
    </row>
    <row r="1736" spans="31:32" x14ac:dyDescent="0.2">
      <c r="AE1736" s="3">
        <v>43236</v>
      </c>
      <c r="AF1736">
        <v>1143.74</v>
      </c>
    </row>
    <row r="1737" spans="31:32" x14ac:dyDescent="0.2">
      <c r="AE1737" s="3">
        <v>43235</v>
      </c>
      <c r="AF1737">
        <v>1144.21</v>
      </c>
    </row>
    <row r="1738" spans="31:32" x14ac:dyDescent="0.2">
      <c r="AE1738" s="3">
        <v>43234</v>
      </c>
      <c r="AF1738">
        <v>1161.74</v>
      </c>
    </row>
    <row r="1739" spans="31:32" x14ac:dyDescent="0.2">
      <c r="AE1739" s="3">
        <v>43229</v>
      </c>
      <c r="AF1739">
        <v>1157.24</v>
      </c>
    </row>
    <row r="1740" spans="31:32" x14ac:dyDescent="0.2">
      <c r="AE1740" s="3">
        <v>43228</v>
      </c>
      <c r="AF1740">
        <v>1157.49</v>
      </c>
    </row>
    <row r="1741" spans="31:32" x14ac:dyDescent="0.2">
      <c r="AE1741" s="3">
        <v>43227</v>
      </c>
      <c r="AF1741">
        <v>1147.82</v>
      </c>
    </row>
    <row r="1742" spans="31:32" x14ac:dyDescent="0.2">
      <c r="AE1742" s="3">
        <v>43224</v>
      </c>
      <c r="AF1742">
        <v>1130.77</v>
      </c>
    </row>
    <row r="1743" spans="31:32" x14ac:dyDescent="0.2">
      <c r="AE1743" s="3">
        <v>43223</v>
      </c>
      <c r="AF1743">
        <v>1132.43</v>
      </c>
    </row>
    <row r="1744" spans="31:32" x14ac:dyDescent="0.2">
      <c r="AE1744" s="3">
        <v>43222</v>
      </c>
      <c r="AF1744">
        <v>1133.8399999999999</v>
      </c>
    </row>
    <row r="1745" spans="31:32" x14ac:dyDescent="0.2">
      <c r="AE1745" s="3">
        <v>43221</v>
      </c>
      <c r="AF1745">
        <v>1116.76</v>
      </c>
    </row>
    <row r="1746" spans="31:32" x14ac:dyDescent="0.2">
      <c r="AE1746" s="3">
        <v>43220</v>
      </c>
      <c r="AF1746">
        <v>1113.02</v>
      </c>
    </row>
    <row r="1747" spans="31:32" x14ac:dyDescent="0.2">
      <c r="AE1747" s="3">
        <v>43216</v>
      </c>
      <c r="AF1747">
        <v>1114.3800000000001</v>
      </c>
    </row>
    <row r="1748" spans="31:32" x14ac:dyDescent="0.2">
      <c r="AE1748" s="3">
        <v>43215</v>
      </c>
      <c r="AF1748">
        <v>1101.8</v>
      </c>
    </row>
    <row r="1749" spans="31:32" x14ac:dyDescent="0.2">
      <c r="AE1749" s="3">
        <v>43214</v>
      </c>
      <c r="AF1749">
        <v>1114.5999999999999</v>
      </c>
    </row>
    <row r="1750" spans="31:32" x14ac:dyDescent="0.2">
      <c r="AE1750" s="3">
        <v>43213</v>
      </c>
      <c r="AF1750">
        <v>1114.8699999999999</v>
      </c>
    </row>
    <row r="1751" spans="31:32" x14ac:dyDescent="0.2">
      <c r="AE1751" s="3">
        <v>43210</v>
      </c>
      <c r="AF1751">
        <v>1110.6199999999999</v>
      </c>
    </row>
    <row r="1752" spans="31:32" x14ac:dyDescent="0.2">
      <c r="AE1752" s="3">
        <v>43209</v>
      </c>
      <c r="AF1752">
        <v>1111.93</v>
      </c>
    </row>
    <row r="1753" spans="31:32" x14ac:dyDescent="0.2">
      <c r="AE1753" s="3">
        <v>43208</v>
      </c>
      <c r="AF1753">
        <v>1115.02</v>
      </c>
    </row>
    <row r="1754" spans="31:32" x14ac:dyDescent="0.2">
      <c r="AE1754" s="3">
        <v>43207</v>
      </c>
      <c r="AF1754">
        <v>1111.77</v>
      </c>
    </row>
    <row r="1755" spans="31:32" x14ac:dyDescent="0.2">
      <c r="AE1755" s="3">
        <v>43206</v>
      </c>
      <c r="AF1755">
        <v>1099.79</v>
      </c>
    </row>
    <row r="1756" spans="31:32" x14ac:dyDescent="0.2">
      <c r="AE1756" s="3">
        <v>43203</v>
      </c>
      <c r="AF1756">
        <v>1102.95</v>
      </c>
    </row>
    <row r="1757" spans="31:32" x14ac:dyDescent="0.2">
      <c r="AE1757" s="3">
        <v>43202</v>
      </c>
      <c r="AF1757">
        <v>1105.1600000000001</v>
      </c>
    </row>
    <row r="1758" spans="31:32" x14ac:dyDescent="0.2">
      <c r="AE1758" s="3">
        <v>43201</v>
      </c>
      <c r="AF1758">
        <v>1102.8800000000001</v>
      </c>
    </row>
    <row r="1759" spans="31:32" x14ac:dyDescent="0.2">
      <c r="AE1759" s="3">
        <v>43200</v>
      </c>
      <c r="AF1759">
        <v>1116.6400000000001</v>
      </c>
    </row>
    <row r="1760" spans="31:32" x14ac:dyDescent="0.2">
      <c r="AE1760" s="3">
        <v>43199</v>
      </c>
      <c r="AF1760">
        <v>1112.75</v>
      </c>
    </row>
    <row r="1761" spans="31:32" x14ac:dyDescent="0.2">
      <c r="AE1761" s="3">
        <v>43196</v>
      </c>
      <c r="AF1761">
        <v>1109.58</v>
      </c>
    </row>
    <row r="1762" spans="31:32" x14ac:dyDescent="0.2">
      <c r="AE1762" s="3">
        <v>43195</v>
      </c>
      <c r="AF1762">
        <v>1110.04</v>
      </c>
    </row>
    <row r="1763" spans="31:32" x14ac:dyDescent="0.2">
      <c r="AE1763" s="3">
        <v>43194</v>
      </c>
      <c r="AF1763">
        <v>1092.03</v>
      </c>
    </row>
    <row r="1764" spans="31:32" x14ac:dyDescent="0.2">
      <c r="AE1764" s="3">
        <v>43193</v>
      </c>
      <c r="AF1764">
        <v>1110.44</v>
      </c>
    </row>
    <row r="1765" spans="31:32" x14ac:dyDescent="0.2">
      <c r="AE1765" s="3">
        <v>43187</v>
      </c>
      <c r="AF1765">
        <v>1114.82</v>
      </c>
    </row>
    <row r="1766" spans="31:32" x14ac:dyDescent="0.2">
      <c r="AE1766" s="3">
        <v>43186</v>
      </c>
      <c r="AF1766">
        <v>1108.2</v>
      </c>
    </row>
    <row r="1767" spans="31:32" x14ac:dyDescent="0.2">
      <c r="AE1767" s="3">
        <v>43185</v>
      </c>
      <c r="AF1767">
        <v>1104.96</v>
      </c>
    </row>
    <row r="1768" spans="31:32" x14ac:dyDescent="0.2">
      <c r="AE1768" s="3">
        <v>43182</v>
      </c>
      <c r="AF1768">
        <v>1109.99</v>
      </c>
    </row>
    <row r="1769" spans="31:32" x14ac:dyDescent="0.2">
      <c r="AE1769" s="3">
        <v>43181</v>
      </c>
      <c r="AF1769">
        <v>1109.26</v>
      </c>
    </row>
    <row r="1770" spans="31:32" x14ac:dyDescent="0.2">
      <c r="AE1770" s="3">
        <v>43180</v>
      </c>
      <c r="AF1770">
        <v>1124.51</v>
      </c>
    </row>
    <row r="1771" spans="31:32" x14ac:dyDescent="0.2">
      <c r="AE1771" s="3">
        <v>43179</v>
      </c>
      <c r="AF1771">
        <v>1124.5</v>
      </c>
    </row>
    <row r="1772" spans="31:32" x14ac:dyDescent="0.2">
      <c r="AE1772" s="3">
        <v>43178</v>
      </c>
      <c r="AF1772">
        <v>1123.77</v>
      </c>
    </row>
    <row r="1773" spans="31:32" x14ac:dyDescent="0.2">
      <c r="AE1773" s="3">
        <v>43175</v>
      </c>
      <c r="AF1773">
        <v>1129.0999999999999</v>
      </c>
    </row>
    <row r="1774" spans="31:32" x14ac:dyDescent="0.2">
      <c r="AE1774" s="3">
        <v>43174</v>
      </c>
      <c r="AF1774">
        <v>1133.3399999999999</v>
      </c>
    </row>
    <row r="1775" spans="31:32" x14ac:dyDescent="0.2">
      <c r="AE1775" s="3">
        <v>43173</v>
      </c>
      <c r="AF1775">
        <v>1128.92</v>
      </c>
    </row>
    <row r="1776" spans="31:32" x14ac:dyDescent="0.2">
      <c r="AE1776" s="3">
        <v>43172</v>
      </c>
      <c r="AF1776">
        <v>1133.2</v>
      </c>
    </row>
    <row r="1777" spans="31:32" x14ac:dyDescent="0.2">
      <c r="AE1777" s="3">
        <v>43171</v>
      </c>
      <c r="AF1777">
        <v>1140.8</v>
      </c>
    </row>
    <row r="1778" spans="31:32" x14ac:dyDescent="0.2">
      <c r="AE1778" s="3">
        <v>43168</v>
      </c>
      <c r="AF1778">
        <v>1138.93</v>
      </c>
    </row>
    <row r="1779" spans="31:32" x14ac:dyDescent="0.2">
      <c r="AE1779" s="3">
        <v>43167</v>
      </c>
      <c r="AF1779">
        <v>1139.57</v>
      </c>
    </row>
    <row r="1780" spans="31:32" x14ac:dyDescent="0.2">
      <c r="AE1780" s="3">
        <v>43166</v>
      </c>
      <c r="AF1780">
        <v>1128.32</v>
      </c>
    </row>
    <row r="1781" spans="31:32" x14ac:dyDescent="0.2">
      <c r="AE1781" s="3">
        <v>43165</v>
      </c>
      <c r="AF1781">
        <v>1124.02</v>
      </c>
    </row>
    <row r="1782" spans="31:32" x14ac:dyDescent="0.2">
      <c r="AE1782" s="3">
        <v>43164</v>
      </c>
      <c r="AF1782">
        <v>1121.57</v>
      </c>
    </row>
    <row r="1783" spans="31:32" x14ac:dyDescent="0.2">
      <c r="AE1783" s="3">
        <v>43161</v>
      </c>
      <c r="AF1783">
        <v>1117.06</v>
      </c>
    </row>
    <row r="1784" spans="31:32" x14ac:dyDescent="0.2">
      <c r="AE1784" s="3">
        <v>43160</v>
      </c>
      <c r="AF1784">
        <v>1135.01</v>
      </c>
    </row>
    <row r="1785" spans="31:32" x14ac:dyDescent="0.2">
      <c r="AE1785" s="3">
        <v>43159</v>
      </c>
      <c r="AF1785">
        <v>1147.8900000000001</v>
      </c>
    </row>
    <row r="1786" spans="31:32" x14ac:dyDescent="0.2">
      <c r="AE1786" s="3">
        <v>43158</v>
      </c>
      <c r="AF1786">
        <v>1149.1300000000001</v>
      </c>
    </row>
    <row r="1787" spans="31:32" x14ac:dyDescent="0.2">
      <c r="AE1787" s="3">
        <v>43157</v>
      </c>
      <c r="AF1787">
        <v>1161.94</v>
      </c>
    </row>
    <row r="1788" spans="31:32" x14ac:dyDescent="0.2">
      <c r="AE1788" s="3">
        <v>43154</v>
      </c>
      <c r="AF1788">
        <v>1152.76</v>
      </c>
    </row>
    <row r="1789" spans="31:32" x14ac:dyDescent="0.2">
      <c r="AE1789" s="3">
        <v>43153</v>
      </c>
      <c r="AF1789">
        <v>1143.8399999999999</v>
      </c>
    </row>
    <row r="1790" spans="31:32" x14ac:dyDescent="0.2">
      <c r="AE1790" s="3">
        <v>43152</v>
      </c>
      <c r="AF1790">
        <v>1131.6500000000001</v>
      </c>
    </row>
    <row r="1791" spans="31:32" x14ac:dyDescent="0.2">
      <c r="AE1791" s="3">
        <v>43151</v>
      </c>
      <c r="AF1791">
        <v>1132.07</v>
      </c>
    </row>
    <row r="1792" spans="31:32" x14ac:dyDescent="0.2">
      <c r="AE1792" s="3">
        <v>43150</v>
      </c>
      <c r="AF1792">
        <v>1131.1400000000001</v>
      </c>
    </row>
    <row r="1793" spans="31:32" x14ac:dyDescent="0.2">
      <c r="AE1793" s="3">
        <v>43147</v>
      </c>
      <c r="AF1793">
        <v>1142.49</v>
      </c>
    </row>
    <row r="1794" spans="31:32" x14ac:dyDescent="0.2">
      <c r="AE1794" s="3">
        <v>43146</v>
      </c>
      <c r="AF1794">
        <v>1121.96</v>
      </c>
    </row>
    <row r="1795" spans="31:32" x14ac:dyDescent="0.2">
      <c r="AE1795" s="3">
        <v>43145</v>
      </c>
      <c r="AF1795">
        <v>1115.55</v>
      </c>
    </row>
    <row r="1796" spans="31:32" x14ac:dyDescent="0.2">
      <c r="AE1796" s="3">
        <v>43144</v>
      </c>
      <c r="AF1796">
        <v>1103.46</v>
      </c>
    </row>
    <row r="1797" spans="31:32" x14ac:dyDescent="0.2">
      <c r="AE1797" s="3">
        <v>43143</v>
      </c>
      <c r="AF1797">
        <v>1111.8599999999999</v>
      </c>
    </row>
    <row r="1798" spans="31:32" x14ac:dyDescent="0.2">
      <c r="AE1798" s="3">
        <v>43140</v>
      </c>
      <c r="AF1798">
        <v>1088.77</v>
      </c>
    </row>
    <row r="1799" spans="31:32" x14ac:dyDescent="0.2">
      <c r="AE1799" s="3">
        <v>43139</v>
      </c>
      <c r="AF1799">
        <v>1090.78</v>
      </c>
    </row>
    <row r="1800" spans="31:32" x14ac:dyDescent="0.2">
      <c r="AE1800" s="3">
        <v>43138</v>
      </c>
      <c r="AF1800">
        <v>1098.24</v>
      </c>
    </row>
    <row r="1801" spans="31:32" x14ac:dyDescent="0.2">
      <c r="AE1801" s="3">
        <v>43137</v>
      </c>
      <c r="AF1801">
        <v>1083.06</v>
      </c>
    </row>
    <row r="1802" spans="31:32" x14ac:dyDescent="0.2">
      <c r="AE1802" s="3">
        <v>43136</v>
      </c>
      <c r="AF1802">
        <v>1096.67</v>
      </c>
    </row>
    <row r="1803" spans="31:32" x14ac:dyDescent="0.2">
      <c r="AE1803" s="3">
        <v>43133</v>
      </c>
      <c r="AF1803">
        <v>1099.26</v>
      </c>
    </row>
    <row r="1804" spans="31:32" x14ac:dyDescent="0.2">
      <c r="AE1804" s="3">
        <v>43132</v>
      </c>
      <c r="AF1804">
        <v>1117.79</v>
      </c>
    </row>
    <row r="1805" spans="31:32" x14ac:dyDescent="0.2">
      <c r="AE1805" s="3">
        <v>43131</v>
      </c>
      <c r="AF1805">
        <v>1136.52</v>
      </c>
    </row>
    <row r="1806" spans="31:32" x14ac:dyDescent="0.2">
      <c r="AE1806" s="3">
        <v>43130</v>
      </c>
      <c r="AF1806">
        <v>1140.74</v>
      </c>
    </row>
    <row r="1807" spans="31:32" x14ac:dyDescent="0.2">
      <c r="AE1807" s="3">
        <v>43129</v>
      </c>
      <c r="AF1807">
        <v>1149.8499999999999</v>
      </c>
    </row>
    <row r="1808" spans="31:32" x14ac:dyDescent="0.2">
      <c r="AE1808" s="3">
        <v>43126</v>
      </c>
      <c r="AF1808">
        <v>1151.75</v>
      </c>
    </row>
    <row r="1809" spans="31:32" x14ac:dyDescent="0.2">
      <c r="AE1809" s="3">
        <v>43125</v>
      </c>
      <c r="AF1809">
        <v>1142.07</v>
      </c>
    </row>
    <row r="1810" spans="31:32" x14ac:dyDescent="0.2">
      <c r="AE1810" s="3">
        <v>43124</v>
      </c>
      <c r="AF1810">
        <v>1160.31</v>
      </c>
    </row>
    <row r="1811" spans="31:32" x14ac:dyDescent="0.2">
      <c r="AE1811" s="3">
        <v>43123</v>
      </c>
      <c r="AF1811">
        <v>1165.55</v>
      </c>
    </row>
    <row r="1812" spans="31:32" x14ac:dyDescent="0.2">
      <c r="AE1812" s="3">
        <v>43122</v>
      </c>
      <c r="AF1812">
        <v>1164.75</v>
      </c>
    </row>
    <row r="1813" spans="31:32" x14ac:dyDescent="0.2">
      <c r="AE1813" s="3">
        <v>43119</v>
      </c>
      <c r="AF1813">
        <v>1162.3800000000001</v>
      </c>
    </row>
    <row r="1814" spans="31:32" x14ac:dyDescent="0.2">
      <c r="AE1814" s="3">
        <v>43118</v>
      </c>
      <c r="AF1814">
        <v>1154.19</v>
      </c>
    </row>
    <row r="1815" spans="31:32" x14ac:dyDescent="0.2">
      <c r="AE1815" s="3">
        <v>43117</v>
      </c>
      <c r="AF1815">
        <v>1156.99</v>
      </c>
    </row>
    <row r="1816" spans="31:32" x14ac:dyDescent="0.2">
      <c r="AE1816" s="3">
        <v>43116</v>
      </c>
      <c r="AF1816">
        <v>1153.1099999999999</v>
      </c>
    </row>
    <row r="1817" spans="31:32" x14ac:dyDescent="0.2">
      <c r="AE1817" s="3">
        <v>43115</v>
      </c>
      <c r="AF1817">
        <v>1150.55</v>
      </c>
    </row>
    <row r="1818" spans="31:32" x14ac:dyDescent="0.2">
      <c r="AE1818" s="3">
        <v>43112</v>
      </c>
      <c r="AF1818">
        <v>1151.26</v>
      </c>
    </row>
    <row r="1819" spans="31:32" x14ac:dyDescent="0.2">
      <c r="AE1819" s="3">
        <v>43111</v>
      </c>
      <c r="AF1819">
        <v>1159.0999999999999</v>
      </c>
    </row>
    <row r="1820" spans="31:32" x14ac:dyDescent="0.2">
      <c r="AE1820" s="3">
        <v>43110</v>
      </c>
      <c r="AF1820">
        <v>1169.8800000000001</v>
      </c>
    </row>
    <row r="1821" spans="31:32" x14ac:dyDescent="0.2">
      <c r="AE1821" s="3">
        <v>43109</v>
      </c>
      <c r="AF1821">
        <v>1175.94</v>
      </c>
    </row>
    <row r="1822" spans="31:32" x14ac:dyDescent="0.2">
      <c r="AE1822" s="3">
        <v>43108</v>
      </c>
      <c r="AF1822">
        <v>1174.29</v>
      </c>
    </row>
    <row r="1823" spans="31:32" x14ac:dyDescent="0.2">
      <c r="AE1823" s="3">
        <v>43105</v>
      </c>
      <c r="AF1823">
        <v>1164.2</v>
      </c>
    </row>
    <row r="1824" spans="31:32" x14ac:dyDescent="0.2">
      <c r="AE1824" s="3">
        <v>43104</v>
      </c>
      <c r="AF1824">
        <v>1155.3399999999999</v>
      </c>
    </row>
    <row r="1825" spans="31:32" x14ac:dyDescent="0.2">
      <c r="AE1825" s="3">
        <v>43103</v>
      </c>
      <c r="AF1825">
        <v>1152.57</v>
      </c>
    </row>
    <row r="1826" spans="31:32" x14ac:dyDescent="0.2">
      <c r="AE1826" s="3">
        <v>43102</v>
      </c>
      <c r="AF1826">
        <v>1149.07</v>
      </c>
    </row>
    <row r="1827" spans="31:32" x14ac:dyDescent="0.2">
      <c r="AE1827" s="3">
        <v>43098</v>
      </c>
      <c r="AF1827">
        <v>1145.6400000000001</v>
      </c>
    </row>
    <row r="1828" spans="31:32" x14ac:dyDescent="0.2">
      <c r="AE1828" s="3">
        <v>43097</v>
      </c>
      <c r="AF1828">
        <v>1145.95</v>
      </c>
    </row>
    <row r="1829" spans="31:32" x14ac:dyDescent="0.2">
      <c r="AE1829" s="3">
        <v>43096</v>
      </c>
      <c r="AF1829">
        <v>1149.76</v>
      </c>
    </row>
    <row r="1830" spans="31:32" x14ac:dyDescent="0.2">
      <c r="AE1830" s="3">
        <v>43091</v>
      </c>
      <c r="AF1830">
        <v>1146.33</v>
      </c>
    </row>
    <row r="1831" spans="31:32" x14ac:dyDescent="0.2">
      <c r="AE1831" s="3">
        <v>43090</v>
      </c>
      <c r="AF1831">
        <v>1142.03</v>
      </c>
    </row>
    <row r="1832" spans="31:32" x14ac:dyDescent="0.2">
      <c r="AE1832" s="3">
        <v>43089</v>
      </c>
      <c r="AF1832">
        <v>1135.9100000000001</v>
      </c>
    </row>
    <row r="1833" spans="31:32" x14ac:dyDescent="0.2">
      <c r="AE1833" s="3">
        <v>43088</v>
      </c>
      <c r="AF1833">
        <v>1138.78</v>
      </c>
    </row>
    <row r="1834" spans="31:32" x14ac:dyDescent="0.2">
      <c r="AE1834" s="3">
        <v>43087</v>
      </c>
      <c r="AF1834">
        <v>1139.47</v>
      </c>
    </row>
    <row r="1835" spans="31:32" x14ac:dyDescent="0.2">
      <c r="AE1835" s="3">
        <v>43084</v>
      </c>
      <c r="AF1835">
        <v>1122.52</v>
      </c>
    </row>
    <row r="1836" spans="31:32" x14ac:dyDescent="0.2">
      <c r="AE1836" s="3">
        <v>43083</v>
      </c>
      <c r="AF1836">
        <v>1132.81</v>
      </c>
    </row>
    <row r="1837" spans="31:32" x14ac:dyDescent="0.2">
      <c r="AE1837" s="3">
        <v>43082</v>
      </c>
      <c r="AF1837">
        <v>1128.8800000000001</v>
      </c>
    </row>
    <row r="1838" spans="31:32" x14ac:dyDescent="0.2">
      <c r="AE1838" s="3">
        <v>43081</v>
      </c>
      <c r="AF1838">
        <v>1132.96</v>
      </c>
    </row>
    <row r="1839" spans="31:32" x14ac:dyDescent="0.2">
      <c r="AE1839" s="3">
        <v>43080</v>
      </c>
      <c r="AF1839">
        <v>1131.08</v>
      </c>
    </row>
    <row r="1840" spans="31:32" x14ac:dyDescent="0.2">
      <c r="AE1840" s="3">
        <v>43077</v>
      </c>
      <c r="AF1840">
        <v>1128.45</v>
      </c>
    </row>
    <row r="1841" spans="31:32" x14ac:dyDescent="0.2">
      <c r="AE1841" s="3">
        <v>43076</v>
      </c>
      <c r="AF1841">
        <v>1117.19</v>
      </c>
    </row>
    <row r="1842" spans="31:32" x14ac:dyDescent="0.2">
      <c r="AE1842" s="3">
        <v>43075</v>
      </c>
      <c r="AF1842">
        <v>1112.06</v>
      </c>
    </row>
    <row r="1843" spans="31:32" x14ac:dyDescent="0.2">
      <c r="AE1843" s="3">
        <v>43074</v>
      </c>
      <c r="AF1843">
        <v>1107.44</v>
      </c>
    </row>
    <row r="1844" spans="31:32" x14ac:dyDescent="0.2">
      <c r="AE1844" s="3">
        <v>43073</v>
      </c>
      <c r="AF1844">
        <v>1120.0899999999999</v>
      </c>
    </row>
    <row r="1845" spans="31:32" x14ac:dyDescent="0.2">
      <c r="AE1845" s="3">
        <v>43070</v>
      </c>
      <c r="AF1845">
        <v>1124.77</v>
      </c>
    </row>
    <row r="1846" spans="31:32" x14ac:dyDescent="0.2">
      <c r="AE1846" s="3">
        <v>43069</v>
      </c>
      <c r="AF1846">
        <v>1129.5899999999999</v>
      </c>
    </row>
    <row r="1847" spans="31:32" x14ac:dyDescent="0.2">
      <c r="AE1847" s="3">
        <v>43068</v>
      </c>
      <c r="AF1847">
        <v>1121.3599999999999</v>
      </c>
    </row>
    <row r="1848" spans="31:32" x14ac:dyDescent="0.2">
      <c r="AE1848" s="3">
        <v>43067</v>
      </c>
      <c r="AF1848">
        <v>1121.1300000000001</v>
      </c>
    </row>
    <row r="1849" spans="31:32" x14ac:dyDescent="0.2">
      <c r="AE1849" s="3">
        <v>43066</v>
      </c>
      <c r="AF1849">
        <v>1105.94</v>
      </c>
    </row>
    <row r="1850" spans="31:32" x14ac:dyDescent="0.2">
      <c r="AE1850" s="3">
        <v>43063</v>
      </c>
      <c r="AF1850">
        <v>1113.76</v>
      </c>
    </row>
    <row r="1851" spans="31:32" x14ac:dyDescent="0.2">
      <c r="AE1851" s="3">
        <v>43062</v>
      </c>
      <c r="AF1851">
        <v>1118.56</v>
      </c>
    </row>
    <row r="1852" spans="31:32" x14ac:dyDescent="0.2">
      <c r="AE1852" s="3">
        <v>43061</v>
      </c>
      <c r="AF1852">
        <v>1124.56</v>
      </c>
    </row>
    <row r="1853" spans="31:32" x14ac:dyDescent="0.2">
      <c r="AE1853" s="3">
        <v>43060</v>
      </c>
      <c r="AF1853">
        <v>1124.8900000000001</v>
      </c>
    </row>
    <row r="1854" spans="31:32" x14ac:dyDescent="0.2">
      <c r="AE1854" s="3">
        <v>43059</v>
      </c>
      <c r="AF1854">
        <v>1127.8800000000001</v>
      </c>
    </row>
    <row r="1855" spans="31:32" x14ac:dyDescent="0.2">
      <c r="AE1855" s="3">
        <v>43056</v>
      </c>
      <c r="AF1855">
        <v>1127.6099999999999</v>
      </c>
    </row>
    <row r="1856" spans="31:32" x14ac:dyDescent="0.2">
      <c r="AE1856" s="3">
        <v>43055</v>
      </c>
      <c r="AF1856">
        <v>1130.95</v>
      </c>
    </row>
    <row r="1857" spans="31:32" x14ac:dyDescent="0.2">
      <c r="AE1857" s="3">
        <v>43054</v>
      </c>
      <c r="AF1857">
        <v>1116.72</v>
      </c>
    </row>
    <row r="1858" spans="31:32" x14ac:dyDescent="0.2">
      <c r="AE1858" s="3">
        <v>43053</v>
      </c>
      <c r="AF1858">
        <v>1116.02</v>
      </c>
    </row>
    <row r="1859" spans="31:32" x14ac:dyDescent="0.2">
      <c r="AE1859" s="3">
        <v>43052</v>
      </c>
      <c r="AF1859">
        <v>1123.19</v>
      </c>
    </row>
    <row r="1860" spans="31:32" x14ac:dyDescent="0.2">
      <c r="AE1860" s="3">
        <v>43049</v>
      </c>
      <c r="AF1860">
        <v>1134.46</v>
      </c>
    </row>
    <row r="1861" spans="31:32" x14ac:dyDescent="0.2">
      <c r="AE1861" s="3">
        <v>43048</v>
      </c>
      <c r="AF1861">
        <v>1138.45</v>
      </c>
    </row>
    <row r="1862" spans="31:32" x14ac:dyDescent="0.2">
      <c r="AE1862" s="3">
        <v>43047</v>
      </c>
      <c r="AF1862">
        <v>1174.48</v>
      </c>
    </row>
    <row r="1863" spans="31:32" x14ac:dyDescent="0.2">
      <c r="AE1863" s="3">
        <v>43046</v>
      </c>
      <c r="AF1863">
        <v>1169.0899999999999</v>
      </c>
    </row>
    <row r="1864" spans="31:32" x14ac:dyDescent="0.2">
      <c r="AE1864" s="3">
        <v>43045</v>
      </c>
      <c r="AF1864">
        <v>1180.8499999999999</v>
      </c>
    </row>
    <row r="1865" spans="31:32" x14ac:dyDescent="0.2">
      <c r="AE1865" s="3">
        <v>43042</v>
      </c>
      <c r="AF1865">
        <v>1169.71</v>
      </c>
    </row>
    <row r="1866" spans="31:32" x14ac:dyDescent="0.2">
      <c r="AE1866" s="3">
        <v>43041</v>
      </c>
      <c r="AF1866">
        <v>1183.24</v>
      </c>
    </row>
    <row r="1867" spans="31:32" x14ac:dyDescent="0.2">
      <c r="AE1867" s="3">
        <v>43040</v>
      </c>
      <c r="AF1867">
        <v>1196.67</v>
      </c>
    </row>
    <row r="1868" spans="31:32" x14ac:dyDescent="0.2">
      <c r="AE1868" s="3">
        <v>43039</v>
      </c>
      <c r="AF1868">
        <v>1195.6099999999999</v>
      </c>
    </row>
    <row r="1869" spans="31:32" x14ac:dyDescent="0.2">
      <c r="AE1869" s="3">
        <v>43038</v>
      </c>
      <c r="AF1869">
        <v>1195.49</v>
      </c>
    </row>
    <row r="1870" spans="31:32" x14ac:dyDescent="0.2">
      <c r="AE1870" s="3">
        <v>43035</v>
      </c>
      <c r="AF1870">
        <v>1188.3800000000001</v>
      </c>
    </row>
    <row r="1871" spans="31:32" x14ac:dyDescent="0.2">
      <c r="AE1871" s="3">
        <v>43034</v>
      </c>
      <c r="AF1871">
        <v>1179.94</v>
      </c>
    </row>
    <row r="1872" spans="31:32" x14ac:dyDescent="0.2">
      <c r="AE1872" s="3">
        <v>43033</v>
      </c>
      <c r="AF1872">
        <v>1176.6500000000001</v>
      </c>
    </row>
    <row r="1873" spans="31:32" x14ac:dyDescent="0.2">
      <c r="AE1873" s="3">
        <v>43032</v>
      </c>
      <c r="AF1873">
        <v>1174.18</v>
      </c>
    </row>
    <row r="1874" spans="31:32" x14ac:dyDescent="0.2">
      <c r="AE1874" s="3">
        <v>43031</v>
      </c>
      <c r="AF1874">
        <v>1182.94</v>
      </c>
    </row>
    <row r="1875" spans="31:32" x14ac:dyDescent="0.2">
      <c r="AE1875" s="3">
        <v>43028</v>
      </c>
      <c r="AF1875">
        <v>1182.32</v>
      </c>
    </row>
    <row r="1876" spans="31:32" x14ac:dyDescent="0.2">
      <c r="AE1876" s="3">
        <v>43027</v>
      </c>
      <c r="AF1876">
        <v>1178.54</v>
      </c>
    </row>
    <row r="1877" spans="31:32" x14ac:dyDescent="0.2">
      <c r="AE1877" s="3">
        <v>43026</v>
      </c>
      <c r="AF1877">
        <v>1186.2</v>
      </c>
    </row>
    <row r="1878" spans="31:32" x14ac:dyDescent="0.2">
      <c r="AE1878" s="3">
        <v>43025</v>
      </c>
      <c r="AF1878">
        <v>1176.1099999999999</v>
      </c>
    </row>
    <row r="1879" spans="31:32" x14ac:dyDescent="0.2">
      <c r="AE1879" s="3">
        <v>43024</v>
      </c>
      <c r="AF1879">
        <v>1182.08</v>
      </c>
    </row>
    <row r="1880" spans="31:32" x14ac:dyDescent="0.2">
      <c r="AE1880" s="3">
        <v>43021</v>
      </c>
      <c r="AF1880">
        <v>1179.3800000000001</v>
      </c>
    </row>
    <row r="1881" spans="31:32" x14ac:dyDescent="0.2">
      <c r="AE1881" s="3">
        <v>43020</v>
      </c>
      <c r="AF1881">
        <v>1190.82</v>
      </c>
    </row>
    <row r="1882" spans="31:32" x14ac:dyDescent="0.2">
      <c r="AE1882" s="3">
        <v>43019</v>
      </c>
      <c r="AF1882">
        <v>1192.8499999999999</v>
      </c>
    </row>
    <row r="1883" spans="31:32" x14ac:dyDescent="0.2">
      <c r="AE1883" s="3">
        <v>43018</v>
      </c>
      <c r="AF1883">
        <v>1185.75</v>
      </c>
    </row>
    <row r="1884" spans="31:32" x14ac:dyDescent="0.2">
      <c r="AE1884" s="3">
        <v>43017</v>
      </c>
      <c r="AF1884">
        <v>1183.27</v>
      </c>
    </row>
    <row r="1885" spans="31:32" x14ac:dyDescent="0.2">
      <c r="AE1885" s="3">
        <v>43014</v>
      </c>
      <c r="AF1885">
        <v>1182.02</v>
      </c>
    </row>
    <row r="1886" spans="31:32" x14ac:dyDescent="0.2">
      <c r="AE1886" s="3">
        <v>43013</v>
      </c>
      <c r="AF1886">
        <v>1187.6099999999999</v>
      </c>
    </row>
    <row r="1887" spans="31:32" x14ac:dyDescent="0.2">
      <c r="AE1887" s="3">
        <v>43012</v>
      </c>
      <c r="AF1887">
        <v>1187.3499999999999</v>
      </c>
    </row>
    <row r="1888" spans="31:32" x14ac:dyDescent="0.2">
      <c r="AE1888" s="3">
        <v>43011</v>
      </c>
      <c r="AF1888">
        <v>1184.51</v>
      </c>
    </row>
    <row r="1889" spans="31:32" x14ac:dyDescent="0.2">
      <c r="AE1889" s="3">
        <v>43010</v>
      </c>
      <c r="AF1889">
        <v>1185.1400000000001</v>
      </c>
    </row>
    <row r="1890" spans="31:32" x14ac:dyDescent="0.2">
      <c r="AE1890" s="3">
        <v>43007</v>
      </c>
      <c r="AF1890">
        <v>1173.99</v>
      </c>
    </row>
    <row r="1891" spans="31:32" x14ac:dyDescent="0.2">
      <c r="AE1891" s="3">
        <v>43006</v>
      </c>
      <c r="AF1891">
        <v>1176.92</v>
      </c>
    </row>
    <row r="1892" spans="31:32" x14ac:dyDescent="0.2">
      <c r="AE1892" s="3">
        <v>43005</v>
      </c>
      <c r="AF1892">
        <v>1169.3</v>
      </c>
    </row>
    <row r="1893" spans="31:32" x14ac:dyDescent="0.2">
      <c r="AE1893" s="3">
        <v>43004</v>
      </c>
      <c r="AF1893">
        <v>1166.52</v>
      </c>
    </row>
    <row r="1894" spans="31:32" x14ac:dyDescent="0.2">
      <c r="AE1894" s="3">
        <v>43003</v>
      </c>
      <c r="AF1894">
        <v>1177.43</v>
      </c>
    </row>
    <row r="1895" spans="31:32" x14ac:dyDescent="0.2">
      <c r="AE1895" s="3">
        <v>43000</v>
      </c>
      <c r="AF1895">
        <v>1168.92</v>
      </c>
    </row>
    <row r="1896" spans="31:32" x14ac:dyDescent="0.2">
      <c r="AE1896" s="3">
        <v>42999</v>
      </c>
      <c r="AF1896">
        <v>1166.67</v>
      </c>
    </row>
    <row r="1897" spans="31:32" x14ac:dyDescent="0.2">
      <c r="AE1897" s="3">
        <v>42998</v>
      </c>
      <c r="AF1897">
        <v>1164.74</v>
      </c>
    </row>
    <row r="1898" spans="31:32" x14ac:dyDescent="0.2">
      <c r="AE1898" s="3">
        <v>42997</v>
      </c>
      <c r="AF1898">
        <v>1160.43</v>
      </c>
    </row>
    <row r="1899" spans="31:32" x14ac:dyDescent="0.2">
      <c r="AE1899" s="3">
        <v>42996</v>
      </c>
      <c r="AF1899">
        <v>1158.3499999999999</v>
      </c>
    </row>
    <row r="1900" spans="31:32" x14ac:dyDescent="0.2">
      <c r="AE1900" s="3">
        <v>42993</v>
      </c>
      <c r="AF1900">
        <v>1149.18</v>
      </c>
    </row>
    <row r="1901" spans="31:32" x14ac:dyDescent="0.2">
      <c r="AE1901" s="3">
        <v>42992</v>
      </c>
      <c r="AF1901">
        <v>1171.82</v>
      </c>
    </row>
    <row r="1902" spans="31:32" x14ac:dyDescent="0.2">
      <c r="AE1902" s="3">
        <v>42991</v>
      </c>
      <c r="AF1902">
        <v>1170.83</v>
      </c>
    </row>
    <row r="1903" spans="31:32" x14ac:dyDescent="0.2">
      <c r="AE1903" s="3">
        <v>42990</v>
      </c>
      <c r="AF1903">
        <v>1173.52</v>
      </c>
    </row>
    <row r="1904" spans="31:32" x14ac:dyDescent="0.2">
      <c r="AE1904" s="3">
        <v>42989</v>
      </c>
      <c r="AF1904">
        <v>1173.92</v>
      </c>
    </row>
    <row r="1905" spans="31:32" x14ac:dyDescent="0.2">
      <c r="AE1905" s="3">
        <v>42986</v>
      </c>
      <c r="AF1905">
        <v>1164.25</v>
      </c>
    </row>
    <row r="1906" spans="31:32" x14ac:dyDescent="0.2">
      <c r="AE1906" s="3">
        <v>42985</v>
      </c>
      <c r="AF1906">
        <v>1164.6300000000001</v>
      </c>
    </row>
    <row r="1907" spans="31:32" x14ac:dyDescent="0.2">
      <c r="AE1907" s="3">
        <v>42984</v>
      </c>
      <c r="AF1907">
        <v>1157.82</v>
      </c>
    </row>
    <row r="1908" spans="31:32" x14ac:dyDescent="0.2">
      <c r="AE1908" s="3">
        <v>42983</v>
      </c>
      <c r="AF1908">
        <v>1166.9100000000001</v>
      </c>
    </row>
    <row r="1909" spans="31:32" x14ac:dyDescent="0.2">
      <c r="AE1909" s="3">
        <v>42982</v>
      </c>
      <c r="AF1909">
        <v>1174.8599999999999</v>
      </c>
    </row>
    <row r="1910" spans="31:32" x14ac:dyDescent="0.2">
      <c r="AE1910" s="3">
        <v>42979</v>
      </c>
      <c r="AF1910">
        <v>1181.04</v>
      </c>
    </row>
    <row r="1911" spans="31:32" x14ac:dyDescent="0.2">
      <c r="AE1911" s="3">
        <v>42978</v>
      </c>
      <c r="AF1911">
        <v>1174.72</v>
      </c>
    </row>
    <row r="1912" spans="31:32" x14ac:dyDescent="0.2">
      <c r="AE1912" s="3">
        <v>42977</v>
      </c>
      <c r="AF1912">
        <v>1161.94</v>
      </c>
    </row>
    <row r="1913" spans="31:32" x14ac:dyDescent="0.2">
      <c r="AE1913" s="3">
        <v>42976</v>
      </c>
      <c r="AF1913">
        <v>1155.54</v>
      </c>
    </row>
    <row r="1914" spans="31:32" x14ac:dyDescent="0.2">
      <c r="AE1914" s="3">
        <v>42975</v>
      </c>
      <c r="AF1914">
        <v>1166.47</v>
      </c>
    </row>
    <row r="1915" spans="31:32" x14ac:dyDescent="0.2">
      <c r="AE1915" s="3">
        <v>42972</v>
      </c>
      <c r="AF1915">
        <v>1168.22</v>
      </c>
    </row>
    <row r="1916" spans="31:32" x14ac:dyDescent="0.2">
      <c r="AE1916" s="3">
        <v>42971</v>
      </c>
      <c r="AF1916">
        <v>1170.94</v>
      </c>
    </row>
    <row r="1917" spans="31:32" x14ac:dyDescent="0.2">
      <c r="AE1917" s="3">
        <v>42970</v>
      </c>
      <c r="AF1917">
        <v>1159.56</v>
      </c>
    </row>
    <row r="1918" spans="31:32" x14ac:dyDescent="0.2">
      <c r="AE1918" s="3">
        <v>42969</v>
      </c>
      <c r="AF1918">
        <v>1167.26</v>
      </c>
    </row>
    <row r="1919" spans="31:32" x14ac:dyDescent="0.2">
      <c r="AE1919" s="3">
        <v>42968</v>
      </c>
      <c r="AF1919">
        <v>1152.5</v>
      </c>
    </row>
    <row r="1920" spans="31:32" x14ac:dyDescent="0.2">
      <c r="AE1920" s="3">
        <v>42965</v>
      </c>
      <c r="AF1920">
        <v>1150.31</v>
      </c>
    </row>
    <row r="1921" spans="31:32" x14ac:dyDescent="0.2">
      <c r="AE1921" s="3">
        <v>42964</v>
      </c>
      <c r="AF1921">
        <v>1152.67</v>
      </c>
    </row>
    <row r="1922" spans="31:32" x14ac:dyDescent="0.2">
      <c r="AE1922" s="3">
        <v>42963</v>
      </c>
      <c r="AF1922">
        <v>1165.2</v>
      </c>
    </row>
    <row r="1923" spans="31:32" x14ac:dyDescent="0.2">
      <c r="AE1923" s="3">
        <v>42962</v>
      </c>
      <c r="AF1923">
        <v>1165.21</v>
      </c>
    </row>
    <row r="1924" spans="31:32" x14ac:dyDescent="0.2">
      <c r="AE1924" s="3">
        <v>42961</v>
      </c>
      <c r="AF1924">
        <v>1167.06</v>
      </c>
    </row>
    <row r="1925" spans="31:32" x14ac:dyDescent="0.2">
      <c r="AE1925" s="3">
        <v>42958</v>
      </c>
      <c r="AF1925">
        <v>1162.46</v>
      </c>
    </row>
    <row r="1926" spans="31:32" x14ac:dyDescent="0.2">
      <c r="AE1926" s="3">
        <v>42957</v>
      </c>
      <c r="AF1926">
        <v>1159.95</v>
      </c>
    </row>
    <row r="1927" spans="31:32" x14ac:dyDescent="0.2">
      <c r="AE1927" s="3">
        <v>42956</v>
      </c>
      <c r="AF1927">
        <v>1170.27</v>
      </c>
    </row>
    <row r="1928" spans="31:32" x14ac:dyDescent="0.2">
      <c r="AE1928" s="3">
        <v>42955</v>
      </c>
      <c r="AF1928">
        <v>1161.08</v>
      </c>
    </row>
    <row r="1929" spans="31:32" x14ac:dyDescent="0.2">
      <c r="AE1929" s="3">
        <v>42954</v>
      </c>
      <c r="AF1929">
        <v>1170.2</v>
      </c>
    </row>
    <row r="1930" spans="31:32" x14ac:dyDescent="0.2">
      <c r="AE1930" s="3">
        <v>42951</v>
      </c>
      <c r="AF1930">
        <v>1169.53</v>
      </c>
    </row>
    <row r="1931" spans="31:32" x14ac:dyDescent="0.2">
      <c r="AE1931" s="3">
        <v>42950</v>
      </c>
      <c r="AF1931">
        <v>1159.8800000000001</v>
      </c>
    </row>
    <row r="1932" spans="31:32" x14ac:dyDescent="0.2">
      <c r="AE1932" s="3">
        <v>42949</v>
      </c>
      <c r="AF1932">
        <v>1164.98</v>
      </c>
    </row>
    <row r="1933" spans="31:32" x14ac:dyDescent="0.2">
      <c r="AE1933" s="3">
        <v>42948</v>
      </c>
      <c r="AF1933">
        <v>1169.8800000000001</v>
      </c>
    </row>
    <row r="1934" spans="31:32" x14ac:dyDescent="0.2">
      <c r="AE1934" s="3">
        <v>42947</v>
      </c>
      <c r="AF1934">
        <v>1168.6600000000001</v>
      </c>
    </row>
    <row r="1935" spans="31:32" x14ac:dyDescent="0.2">
      <c r="AE1935" s="3">
        <v>42944</v>
      </c>
      <c r="AF1935">
        <v>1164.72</v>
      </c>
    </row>
    <row r="1936" spans="31:32" x14ac:dyDescent="0.2">
      <c r="AE1936" s="3">
        <v>42943</v>
      </c>
      <c r="AF1936">
        <v>1170.5899999999999</v>
      </c>
    </row>
    <row r="1937" spans="31:32" x14ac:dyDescent="0.2">
      <c r="AE1937" s="3">
        <v>42942</v>
      </c>
      <c r="AF1937">
        <v>1167.3399999999999</v>
      </c>
    </row>
    <row r="1938" spans="31:32" x14ac:dyDescent="0.2">
      <c r="AE1938" s="3">
        <v>42941</v>
      </c>
      <c r="AF1938">
        <v>1161.72</v>
      </c>
    </row>
    <row r="1939" spans="31:32" x14ac:dyDescent="0.2">
      <c r="AE1939" s="3">
        <v>42940</v>
      </c>
      <c r="AF1939">
        <v>1154.1400000000001</v>
      </c>
    </row>
    <row r="1940" spans="31:32" x14ac:dyDescent="0.2">
      <c r="AE1940" s="3">
        <v>42937</v>
      </c>
      <c r="AF1940">
        <v>1166.74</v>
      </c>
    </row>
    <row r="1941" spans="31:32" x14ac:dyDescent="0.2">
      <c r="AE1941" s="3">
        <v>42936</v>
      </c>
      <c r="AF1941">
        <v>1175.26</v>
      </c>
    </row>
    <row r="1942" spans="31:32" x14ac:dyDescent="0.2">
      <c r="AE1942" s="3">
        <v>42935</v>
      </c>
      <c r="AF1942">
        <v>1175.97</v>
      </c>
    </row>
    <row r="1943" spans="31:32" x14ac:dyDescent="0.2">
      <c r="AE1943" s="3">
        <v>42934</v>
      </c>
      <c r="AF1943">
        <v>1174.9100000000001</v>
      </c>
    </row>
    <row r="1944" spans="31:32" x14ac:dyDescent="0.2">
      <c r="AE1944" s="3">
        <v>42933</v>
      </c>
      <c r="AF1944">
        <v>1177.72</v>
      </c>
    </row>
    <row r="1945" spans="31:32" x14ac:dyDescent="0.2">
      <c r="AE1945" s="3">
        <v>42930</v>
      </c>
      <c r="AF1945">
        <v>1172.01</v>
      </c>
    </row>
    <row r="1946" spans="31:32" x14ac:dyDescent="0.2">
      <c r="AE1946" s="3">
        <v>42929</v>
      </c>
      <c r="AF1946">
        <v>1166.01</v>
      </c>
    </row>
    <row r="1947" spans="31:32" x14ac:dyDescent="0.2">
      <c r="AE1947" s="3">
        <v>42928</v>
      </c>
      <c r="AF1947">
        <v>1166.3399999999999</v>
      </c>
    </row>
    <row r="1948" spans="31:32" x14ac:dyDescent="0.2">
      <c r="AE1948" s="3">
        <v>42927</v>
      </c>
      <c r="AF1948">
        <v>1155.5999999999999</v>
      </c>
    </row>
    <row r="1949" spans="31:32" x14ac:dyDescent="0.2">
      <c r="AE1949" s="3">
        <v>42926</v>
      </c>
      <c r="AF1949">
        <v>1158.68</v>
      </c>
    </row>
    <row r="1950" spans="31:32" x14ac:dyDescent="0.2">
      <c r="AE1950" s="3">
        <v>42923</v>
      </c>
      <c r="AF1950">
        <v>1151</v>
      </c>
    </row>
    <row r="1951" spans="31:32" x14ac:dyDescent="0.2">
      <c r="AE1951" s="3">
        <v>42922</v>
      </c>
      <c r="AF1951">
        <v>1149.6300000000001</v>
      </c>
    </row>
    <row r="1952" spans="31:32" x14ac:dyDescent="0.2">
      <c r="AE1952" s="3">
        <v>42921</v>
      </c>
      <c r="AF1952">
        <v>1158.92</v>
      </c>
    </row>
    <row r="1953" spans="31:32" x14ac:dyDescent="0.2">
      <c r="AE1953" s="3">
        <v>42920</v>
      </c>
      <c r="AF1953">
        <v>1153.0899999999999</v>
      </c>
    </row>
    <row r="1954" spans="31:32" x14ac:dyDescent="0.2">
      <c r="AE1954" s="3">
        <v>42919</v>
      </c>
      <c r="AF1954">
        <v>1156.1600000000001</v>
      </c>
    </row>
    <row r="1955" spans="31:32" x14ac:dyDescent="0.2">
      <c r="AE1955" s="3">
        <v>42916</v>
      </c>
      <c r="AF1955">
        <v>1143.24</v>
      </c>
    </row>
    <row r="1956" spans="31:32" x14ac:dyDescent="0.2">
      <c r="AE1956" s="3">
        <v>42915</v>
      </c>
      <c r="AF1956">
        <v>1136</v>
      </c>
    </row>
    <row r="1957" spans="31:32" x14ac:dyDescent="0.2">
      <c r="AE1957" s="3">
        <v>42914</v>
      </c>
      <c r="AF1957">
        <v>1149.32</v>
      </c>
    </row>
    <row r="1958" spans="31:32" x14ac:dyDescent="0.2">
      <c r="AE1958" s="3">
        <v>42913</v>
      </c>
      <c r="AF1958">
        <v>1151.68</v>
      </c>
    </row>
    <row r="1959" spans="31:32" x14ac:dyDescent="0.2">
      <c r="AE1959" s="3">
        <v>42912</v>
      </c>
      <c r="AF1959">
        <v>1165.3800000000001</v>
      </c>
    </row>
    <row r="1960" spans="31:32" x14ac:dyDescent="0.2">
      <c r="AE1960" s="3">
        <v>42909</v>
      </c>
      <c r="AF1960">
        <v>1165.5899999999999</v>
      </c>
    </row>
    <row r="1961" spans="31:32" x14ac:dyDescent="0.2">
      <c r="AE1961" s="3">
        <v>42908</v>
      </c>
      <c r="AF1961">
        <v>1166.96</v>
      </c>
    </row>
    <row r="1962" spans="31:32" x14ac:dyDescent="0.2">
      <c r="AE1962" s="3">
        <v>42907</v>
      </c>
      <c r="AF1962">
        <v>1169.76</v>
      </c>
    </row>
    <row r="1963" spans="31:32" x14ac:dyDescent="0.2">
      <c r="AE1963" s="3">
        <v>42906</v>
      </c>
      <c r="AF1963">
        <v>1172.1500000000001</v>
      </c>
    </row>
    <row r="1964" spans="31:32" x14ac:dyDescent="0.2">
      <c r="AE1964" s="3">
        <v>42905</v>
      </c>
      <c r="AF1964">
        <v>1176.42</v>
      </c>
    </row>
    <row r="1965" spans="31:32" x14ac:dyDescent="0.2">
      <c r="AE1965" s="3">
        <v>42902</v>
      </c>
      <c r="AF1965">
        <v>1160.17</v>
      </c>
    </row>
    <row r="1966" spans="31:32" x14ac:dyDescent="0.2">
      <c r="AE1966" s="3">
        <v>42901</v>
      </c>
      <c r="AF1966">
        <v>1153.3</v>
      </c>
    </row>
    <row r="1967" spans="31:32" x14ac:dyDescent="0.2">
      <c r="AE1967" s="3">
        <v>42900</v>
      </c>
      <c r="AF1967">
        <v>1167.44</v>
      </c>
    </row>
    <row r="1968" spans="31:32" x14ac:dyDescent="0.2">
      <c r="AE1968" s="3">
        <v>42899</v>
      </c>
      <c r="AF1968">
        <v>1165.0899999999999</v>
      </c>
    </row>
    <row r="1969" spans="31:32" x14ac:dyDescent="0.2">
      <c r="AE1969" s="3">
        <v>42898</v>
      </c>
      <c r="AF1969">
        <v>1152.99</v>
      </c>
    </row>
    <row r="1970" spans="31:32" x14ac:dyDescent="0.2">
      <c r="AE1970" s="3">
        <v>42895</v>
      </c>
      <c r="AF1970">
        <v>1160.29</v>
      </c>
    </row>
    <row r="1971" spans="31:32" x14ac:dyDescent="0.2">
      <c r="AE1971" s="3">
        <v>42894</v>
      </c>
      <c r="AF1971">
        <v>1152.42</v>
      </c>
    </row>
    <row r="1972" spans="31:32" x14ac:dyDescent="0.2">
      <c r="AE1972" s="3">
        <v>42893</v>
      </c>
      <c r="AF1972">
        <v>1157.17</v>
      </c>
    </row>
    <row r="1973" spans="31:32" x14ac:dyDescent="0.2">
      <c r="AE1973" s="3">
        <v>42892</v>
      </c>
      <c r="AF1973">
        <v>1161.44</v>
      </c>
    </row>
    <row r="1974" spans="31:32" x14ac:dyDescent="0.2">
      <c r="AE1974" s="3">
        <v>42888</v>
      </c>
      <c r="AF1974">
        <v>1162</v>
      </c>
    </row>
    <row r="1975" spans="31:32" x14ac:dyDescent="0.2">
      <c r="AE1975" s="3">
        <v>42887</v>
      </c>
      <c r="AF1975">
        <v>1152.46</v>
      </c>
    </row>
    <row r="1976" spans="31:32" x14ac:dyDescent="0.2">
      <c r="AE1976" s="3">
        <v>42886</v>
      </c>
      <c r="AF1976">
        <v>1150.02</v>
      </c>
    </row>
    <row r="1977" spans="31:32" x14ac:dyDescent="0.2">
      <c r="AE1977" s="3">
        <v>42885</v>
      </c>
      <c r="AF1977">
        <v>1139.78</v>
      </c>
    </row>
    <row r="1978" spans="31:32" x14ac:dyDescent="0.2">
      <c r="AE1978" s="3">
        <v>42884</v>
      </c>
      <c r="AF1978">
        <v>1137.4100000000001</v>
      </c>
    </row>
    <row r="1979" spans="31:32" x14ac:dyDescent="0.2">
      <c r="AE1979" s="3">
        <v>42879</v>
      </c>
      <c r="AF1979">
        <v>1143.97</v>
      </c>
    </row>
    <row r="1980" spans="31:32" x14ac:dyDescent="0.2">
      <c r="AE1980" s="3">
        <v>42878</v>
      </c>
      <c r="AF1980">
        <v>1143.95</v>
      </c>
    </row>
    <row r="1981" spans="31:32" x14ac:dyDescent="0.2">
      <c r="AE1981" s="3">
        <v>42877</v>
      </c>
      <c r="AF1981">
        <v>1142.7</v>
      </c>
    </row>
    <row r="1982" spans="31:32" x14ac:dyDescent="0.2">
      <c r="AE1982" s="3">
        <v>42874</v>
      </c>
      <c r="AF1982">
        <v>1138.08</v>
      </c>
    </row>
    <row r="1983" spans="31:32" x14ac:dyDescent="0.2">
      <c r="AE1983" s="3">
        <v>42873</v>
      </c>
      <c r="AF1983">
        <v>1129.74</v>
      </c>
    </row>
    <row r="1984" spans="31:32" x14ac:dyDescent="0.2">
      <c r="AE1984" s="3">
        <v>42872</v>
      </c>
      <c r="AF1984">
        <v>1123.3</v>
      </c>
    </row>
    <row r="1985" spans="31:32" x14ac:dyDescent="0.2">
      <c r="AE1985" s="3">
        <v>42871</v>
      </c>
      <c r="AF1985">
        <v>1146.06</v>
      </c>
    </row>
    <row r="1986" spans="31:32" x14ac:dyDescent="0.2">
      <c r="AE1986" s="3">
        <v>42870</v>
      </c>
      <c r="AF1986">
        <v>1149.6400000000001</v>
      </c>
    </row>
    <row r="1987" spans="31:32" x14ac:dyDescent="0.2">
      <c r="AE1987" s="3">
        <v>42866</v>
      </c>
      <c r="AF1987">
        <v>1144.44</v>
      </c>
    </row>
    <row r="1988" spans="31:32" x14ac:dyDescent="0.2">
      <c r="AE1988" s="3">
        <v>42865</v>
      </c>
      <c r="AF1988">
        <v>1146.55</v>
      </c>
    </row>
    <row r="1989" spans="31:32" x14ac:dyDescent="0.2">
      <c r="AE1989" s="3">
        <v>42864</v>
      </c>
      <c r="AF1989">
        <v>1137.57</v>
      </c>
    </row>
    <row r="1990" spans="31:32" x14ac:dyDescent="0.2">
      <c r="AE1990" s="3">
        <v>42863</v>
      </c>
      <c r="AF1990">
        <v>1144.07</v>
      </c>
    </row>
    <row r="1991" spans="31:32" x14ac:dyDescent="0.2">
      <c r="AE1991" s="3">
        <v>42860</v>
      </c>
      <c r="AF1991">
        <v>1145.77</v>
      </c>
    </row>
    <row r="1992" spans="31:32" x14ac:dyDescent="0.2">
      <c r="AE1992" s="3">
        <v>42859</v>
      </c>
      <c r="AF1992">
        <v>1134.4000000000001</v>
      </c>
    </row>
    <row r="1993" spans="31:32" x14ac:dyDescent="0.2">
      <c r="AE1993" s="3">
        <v>42858</v>
      </c>
      <c r="AF1993">
        <v>1129.6099999999999</v>
      </c>
    </row>
    <row r="1994" spans="31:32" x14ac:dyDescent="0.2">
      <c r="AE1994" s="3">
        <v>42857</v>
      </c>
      <c r="AF1994">
        <v>1128.7</v>
      </c>
    </row>
    <row r="1995" spans="31:32" x14ac:dyDescent="0.2">
      <c r="AE1995" s="3">
        <v>42856</v>
      </c>
      <c r="AF1995">
        <v>1124.6099999999999</v>
      </c>
    </row>
    <row r="1996" spans="31:32" x14ac:dyDescent="0.2">
      <c r="AE1996" s="3">
        <v>42853</v>
      </c>
      <c r="AF1996">
        <v>1126.44</v>
      </c>
    </row>
    <row r="1997" spans="31:32" x14ac:dyDescent="0.2">
      <c r="AE1997" s="3">
        <v>42852</v>
      </c>
      <c r="AF1997">
        <v>1120.1199999999999</v>
      </c>
    </row>
    <row r="1998" spans="31:32" x14ac:dyDescent="0.2">
      <c r="AE1998" s="3">
        <v>42851</v>
      </c>
      <c r="AF1998">
        <v>1115.0999999999999</v>
      </c>
    </row>
    <row r="1999" spans="31:32" x14ac:dyDescent="0.2">
      <c r="AE1999" s="3">
        <v>42850</v>
      </c>
      <c r="AF1999">
        <v>1104.57</v>
      </c>
    </row>
    <row r="2000" spans="31:32" x14ac:dyDescent="0.2">
      <c r="AE2000" s="3">
        <v>42849</v>
      </c>
      <c r="AF2000">
        <v>1098.8599999999999</v>
      </c>
    </row>
    <row r="2001" spans="31:32" x14ac:dyDescent="0.2">
      <c r="AE2001" s="3">
        <v>42846</v>
      </c>
      <c r="AF2001">
        <v>1082.56</v>
      </c>
    </row>
    <row r="2002" spans="31:32" x14ac:dyDescent="0.2">
      <c r="AE2002" s="3">
        <v>42845</v>
      </c>
      <c r="AF2002">
        <v>1090.44</v>
      </c>
    </row>
    <row r="2003" spans="31:32" x14ac:dyDescent="0.2">
      <c r="AE2003" s="3">
        <v>42844</v>
      </c>
      <c r="AF2003">
        <v>1081.5899999999999</v>
      </c>
    </row>
    <row r="2004" spans="31:32" x14ac:dyDescent="0.2">
      <c r="AE2004" s="3">
        <v>42843</v>
      </c>
      <c r="AF2004">
        <v>1073.3900000000001</v>
      </c>
    </row>
    <row r="2005" spans="31:32" x14ac:dyDescent="0.2">
      <c r="AE2005" s="3">
        <v>42837</v>
      </c>
      <c r="AF2005">
        <v>1088.49</v>
      </c>
    </row>
    <row r="2006" spans="31:32" x14ac:dyDescent="0.2">
      <c r="AE2006" s="3">
        <v>42836</v>
      </c>
      <c r="AF2006">
        <v>1080.1500000000001</v>
      </c>
    </row>
    <row r="2007" spans="31:32" x14ac:dyDescent="0.2">
      <c r="AE2007" s="3">
        <v>42835</v>
      </c>
      <c r="AF2007">
        <v>1080.6600000000001</v>
      </c>
    </row>
    <row r="2008" spans="31:32" x14ac:dyDescent="0.2">
      <c r="AE2008" s="3">
        <v>42832</v>
      </c>
      <c r="AF2008">
        <v>1073.42</v>
      </c>
    </row>
    <row r="2009" spans="31:32" x14ac:dyDescent="0.2">
      <c r="AE2009" s="3">
        <v>42831</v>
      </c>
      <c r="AF2009">
        <v>1077.8599999999999</v>
      </c>
    </row>
    <row r="2010" spans="31:32" x14ac:dyDescent="0.2">
      <c r="AE2010" s="3">
        <v>42830</v>
      </c>
      <c r="AF2010">
        <v>1078.8599999999999</v>
      </c>
    </row>
    <row r="2011" spans="31:32" x14ac:dyDescent="0.2">
      <c r="AE2011" s="3">
        <v>42829</v>
      </c>
      <c r="AF2011">
        <v>1076.56</v>
      </c>
    </row>
    <row r="2012" spans="31:32" x14ac:dyDescent="0.2">
      <c r="AE2012" s="3">
        <v>42828</v>
      </c>
      <c r="AF2012">
        <v>1066</v>
      </c>
    </row>
    <row r="2013" spans="31:32" x14ac:dyDescent="0.2">
      <c r="AE2013" s="3">
        <v>42825</v>
      </c>
      <c r="AF2013">
        <v>1075.07</v>
      </c>
    </row>
    <row r="2014" spans="31:32" x14ac:dyDescent="0.2">
      <c r="AE2014" s="3">
        <v>42824</v>
      </c>
      <c r="AF2014">
        <v>1072.92</v>
      </c>
    </row>
    <row r="2015" spans="31:32" x14ac:dyDescent="0.2">
      <c r="AE2015" s="3">
        <v>42823</v>
      </c>
      <c r="AF2015">
        <v>1067.4000000000001</v>
      </c>
    </row>
    <row r="2016" spans="31:32" x14ac:dyDescent="0.2">
      <c r="AE2016" s="3">
        <v>42822</v>
      </c>
      <c r="AF2016">
        <v>1067.8399999999999</v>
      </c>
    </row>
    <row r="2017" spans="31:32" x14ac:dyDescent="0.2">
      <c r="AE2017" s="3">
        <v>42821</v>
      </c>
      <c r="AF2017">
        <v>1062.49</v>
      </c>
    </row>
    <row r="2018" spans="31:32" x14ac:dyDescent="0.2">
      <c r="AE2018" s="3">
        <v>42818</v>
      </c>
      <c r="AF2018">
        <v>1066.9000000000001</v>
      </c>
    </row>
    <row r="2019" spans="31:32" x14ac:dyDescent="0.2">
      <c r="AE2019" s="3">
        <v>42817</v>
      </c>
      <c r="AF2019">
        <v>1064.53</v>
      </c>
    </row>
    <row r="2020" spans="31:32" x14ac:dyDescent="0.2">
      <c r="AE2020" s="3">
        <v>42816</v>
      </c>
      <c r="AF2020">
        <v>1054.3</v>
      </c>
    </row>
    <row r="2021" spans="31:32" x14ac:dyDescent="0.2">
      <c r="AE2021" s="3">
        <v>42815</v>
      </c>
      <c r="AF2021">
        <v>1061.1199999999999</v>
      </c>
    </row>
    <row r="2022" spans="31:32" x14ac:dyDescent="0.2">
      <c r="AE2022" s="3">
        <v>42814</v>
      </c>
      <c r="AF2022">
        <v>1075.44</v>
      </c>
    </row>
    <row r="2023" spans="31:32" x14ac:dyDescent="0.2">
      <c r="AE2023" s="3">
        <v>42811</v>
      </c>
      <c r="AF2023">
        <v>1075.6300000000001</v>
      </c>
    </row>
    <row r="2024" spans="31:32" x14ac:dyDescent="0.2">
      <c r="AE2024" s="3">
        <v>42810</v>
      </c>
      <c r="AF2024">
        <v>1078.01</v>
      </c>
    </row>
    <row r="2025" spans="31:32" x14ac:dyDescent="0.2">
      <c r="AE2025" s="3">
        <v>42809</v>
      </c>
      <c r="AF2025">
        <v>1073.05</v>
      </c>
    </row>
    <row r="2026" spans="31:32" x14ac:dyDescent="0.2">
      <c r="AE2026" s="3">
        <v>42808</v>
      </c>
      <c r="AF2026">
        <v>1071.32</v>
      </c>
    </row>
    <row r="2027" spans="31:32" x14ac:dyDescent="0.2">
      <c r="AE2027" s="3">
        <v>42807</v>
      </c>
      <c r="AF2027">
        <v>1070.02</v>
      </c>
    </row>
    <row r="2028" spans="31:32" x14ac:dyDescent="0.2">
      <c r="AE2028" s="3">
        <v>42804</v>
      </c>
      <c r="AF2028">
        <v>1065.53</v>
      </c>
    </row>
    <row r="2029" spans="31:32" x14ac:dyDescent="0.2">
      <c r="AE2029" s="3">
        <v>42803</v>
      </c>
      <c r="AF2029">
        <v>1056.0899999999999</v>
      </c>
    </row>
    <row r="2030" spans="31:32" x14ac:dyDescent="0.2">
      <c r="AE2030" s="3">
        <v>42802</v>
      </c>
      <c r="AF2030">
        <v>1057.43</v>
      </c>
    </row>
    <row r="2031" spans="31:32" x14ac:dyDescent="0.2">
      <c r="AE2031" s="3">
        <v>42801</v>
      </c>
      <c r="AF2031">
        <v>1056.49</v>
      </c>
    </row>
    <row r="2032" spans="31:32" x14ac:dyDescent="0.2">
      <c r="AE2032" s="3">
        <v>42800</v>
      </c>
      <c r="AF2032">
        <v>1061.95</v>
      </c>
    </row>
    <row r="2033" spans="31:32" x14ac:dyDescent="0.2">
      <c r="AE2033" s="3">
        <v>42797</v>
      </c>
      <c r="AF2033">
        <v>1066.51</v>
      </c>
    </row>
    <row r="2034" spans="31:32" x14ac:dyDescent="0.2">
      <c r="AE2034" s="3">
        <v>42796</v>
      </c>
      <c r="AF2034">
        <v>1072.68</v>
      </c>
    </row>
    <row r="2035" spans="31:32" x14ac:dyDescent="0.2">
      <c r="AE2035" s="3">
        <v>42795</v>
      </c>
      <c r="AF2035">
        <v>1072.33</v>
      </c>
    </row>
    <row r="2036" spans="31:32" x14ac:dyDescent="0.2">
      <c r="AE2036" s="3">
        <v>42794</v>
      </c>
      <c r="AF2036">
        <v>1060.33</v>
      </c>
    </row>
    <row r="2037" spans="31:32" x14ac:dyDescent="0.2">
      <c r="AE2037" s="3">
        <v>42793</v>
      </c>
      <c r="AF2037">
        <v>1059.72</v>
      </c>
    </row>
    <row r="2038" spans="31:32" x14ac:dyDescent="0.2">
      <c r="AE2038" s="3">
        <v>42790</v>
      </c>
      <c r="AF2038">
        <v>1061.08</v>
      </c>
    </row>
    <row r="2039" spans="31:32" x14ac:dyDescent="0.2">
      <c r="AE2039" s="3">
        <v>42789</v>
      </c>
      <c r="AF2039">
        <v>1072.43</v>
      </c>
    </row>
    <row r="2040" spans="31:32" x14ac:dyDescent="0.2">
      <c r="AE2040" s="3">
        <v>42788</v>
      </c>
      <c r="AF2040">
        <v>1074.72</v>
      </c>
    </row>
    <row r="2041" spans="31:32" x14ac:dyDescent="0.2">
      <c r="AE2041" s="3">
        <v>42787</v>
      </c>
      <c r="AF2041">
        <v>1076.8599999999999</v>
      </c>
    </row>
    <row r="2042" spans="31:32" x14ac:dyDescent="0.2">
      <c r="AE2042" s="3">
        <v>42786</v>
      </c>
      <c r="AF2042">
        <v>1067.82</v>
      </c>
    </row>
    <row r="2043" spans="31:32" x14ac:dyDescent="0.2">
      <c r="AE2043" s="3">
        <v>42783</v>
      </c>
      <c r="AF2043">
        <v>1072.3599999999999</v>
      </c>
    </row>
    <row r="2044" spans="31:32" x14ac:dyDescent="0.2">
      <c r="AE2044" s="3">
        <v>42782</v>
      </c>
      <c r="AF2044">
        <v>1076.81</v>
      </c>
    </row>
    <row r="2045" spans="31:32" x14ac:dyDescent="0.2">
      <c r="AE2045" s="3">
        <v>42781</v>
      </c>
      <c r="AF2045">
        <v>1074.79</v>
      </c>
    </row>
    <row r="2046" spans="31:32" x14ac:dyDescent="0.2">
      <c r="AE2046" s="3">
        <v>42780</v>
      </c>
      <c r="AF2046">
        <v>1071.5</v>
      </c>
    </row>
    <row r="2047" spans="31:32" x14ac:dyDescent="0.2">
      <c r="AE2047" s="3">
        <v>42779</v>
      </c>
      <c r="AF2047">
        <v>1071.58</v>
      </c>
    </row>
    <row r="2048" spans="31:32" x14ac:dyDescent="0.2">
      <c r="AE2048" s="3">
        <v>42776</v>
      </c>
      <c r="AF2048">
        <v>1065.9100000000001</v>
      </c>
    </row>
    <row r="2049" spans="31:32" x14ac:dyDescent="0.2">
      <c r="AE2049" s="3">
        <v>42775</v>
      </c>
      <c r="AF2049">
        <v>1060.94</v>
      </c>
    </row>
    <row r="2050" spans="31:32" x14ac:dyDescent="0.2">
      <c r="AE2050" s="3">
        <v>42774</v>
      </c>
      <c r="AF2050">
        <v>1044.9000000000001</v>
      </c>
    </row>
    <row r="2051" spans="31:32" x14ac:dyDescent="0.2">
      <c r="AE2051" s="3">
        <v>42773</v>
      </c>
      <c r="AF2051">
        <v>1052.3800000000001</v>
      </c>
    </row>
    <row r="2052" spans="31:32" x14ac:dyDescent="0.2">
      <c r="AE2052" s="3">
        <v>42772</v>
      </c>
      <c r="AF2052">
        <v>1053.77</v>
      </c>
    </row>
    <row r="2053" spans="31:32" x14ac:dyDescent="0.2">
      <c r="AE2053" s="3">
        <v>42769</v>
      </c>
      <c r="AF2053">
        <v>1060.79</v>
      </c>
    </row>
    <row r="2054" spans="31:32" x14ac:dyDescent="0.2">
      <c r="AE2054" s="3">
        <v>42768</v>
      </c>
      <c r="AF2054">
        <v>1055.49</v>
      </c>
    </row>
    <row r="2055" spans="31:32" x14ac:dyDescent="0.2">
      <c r="AE2055" s="3">
        <v>42767</v>
      </c>
      <c r="AF2055">
        <v>1061.1300000000001</v>
      </c>
    </row>
    <row r="2056" spans="31:32" x14ac:dyDescent="0.2">
      <c r="AE2056" s="3">
        <v>42766</v>
      </c>
      <c r="AF2056">
        <v>1049.56</v>
      </c>
    </row>
    <row r="2057" spans="31:32" x14ac:dyDescent="0.2">
      <c r="AE2057" s="3">
        <v>42765</v>
      </c>
      <c r="AF2057">
        <v>1048.1500000000001</v>
      </c>
    </row>
    <row r="2058" spans="31:32" x14ac:dyDescent="0.2">
      <c r="AE2058" s="3">
        <v>42762</v>
      </c>
      <c r="AF2058">
        <v>1052.6199999999999</v>
      </c>
    </row>
    <row r="2059" spans="31:32" x14ac:dyDescent="0.2">
      <c r="AE2059" s="3">
        <v>42761</v>
      </c>
      <c r="AF2059">
        <v>1044.71</v>
      </c>
    </row>
    <row r="2060" spans="31:32" x14ac:dyDescent="0.2">
      <c r="AE2060" s="3">
        <v>42760</v>
      </c>
      <c r="AF2060">
        <v>1038.8399999999999</v>
      </c>
    </row>
    <row r="2061" spans="31:32" x14ac:dyDescent="0.2">
      <c r="AE2061" s="3">
        <v>42759</v>
      </c>
      <c r="AF2061">
        <v>1024.96</v>
      </c>
    </row>
    <row r="2062" spans="31:32" x14ac:dyDescent="0.2">
      <c r="AE2062" s="3">
        <v>42758</v>
      </c>
      <c r="AF2062">
        <v>1026.28</v>
      </c>
    </row>
    <row r="2063" spans="31:32" x14ac:dyDescent="0.2">
      <c r="AE2063" s="3">
        <v>42755</v>
      </c>
      <c r="AF2063">
        <v>1033.49</v>
      </c>
    </row>
    <row r="2064" spans="31:32" x14ac:dyDescent="0.2">
      <c r="AE2064" s="3">
        <v>42754</v>
      </c>
      <c r="AF2064">
        <v>1033.5</v>
      </c>
    </row>
    <row r="2065" spans="31:32" x14ac:dyDescent="0.2">
      <c r="AE2065" s="3">
        <v>42753</v>
      </c>
      <c r="AF2065">
        <v>1030.3499999999999</v>
      </c>
    </row>
    <row r="2066" spans="31:32" x14ac:dyDescent="0.2">
      <c r="AE2066" s="3">
        <v>42752</v>
      </c>
      <c r="AF2066">
        <v>1033.55</v>
      </c>
    </row>
    <row r="2067" spans="31:32" x14ac:dyDescent="0.2">
      <c r="AE2067" s="3">
        <v>42751</v>
      </c>
      <c r="AF2067">
        <v>1038.29</v>
      </c>
    </row>
    <row r="2068" spans="31:32" x14ac:dyDescent="0.2">
      <c r="AE2068" s="3">
        <v>42748</v>
      </c>
      <c r="AF2068">
        <v>1039.68</v>
      </c>
    </row>
    <row r="2069" spans="31:32" x14ac:dyDescent="0.2">
      <c r="AE2069" s="3">
        <v>42747</v>
      </c>
      <c r="AF2069">
        <v>1024.95</v>
      </c>
    </row>
    <row r="2070" spans="31:32" x14ac:dyDescent="0.2">
      <c r="AE2070" s="3">
        <v>42746</v>
      </c>
      <c r="AF2070">
        <v>1034.27</v>
      </c>
    </row>
    <row r="2071" spans="31:32" x14ac:dyDescent="0.2">
      <c r="AE2071" s="3">
        <v>42745</v>
      </c>
      <c r="AF2071">
        <v>1026.3</v>
      </c>
    </row>
    <row r="2072" spans="31:32" x14ac:dyDescent="0.2">
      <c r="AE2072" s="3">
        <v>42744</v>
      </c>
      <c r="AF2072">
        <v>1031.5</v>
      </c>
    </row>
    <row r="2073" spans="31:32" x14ac:dyDescent="0.2">
      <c r="AE2073" s="3">
        <v>42741</v>
      </c>
      <c r="AF2073">
        <v>1037.5899999999999</v>
      </c>
    </row>
    <row r="2074" spans="31:32" x14ac:dyDescent="0.2">
      <c r="AE2074" s="3">
        <v>42740</v>
      </c>
      <c r="AF2074">
        <v>1034.99</v>
      </c>
    </row>
    <row r="2075" spans="31:32" x14ac:dyDescent="0.2">
      <c r="AE2075" s="3">
        <v>42739</v>
      </c>
      <c r="AF2075">
        <v>1025.78</v>
      </c>
    </row>
    <row r="2076" spans="31:32" x14ac:dyDescent="0.2">
      <c r="AE2076" s="3">
        <v>42738</v>
      </c>
      <c r="AF2076">
        <v>1030.8900000000001</v>
      </c>
    </row>
    <row r="2077" spans="31:32" x14ac:dyDescent="0.2">
      <c r="AE2077" s="3">
        <v>42737</v>
      </c>
      <c r="AF2077">
        <v>1034.03</v>
      </c>
    </row>
    <row r="2078" spans="31:32" x14ac:dyDescent="0.2">
      <c r="AE2078" s="3">
        <v>42734</v>
      </c>
      <c r="AF2078">
        <v>1015.88</v>
      </c>
    </row>
    <row r="2079" spans="31:32" x14ac:dyDescent="0.2">
      <c r="AE2079" s="3">
        <v>42733</v>
      </c>
      <c r="AF2079">
        <v>1016.69</v>
      </c>
    </row>
    <row r="2080" spans="31:32" x14ac:dyDescent="0.2">
      <c r="AE2080" s="3">
        <v>42732</v>
      </c>
      <c r="AF2080">
        <v>1012.81</v>
      </c>
    </row>
    <row r="2081" spans="31:32" x14ac:dyDescent="0.2">
      <c r="AE2081" s="3">
        <v>42731</v>
      </c>
      <c r="AF2081">
        <v>1011.75</v>
      </c>
    </row>
    <row r="2082" spans="31:32" x14ac:dyDescent="0.2">
      <c r="AE2082" s="3">
        <v>42727</v>
      </c>
      <c r="AF2082">
        <v>1007.37</v>
      </c>
    </row>
    <row r="2083" spans="31:32" x14ac:dyDescent="0.2">
      <c r="AE2083" s="3">
        <v>42726</v>
      </c>
      <c r="AF2083">
        <v>1005.73</v>
      </c>
    </row>
    <row r="2084" spans="31:32" x14ac:dyDescent="0.2">
      <c r="AE2084" s="3">
        <v>42725</v>
      </c>
      <c r="AF2084">
        <v>1002.97</v>
      </c>
    </row>
    <row r="2085" spans="31:32" x14ac:dyDescent="0.2">
      <c r="AE2085" s="3">
        <v>42724</v>
      </c>
      <c r="AF2085">
        <v>1002.3</v>
      </c>
    </row>
    <row r="2086" spans="31:32" x14ac:dyDescent="0.2">
      <c r="AE2086" s="3">
        <v>42723</v>
      </c>
      <c r="AF2086">
        <v>999.74</v>
      </c>
    </row>
  </sheetData>
  <sortState xmlns:xlrd2="http://schemas.microsoft.com/office/spreadsheetml/2017/richdata2" ref="C45:D50">
    <sortCondition ref="C45:C50"/>
  </sortState>
  <pageMargins left="0.7" right="0.7" top="0.75" bottom="0.75" header="0.3" footer="0.3"/>
  <pageSetup paperSize="9" orientation="portrait" r:id="rId1"/>
  <customProperties>
    <customPr name="REFI_OFFICE_FUNCTION_DATA" r:id="rId2"/>
  </customProperties>
  <drawing r:id="rId3"/>
  <legacy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lisam_Description xmlns="1a019fe7-1cbb-4790-8c4c-66bee00fcef3" xsi:nil="true"/>
    <_lisam_PublishedVersion xmlns="2605b138-f2f2-41dd-8107-1f1968d575cc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4B9EE45F5E913744812EC575222D4F45" ma:contentTypeVersion="9" ma:contentTypeDescription="Skapa ett nytt dokument." ma:contentTypeScope="" ma:versionID="ec156f7eb124117d7912725c2ea1ed2f">
  <xsd:schema xmlns:xsd="http://www.w3.org/2001/XMLSchema" xmlns:xs="http://www.w3.org/2001/XMLSchema" xmlns:p="http://schemas.microsoft.com/office/2006/metadata/properties" xmlns:ns2="1a019fe7-1cbb-4790-8c4c-66bee00fcef3" xmlns:ns3="2605b138-f2f2-41dd-8107-1f1968d575cc" targetNamespace="http://schemas.microsoft.com/office/2006/metadata/properties" ma:root="true" ma:fieldsID="c4c9ecfbe50da20ef764c315d695c79a" ns2:_="" ns3:_="">
    <xsd:import namespace="1a019fe7-1cbb-4790-8c4c-66bee00fcef3"/>
    <xsd:import namespace="2605b138-f2f2-41dd-8107-1f1968d575cc"/>
    <xsd:element name="properties">
      <xsd:complexType>
        <xsd:sequence>
          <xsd:element name="documentManagement">
            <xsd:complexType>
              <xsd:all>
                <xsd:element ref="ns2:_lisam_Description" minOccurs="0"/>
                <xsd:element ref="ns3:_lisam_PublishedVersio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019fe7-1cbb-4790-8c4c-66bee00fcef3" elementFormDefault="qualified">
    <xsd:import namespace="http://schemas.microsoft.com/office/2006/documentManagement/types"/>
    <xsd:import namespace="http://schemas.microsoft.com/office/infopath/2007/PartnerControls"/>
    <xsd:element name="_lisam_Description" ma:index="8" nillable="true" ma:displayName="Beskrivning" ma:internalName="_lisam_Description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05b138-f2f2-41dd-8107-1f1968d575cc" elementFormDefault="qualified">
    <xsd:import namespace="http://schemas.microsoft.com/office/2006/documentManagement/types"/>
    <xsd:import namespace="http://schemas.microsoft.com/office/infopath/2007/PartnerControls"/>
    <xsd:element name="_lisam_PublishedVersion" ma:index="9" nillable="true" ma:displayName="Published Version" ma:internalName="_lisam_PublishedVersion">
      <xsd:simpleType>
        <xsd:restriction base="dms:Text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ehållstyp"/>
        <xsd:element ref="dc:title" minOccurs="0" maxOccurs="1" ma:index="4" ma:displayName="Rubri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F019D53-54C5-4C71-9939-9FCFF69076BA}">
  <ds:schemaRefs>
    <ds:schemaRef ds:uri="http://schemas.microsoft.com/office/2006/metadata/properties"/>
    <ds:schemaRef ds:uri="http://schemas.microsoft.com/office/infopath/2007/PartnerControls"/>
    <ds:schemaRef ds:uri="1a019fe7-1cbb-4790-8c4c-66bee00fcef3"/>
    <ds:schemaRef ds:uri="2605b138-f2f2-41dd-8107-1f1968d575cc"/>
  </ds:schemaRefs>
</ds:datastoreItem>
</file>

<file path=customXml/itemProps2.xml><?xml version="1.0" encoding="utf-8"?>
<ds:datastoreItem xmlns:ds="http://schemas.openxmlformats.org/officeDocument/2006/customXml" ds:itemID="{64AA91E1-1563-4FEB-89DE-FA79A7AE31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019fe7-1cbb-4790-8c4c-66bee00fcef3"/>
    <ds:schemaRef ds:uri="2605b138-f2f2-41dd-8107-1f1968d575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F21A4C6-CFE0-4AFF-A646-C40ACAE4BA7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settings</vt:lpstr>
      <vt:lpstr>transactions</vt:lpstr>
      <vt:lpstr>portfolio</vt:lpstr>
      <vt:lpstr>data</vt:lpstr>
      <vt:lpstr>assetHistory</vt:lpstr>
      <vt:lpstr>assetStat</vt:lpstr>
      <vt:lpstr>portfolioHistory</vt:lpstr>
      <vt:lpstr>dailyHoldings</vt:lpstr>
      <vt:lpstr>Answer</vt:lpstr>
      <vt:lpstr>Refinitiv</vt:lpstr>
      <vt:lpstr>covarMatrix</vt:lpstr>
      <vt:lpstr>equityPortfolioData</vt:lpstr>
      <vt:lpstr>interestRate</vt:lpstr>
      <vt:lpstr>muVector</vt:lpstr>
      <vt:lpstr>optimalEquityWeights</vt:lpstr>
    </vt:vector>
  </TitlesOfParts>
  <Company>mai.liu.se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</dc:creator>
  <cp:lastModifiedBy>William Eriksson</cp:lastModifiedBy>
  <dcterms:created xsi:type="dcterms:W3CDTF">2006-05-15T11:36:03Z</dcterms:created>
  <dcterms:modified xsi:type="dcterms:W3CDTF">2025-04-25T08:02:54Z</dcterms:modified>
</cp:coreProperties>
</file>